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Ventas" sheetId="1" r:id="rId5"/>
    <sheet state="visible" name="Datos Ventas CSV" sheetId="2" r:id="rId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22.13"/>
    <col customWidth="1" min="11" max="11" width="23.88"/>
  </cols>
  <sheetData>
    <row r="1">
      <c r="A1" s="1" t="str">
        <f>IFERROR(__xludf.DUMMYFUNCTION("importdata(""https://drive.google.com/uc?export=download&amp;id=1U1AR8u12BH41vb1Uvb31WaPc4KTs4qQo&amp;v=2"","";"")"),"Empresa")</f>
        <v>Empresa</v>
      </c>
      <c r="B1" s="1" t="str">
        <f>IFERROR(__xludf.DUMMYFUNCTION("""COMPUTED_VALUE"""),"Número de Documento")</f>
        <v>Número de Documento</v>
      </c>
      <c r="C1" s="1" t="str">
        <f>IFERROR(__xludf.DUMMYFUNCTION("""COMPUTED_VALUE"""),"Año Fiscal")</f>
        <v>Año Fiscal</v>
      </c>
      <c r="D1" s="1" t="str">
        <f>IFERROR(__xludf.DUMMYFUNCTION("""COMPUTED_VALUE"""),"Fecha")</f>
        <v>Fecha</v>
      </c>
      <c r="E1" s="1" t="str">
        <f>IFERROR(__xludf.DUMMYFUNCTION("""COMPUTED_VALUE"""),"Tipo de Documento")</f>
        <v>Tipo de Documento</v>
      </c>
      <c r="F1" s="1" t="str">
        <f>IFERROR(__xludf.DUMMYFUNCTION("""COMPUTED_VALUE"""),"Número de Artículo")</f>
        <v>Número de Artículo</v>
      </c>
      <c r="G1" s="1" t="str">
        <f>IFERROR(__xludf.DUMMYFUNCTION("""COMPUTED_VALUE"""),"Material")</f>
        <v>Material</v>
      </c>
      <c r="H1" s="1" t="str">
        <f>IFERROR(__xludf.DUMMYFUNCTION("""COMPUTED_VALUE"""),"Vendedor")</f>
        <v>Vendedor</v>
      </c>
      <c r="I1" s="1" t="str">
        <f>IFERROR(__xludf.DUMMYFUNCTION("""COMPUTED_VALUE"""),"Cantidad")</f>
        <v>Cantidad</v>
      </c>
      <c r="J1" s="1" t="str">
        <f>IFERROR(__xludf.DUMMYFUNCTION("""COMPUTED_VALUE"""),"Valor en Moneda Local")</f>
        <v>Valor en Moneda Local</v>
      </c>
      <c r="K1" s="1" t="str">
        <f>IFERROR(__xludf.DUMMYFUNCTION("""COMPUTED_VALUE"""),"Valor en Moneda Extranjera")</f>
        <v>Valor en Moneda Extranjera</v>
      </c>
    </row>
    <row r="2">
      <c r="A2" s="1">
        <f>IFERROR(__xludf.DUMMYFUNCTION("""COMPUTED_VALUE"""),1000.0)</f>
        <v>1000</v>
      </c>
      <c r="B2" s="1">
        <f>IFERROR(__xludf.DUMMYFUNCTION("""COMPUTED_VALUE"""),183456.0)</f>
        <v>183456</v>
      </c>
      <c r="C2" s="1">
        <f>IFERROR(__xludf.DUMMYFUNCTION("""COMPUTED_VALUE"""),2026.0)</f>
        <v>2026</v>
      </c>
      <c r="D2" s="1">
        <f>IFERROR(__xludf.DUMMYFUNCTION("""COMPUTED_VALUE"""),46387.0)</f>
        <v>46387</v>
      </c>
      <c r="E2" s="1" t="str">
        <f>IFERROR(__xludf.DUMMYFUNCTION("""COMPUTED_VALUE"""),"VF")</f>
        <v>VF</v>
      </c>
      <c r="F2" s="1">
        <f>IFERROR(__xludf.DUMMYFUNCTION("""COMPUTED_VALUE"""),1.0)</f>
        <v>1</v>
      </c>
      <c r="G2" s="1" t="str">
        <f>IFERROR(__xludf.DUMMYFUNCTION("""COMPUTED_VALUE"""),"PR001")</f>
        <v>PR001</v>
      </c>
      <c r="H2" s="1" t="str">
        <f>IFERROR(__xludf.DUMMYFUNCTION("""COMPUTED_VALUE"""),"VD026")</f>
        <v>VD026</v>
      </c>
      <c r="I2" s="1">
        <f>IFERROR(__xludf.DUMMYFUNCTION("""COMPUTED_VALUE"""),27.0)</f>
        <v>27</v>
      </c>
      <c r="J2" s="1">
        <f>IFERROR(__xludf.DUMMYFUNCTION("""COMPUTED_VALUE"""),1957.23)</f>
        <v>1957.23</v>
      </c>
      <c r="K2" s="1">
        <f>IFERROR(__xludf.DUMMYFUNCTION("""COMPUTED_VALUE"""),1957.23)</f>
        <v>1957.23</v>
      </c>
    </row>
    <row r="3">
      <c r="A3" s="1">
        <f>IFERROR(__xludf.DUMMYFUNCTION("""COMPUTED_VALUE"""),1000.0)</f>
        <v>1000</v>
      </c>
      <c r="B3" s="1">
        <f>IFERROR(__xludf.DUMMYFUNCTION("""COMPUTED_VALUE"""),183456.0)</f>
        <v>183456</v>
      </c>
      <c r="C3" s="1">
        <f>IFERROR(__xludf.DUMMYFUNCTION("""COMPUTED_VALUE"""),2026.0)</f>
        <v>2026</v>
      </c>
      <c r="D3" s="1">
        <f>IFERROR(__xludf.DUMMYFUNCTION("""COMPUTED_VALUE"""),46387.0)</f>
        <v>46387</v>
      </c>
      <c r="E3" s="1" t="str">
        <f>IFERROR(__xludf.DUMMYFUNCTION("""COMPUTED_VALUE"""),"VF")</f>
        <v>VF</v>
      </c>
      <c r="F3" s="1">
        <f>IFERROR(__xludf.DUMMYFUNCTION("""COMPUTED_VALUE"""),2.0)</f>
        <v>2</v>
      </c>
      <c r="G3" s="1" t="str">
        <f>IFERROR(__xludf.DUMMYFUNCTION("""COMPUTED_VALUE"""),"PR058")</f>
        <v>PR058</v>
      </c>
      <c r="H3" s="1" t="str">
        <f>IFERROR(__xludf.DUMMYFUNCTION("""COMPUTED_VALUE"""),"VD037")</f>
        <v>VD037</v>
      </c>
      <c r="I3" s="1">
        <f>IFERROR(__xludf.DUMMYFUNCTION("""COMPUTED_VALUE"""),14.0)</f>
        <v>14</v>
      </c>
      <c r="J3" s="1">
        <f>IFERROR(__xludf.DUMMYFUNCTION("""COMPUTED_VALUE"""),2872.8)</f>
        <v>2872.8</v>
      </c>
      <c r="K3" s="1">
        <f>IFERROR(__xludf.DUMMYFUNCTION("""COMPUTED_VALUE"""),2872.8)</f>
        <v>2872.8</v>
      </c>
    </row>
    <row r="4">
      <c r="A4" s="1">
        <f>IFERROR(__xludf.DUMMYFUNCTION("""COMPUTED_VALUE"""),1000.0)</f>
        <v>1000</v>
      </c>
      <c r="B4" s="1">
        <f>IFERROR(__xludf.DUMMYFUNCTION("""COMPUTED_VALUE"""),183457.0)</f>
        <v>183457</v>
      </c>
      <c r="C4" s="1">
        <f>IFERROR(__xludf.DUMMYFUNCTION("""COMPUTED_VALUE"""),2026.0)</f>
        <v>2026</v>
      </c>
      <c r="D4" s="1">
        <f>IFERROR(__xludf.DUMMYFUNCTION("""COMPUTED_VALUE"""),46387.0)</f>
        <v>46387</v>
      </c>
      <c r="E4" s="1" t="str">
        <f>IFERROR(__xludf.DUMMYFUNCTION("""COMPUTED_VALUE"""),"VF")</f>
        <v>VF</v>
      </c>
      <c r="F4" s="1">
        <f>IFERROR(__xludf.DUMMYFUNCTION("""COMPUTED_VALUE"""),1.0)</f>
        <v>1</v>
      </c>
      <c r="G4" s="1" t="str">
        <f>IFERROR(__xludf.DUMMYFUNCTION("""COMPUTED_VALUE"""),"PR020")</f>
        <v>PR020</v>
      </c>
      <c r="H4" s="1" t="str">
        <f>IFERROR(__xludf.DUMMYFUNCTION("""COMPUTED_VALUE"""),"VD034")</f>
        <v>VD034</v>
      </c>
      <c r="I4" s="1">
        <f>IFERROR(__xludf.DUMMYFUNCTION("""COMPUTED_VALUE"""),20.0)</f>
        <v>20</v>
      </c>
      <c r="J4" s="1">
        <f>IFERROR(__xludf.DUMMYFUNCTION("""COMPUTED_VALUE"""),7137.62)</f>
        <v>7137.62</v>
      </c>
      <c r="K4" s="1">
        <f>IFERROR(__xludf.DUMMYFUNCTION("""COMPUTED_VALUE"""),7137.62)</f>
        <v>7137.62</v>
      </c>
    </row>
    <row r="5">
      <c r="A5" s="1">
        <f>IFERROR(__xludf.DUMMYFUNCTION("""COMPUTED_VALUE"""),1000.0)</f>
        <v>1000</v>
      </c>
      <c r="B5" s="1">
        <f>IFERROR(__xludf.DUMMYFUNCTION("""COMPUTED_VALUE"""),183458.0)</f>
        <v>183458</v>
      </c>
      <c r="C5" s="1">
        <f>IFERROR(__xludf.DUMMYFUNCTION("""COMPUTED_VALUE"""),2026.0)</f>
        <v>2026</v>
      </c>
      <c r="D5" s="2">
        <f>IFERROR(__xludf.DUMMYFUNCTION("""COMPUTED_VALUE"""),46387.0)</f>
        <v>46387</v>
      </c>
      <c r="E5" s="1" t="str">
        <f>IFERROR(__xludf.DUMMYFUNCTION("""COMPUTED_VALUE"""),"VF")</f>
        <v>VF</v>
      </c>
      <c r="F5" s="1">
        <f>IFERROR(__xludf.DUMMYFUNCTION("""COMPUTED_VALUE"""),1.0)</f>
        <v>1</v>
      </c>
      <c r="G5" s="1" t="str">
        <f>IFERROR(__xludf.DUMMYFUNCTION("""COMPUTED_VALUE"""),"PR035")</f>
        <v>PR035</v>
      </c>
      <c r="H5" s="1" t="str">
        <f>IFERROR(__xludf.DUMMYFUNCTION("""COMPUTED_VALUE"""),"VD021")</f>
        <v>VD021</v>
      </c>
      <c r="I5" s="1">
        <f>IFERROR(__xludf.DUMMYFUNCTION("""COMPUTED_VALUE"""),24.0)</f>
        <v>24</v>
      </c>
      <c r="J5" s="1">
        <f>IFERROR(__xludf.DUMMYFUNCTION("""COMPUTED_VALUE"""),2478.77)</f>
        <v>2478.77</v>
      </c>
      <c r="K5" s="1">
        <f>IFERROR(__xludf.DUMMYFUNCTION("""COMPUTED_VALUE"""),2478.77)</f>
        <v>2478.77</v>
      </c>
    </row>
    <row r="6">
      <c r="A6" s="1">
        <f>IFERROR(__xludf.DUMMYFUNCTION("""COMPUTED_VALUE"""),1000.0)</f>
        <v>1000</v>
      </c>
      <c r="B6" s="1">
        <f>IFERROR(__xludf.DUMMYFUNCTION("""COMPUTED_VALUE"""),183459.0)</f>
        <v>183459</v>
      </c>
      <c r="C6" s="1">
        <f>IFERROR(__xludf.DUMMYFUNCTION("""COMPUTED_VALUE"""),2026.0)</f>
        <v>2026</v>
      </c>
      <c r="D6" s="1">
        <f>IFERROR(__xludf.DUMMYFUNCTION("""COMPUTED_VALUE"""),46387.0)</f>
        <v>46387</v>
      </c>
      <c r="E6" s="1" t="str">
        <f>IFERROR(__xludf.DUMMYFUNCTION("""COMPUTED_VALUE"""),"VF")</f>
        <v>VF</v>
      </c>
      <c r="F6" s="1">
        <f>IFERROR(__xludf.DUMMYFUNCTION("""COMPUTED_VALUE"""),1.0)</f>
        <v>1</v>
      </c>
      <c r="G6" s="1" t="str">
        <f>IFERROR(__xludf.DUMMYFUNCTION("""COMPUTED_VALUE"""),"PR016")</f>
        <v>PR016</v>
      </c>
      <c r="H6" s="1" t="str">
        <f>IFERROR(__xludf.DUMMYFUNCTION("""COMPUTED_VALUE"""),"VD027")</f>
        <v>VD027</v>
      </c>
      <c r="I6" s="1">
        <f>IFERROR(__xludf.DUMMYFUNCTION("""COMPUTED_VALUE"""),10.0)</f>
        <v>10</v>
      </c>
      <c r="J6" s="1">
        <f>IFERROR(__xludf.DUMMYFUNCTION("""COMPUTED_VALUE"""),303.03)</f>
        <v>303.03</v>
      </c>
      <c r="K6" s="1">
        <f>IFERROR(__xludf.DUMMYFUNCTION("""COMPUTED_VALUE"""),303.03)</f>
        <v>303.03</v>
      </c>
    </row>
    <row r="7">
      <c r="A7" s="1">
        <f>IFERROR(__xludf.DUMMYFUNCTION("""COMPUTED_VALUE"""),1000.0)</f>
        <v>1000</v>
      </c>
      <c r="B7" s="1">
        <f>IFERROR(__xludf.DUMMYFUNCTION("""COMPUTED_VALUE"""),183460.0)</f>
        <v>183460</v>
      </c>
      <c r="C7" s="1">
        <f>IFERROR(__xludf.DUMMYFUNCTION("""COMPUTED_VALUE"""),2026.0)</f>
        <v>2026</v>
      </c>
      <c r="D7" s="2">
        <f>IFERROR(__xludf.DUMMYFUNCTION("""COMPUTED_VALUE"""),46387.0)</f>
        <v>46387</v>
      </c>
      <c r="E7" s="1" t="str">
        <f>IFERROR(__xludf.DUMMYFUNCTION("""COMPUTED_VALUE"""),"VF")</f>
        <v>VF</v>
      </c>
      <c r="F7" s="1">
        <f>IFERROR(__xludf.DUMMYFUNCTION("""COMPUTED_VALUE"""),1.0)</f>
        <v>1</v>
      </c>
      <c r="G7" s="1" t="str">
        <f>IFERROR(__xludf.DUMMYFUNCTION("""COMPUTED_VALUE"""),"PR051")</f>
        <v>PR051</v>
      </c>
      <c r="H7" s="1" t="str">
        <f>IFERROR(__xludf.DUMMYFUNCTION("""COMPUTED_VALUE"""),"VD048")</f>
        <v>VD048</v>
      </c>
      <c r="I7" s="1">
        <f>IFERROR(__xludf.DUMMYFUNCTION("""COMPUTED_VALUE"""),18.0)</f>
        <v>18</v>
      </c>
      <c r="J7" s="1">
        <f>IFERROR(__xludf.DUMMYFUNCTION("""COMPUTED_VALUE"""),704.72)</f>
        <v>704.72</v>
      </c>
      <c r="K7" s="1">
        <f>IFERROR(__xludf.DUMMYFUNCTION("""COMPUTED_VALUE"""),704.72)</f>
        <v>704.72</v>
      </c>
    </row>
    <row r="8">
      <c r="A8" s="1">
        <f>IFERROR(__xludf.DUMMYFUNCTION("""COMPUTED_VALUE"""),1000.0)</f>
        <v>1000</v>
      </c>
      <c r="B8" s="1">
        <f>IFERROR(__xludf.DUMMYFUNCTION("""COMPUTED_VALUE"""),183461.0)</f>
        <v>183461</v>
      </c>
      <c r="C8" s="1">
        <f>IFERROR(__xludf.DUMMYFUNCTION("""COMPUTED_VALUE"""),2026.0)</f>
        <v>2026</v>
      </c>
      <c r="D8" s="1">
        <f>IFERROR(__xludf.DUMMYFUNCTION("""COMPUTED_VALUE"""),46387.0)</f>
        <v>46387</v>
      </c>
      <c r="E8" s="1" t="str">
        <f>IFERROR(__xludf.DUMMYFUNCTION("""COMPUTED_VALUE"""),"VF")</f>
        <v>VF</v>
      </c>
      <c r="F8" s="1">
        <f>IFERROR(__xludf.DUMMYFUNCTION("""COMPUTED_VALUE"""),1.0)</f>
        <v>1</v>
      </c>
      <c r="G8" s="1" t="str">
        <f>IFERROR(__xludf.DUMMYFUNCTION("""COMPUTED_VALUE"""),"PR042")</f>
        <v>PR042</v>
      </c>
      <c r="H8" s="1" t="str">
        <f>IFERROR(__xludf.DUMMYFUNCTION("""COMPUTED_VALUE"""),"VD025")</f>
        <v>VD025</v>
      </c>
      <c r="I8" s="1">
        <f>IFERROR(__xludf.DUMMYFUNCTION("""COMPUTED_VALUE"""),27.0)</f>
        <v>27</v>
      </c>
      <c r="J8" s="1">
        <f>IFERROR(__xludf.DUMMYFUNCTION("""COMPUTED_VALUE"""),1778.76)</f>
        <v>1778.76</v>
      </c>
      <c r="K8" s="1">
        <f>IFERROR(__xludf.DUMMYFUNCTION("""COMPUTED_VALUE"""),1778.76)</f>
        <v>1778.76</v>
      </c>
    </row>
    <row r="9">
      <c r="A9" s="1">
        <f>IFERROR(__xludf.DUMMYFUNCTION("""COMPUTED_VALUE"""),1000.0)</f>
        <v>1000</v>
      </c>
      <c r="B9" s="1">
        <f>IFERROR(__xludf.DUMMYFUNCTION("""COMPUTED_VALUE"""),183462.0)</f>
        <v>183462</v>
      </c>
      <c r="C9" s="1">
        <f>IFERROR(__xludf.DUMMYFUNCTION("""COMPUTED_VALUE"""),2026.0)</f>
        <v>2026</v>
      </c>
      <c r="D9" s="1">
        <f>IFERROR(__xludf.DUMMYFUNCTION("""COMPUTED_VALUE"""),46387.0)</f>
        <v>46387</v>
      </c>
      <c r="E9" s="1" t="str">
        <f>IFERROR(__xludf.DUMMYFUNCTION("""COMPUTED_VALUE"""),"VF")</f>
        <v>VF</v>
      </c>
      <c r="F9" s="1">
        <f>IFERROR(__xludf.DUMMYFUNCTION("""COMPUTED_VALUE"""),1.0)</f>
        <v>1</v>
      </c>
      <c r="G9" s="1" t="str">
        <f>IFERROR(__xludf.DUMMYFUNCTION("""COMPUTED_VALUE"""),"PR050")</f>
        <v>PR050</v>
      </c>
      <c r="H9" s="1" t="str">
        <f>IFERROR(__xludf.DUMMYFUNCTION("""COMPUTED_VALUE"""),"VD037")</f>
        <v>VD037</v>
      </c>
      <c r="I9" s="1">
        <f>IFERROR(__xludf.DUMMYFUNCTION("""COMPUTED_VALUE"""),14.0)</f>
        <v>14</v>
      </c>
      <c r="J9" s="1">
        <f>IFERROR(__xludf.DUMMYFUNCTION("""COMPUTED_VALUE"""),511.27)</f>
        <v>511.27</v>
      </c>
      <c r="K9" s="1">
        <f>IFERROR(__xludf.DUMMYFUNCTION("""COMPUTED_VALUE"""),511.27)</f>
        <v>511.27</v>
      </c>
    </row>
    <row r="10">
      <c r="A10" s="1">
        <f>IFERROR(__xludf.DUMMYFUNCTION("""COMPUTED_VALUE"""),1000.0)</f>
        <v>1000</v>
      </c>
      <c r="B10" s="1">
        <f>IFERROR(__xludf.DUMMYFUNCTION("""COMPUTED_VALUE"""),183463.0)</f>
        <v>183463</v>
      </c>
      <c r="C10" s="1">
        <f>IFERROR(__xludf.DUMMYFUNCTION("""COMPUTED_VALUE"""),2026.0)</f>
        <v>2026</v>
      </c>
      <c r="D10" s="1">
        <f>IFERROR(__xludf.DUMMYFUNCTION("""COMPUTED_VALUE"""),46387.0)</f>
        <v>46387</v>
      </c>
      <c r="E10" s="1" t="str">
        <f>IFERROR(__xludf.DUMMYFUNCTION("""COMPUTED_VALUE"""),"VF")</f>
        <v>VF</v>
      </c>
      <c r="F10" s="1">
        <f>IFERROR(__xludf.DUMMYFUNCTION("""COMPUTED_VALUE"""),1.0)</f>
        <v>1</v>
      </c>
      <c r="G10" s="1" t="str">
        <f>IFERROR(__xludf.DUMMYFUNCTION("""COMPUTED_VALUE"""),"PR001")</f>
        <v>PR001</v>
      </c>
      <c r="H10" s="1" t="str">
        <f>IFERROR(__xludf.DUMMYFUNCTION("""COMPUTED_VALUE"""),"VD036")</f>
        <v>VD036</v>
      </c>
      <c r="I10" s="1">
        <f>IFERROR(__xludf.DUMMYFUNCTION("""COMPUTED_VALUE"""),12.0)</f>
        <v>12</v>
      </c>
      <c r="J10" s="1">
        <f>IFERROR(__xludf.DUMMYFUNCTION("""COMPUTED_VALUE"""),901.51)</f>
        <v>901.51</v>
      </c>
      <c r="K10" s="1">
        <f>IFERROR(__xludf.DUMMYFUNCTION("""COMPUTED_VALUE"""),901.51)</f>
        <v>901.51</v>
      </c>
    </row>
    <row r="11">
      <c r="A11" s="1">
        <f>IFERROR(__xludf.DUMMYFUNCTION("""COMPUTED_VALUE"""),1000.0)</f>
        <v>1000</v>
      </c>
      <c r="B11" s="1">
        <f>IFERROR(__xludf.DUMMYFUNCTION("""COMPUTED_VALUE"""),183464.0)</f>
        <v>183464</v>
      </c>
      <c r="C11" s="1">
        <f>IFERROR(__xludf.DUMMYFUNCTION("""COMPUTED_VALUE"""),2026.0)</f>
        <v>2026</v>
      </c>
      <c r="D11" s="1">
        <f>IFERROR(__xludf.DUMMYFUNCTION("""COMPUTED_VALUE"""),46387.0)</f>
        <v>46387</v>
      </c>
      <c r="E11" s="1" t="str">
        <f>IFERROR(__xludf.DUMMYFUNCTION("""COMPUTED_VALUE"""),"VF")</f>
        <v>VF</v>
      </c>
      <c r="F11" s="1">
        <f>IFERROR(__xludf.DUMMYFUNCTION("""COMPUTED_VALUE"""),1.0)</f>
        <v>1</v>
      </c>
      <c r="G11" s="1" t="str">
        <f>IFERROR(__xludf.DUMMYFUNCTION("""COMPUTED_VALUE"""),"PR059")</f>
        <v>PR059</v>
      </c>
      <c r="H11" s="1" t="str">
        <f>IFERROR(__xludf.DUMMYFUNCTION("""COMPUTED_VALUE"""),"VD049")</f>
        <v>VD049</v>
      </c>
      <c r="I11" s="1">
        <f>IFERROR(__xludf.DUMMYFUNCTION("""COMPUTED_VALUE"""),27.0)</f>
        <v>27</v>
      </c>
      <c r="J11" s="1">
        <f>IFERROR(__xludf.DUMMYFUNCTION("""COMPUTED_VALUE"""),5783.4)</f>
        <v>5783.4</v>
      </c>
      <c r="K11" s="1">
        <f>IFERROR(__xludf.DUMMYFUNCTION("""COMPUTED_VALUE"""),5783.4)</f>
        <v>5783.4</v>
      </c>
    </row>
    <row r="12">
      <c r="A12" s="1">
        <f>IFERROR(__xludf.DUMMYFUNCTION("""COMPUTED_VALUE"""),1000.0)</f>
        <v>1000</v>
      </c>
      <c r="B12" s="1">
        <f>IFERROR(__xludf.DUMMYFUNCTION("""COMPUTED_VALUE"""),183465.0)</f>
        <v>183465</v>
      </c>
      <c r="C12" s="1">
        <f>IFERROR(__xludf.DUMMYFUNCTION("""COMPUTED_VALUE"""),2026.0)</f>
        <v>2026</v>
      </c>
      <c r="D12" s="1">
        <f>IFERROR(__xludf.DUMMYFUNCTION("""COMPUTED_VALUE"""),46387.0)</f>
        <v>46387</v>
      </c>
      <c r="E12" s="1" t="str">
        <f>IFERROR(__xludf.DUMMYFUNCTION("""COMPUTED_VALUE"""),"VF")</f>
        <v>VF</v>
      </c>
      <c r="F12" s="1">
        <f>IFERROR(__xludf.DUMMYFUNCTION("""COMPUTED_VALUE"""),1.0)</f>
        <v>1</v>
      </c>
      <c r="G12" s="1" t="str">
        <f>IFERROR(__xludf.DUMMYFUNCTION("""COMPUTED_VALUE"""),"PR019")</f>
        <v>PR019</v>
      </c>
      <c r="H12" s="1" t="str">
        <f>IFERROR(__xludf.DUMMYFUNCTION("""COMPUTED_VALUE"""),"VD021")</f>
        <v>VD021</v>
      </c>
      <c r="I12" s="1">
        <f>IFERROR(__xludf.DUMMYFUNCTION("""COMPUTED_VALUE"""),15.0)</f>
        <v>15</v>
      </c>
      <c r="J12" s="1">
        <f>IFERROR(__xludf.DUMMYFUNCTION("""COMPUTED_VALUE"""),845.81)</f>
        <v>845.81</v>
      </c>
      <c r="K12" s="1">
        <f>IFERROR(__xludf.DUMMYFUNCTION("""COMPUTED_VALUE"""),845.81)</f>
        <v>845.81</v>
      </c>
    </row>
    <row r="13">
      <c r="A13" s="1">
        <f>IFERROR(__xludf.DUMMYFUNCTION("""COMPUTED_VALUE"""),1000.0)</f>
        <v>1000</v>
      </c>
      <c r="B13" s="1">
        <f>IFERROR(__xludf.DUMMYFUNCTION("""COMPUTED_VALUE"""),183466.0)</f>
        <v>183466</v>
      </c>
      <c r="C13" s="1">
        <f>IFERROR(__xludf.DUMMYFUNCTION("""COMPUTED_VALUE"""),2026.0)</f>
        <v>2026</v>
      </c>
      <c r="D13" s="1">
        <f>IFERROR(__xludf.DUMMYFUNCTION("""COMPUTED_VALUE"""),46387.0)</f>
        <v>46387</v>
      </c>
      <c r="E13" s="1" t="str">
        <f>IFERROR(__xludf.DUMMYFUNCTION("""COMPUTED_VALUE"""),"VF")</f>
        <v>VF</v>
      </c>
      <c r="F13" s="1">
        <f>IFERROR(__xludf.DUMMYFUNCTION("""COMPUTED_VALUE"""),1.0)</f>
        <v>1</v>
      </c>
      <c r="G13" s="1" t="str">
        <f>IFERROR(__xludf.DUMMYFUNCTION("""COMPUTED_VALUE"""),"PR055")</f>
        <v>PR055</v>
      </c>
      <c r="H13" s="1" t="str">
        <f>IFERROR(__xludf.DUMMYFUNCTION("""COMPUTED_VALUE"""),"VD015")</f>
        <v>VD015</v>
      </c>
      <c r="I13" s="1">
        <f>IFERROR(__xludf.DUMMYFUNCTION("""COMPUTED_VALUE"""),18.0)</f>
        <v>18</v>
      </c>
      <c r="J13" s="1">
        <f>IFERROR(__xludf.DUMMYFUNCTION("""COMPUTED_VALUE"""),1844.75)</f>
        <v>1844.75</v>
      </c>
      <c r="K13" s="1">
        <f>IFERROR(__xludf.DUMMYFUNCTION("""COMPUTED_VALUE"""),1844.75)</f>
        <v>1844.75</v>
      </c>
    </row>
    <row r="14">
      <c r="A14" s="1">
        <f>IFERROR(__xludf.DUMMYFUNCTION("""COMPUTED_VALUE"""),1000.0)</f>
        <v>1000</v>
      </c>
      <c r="B14" s="1">
        <f>IFERROR(__xludf.DUMMYFUNCTION("""COMPUTED_VALUE"""),183466.0)</f>
        <v>183466</v>
      </c>
      <c r="C14" s="1">
        <f>IFERROR(__xludf.DUMMYFUNCTION("""COMPUTED_VALUE"""),2026.0)</f>
        <v>2026</v>
      </c>
      <c r="D14" s="1">
        <f>IFERROR(__xludf.DUMMYFUNCTION("""COMPUTED_VALUE"""),46387.0)</f>
        <v>46387</v>
      </c>
      <c r="E14" s="1" t="str">
        <f>IFERROR(__xludf.DUMMYFUNCTION("""COMPUTED_VALUE"""),"VF")</f>
        <v>VF</v>
      </c>
      <c r="F14" s="1">
        <f>IFERROR(__xludf.DUMMYFUNCTION("""COMPUTED_VALUE"""),2.0)</f>
        <v>2</v>
      </c>
      <c r="G14" s="1" t="str">
        <f>IFERROR(__xludf.DUMMYFUNCTION("""COMPUTED_VALUE"""),"PR052")</f>
        <v>PR052</v>
      </c>
      <c r="H14" s="1" t="str">
        <f>IFERROR(__xludf.DUMMYFUNCTION("""COMPUTED_VALUE"""),"VD012")</f>
        <v>VD012</v>
      </c>
      <c r="I14" s="1">
        <f>IFERROR(__xludf.DUMMYFUNCTION("""COMPUTED_VALUE"""),16.0)</f>
        <v>16</v>
      </c>
      <c r="J14" s="1">
        <f>IFERROR(__xludf.DUMMYFUNCTION("""COMPUTED_VALUE"""),950.1)</f>
        <v>950.1</v>
      </c>
      <c r="K14" s="1">
        <f>IFERROR(__xludf.DUMMYFUNCTION("""COMPUTED_VALUE"""),950.1)</f>
        <v>950.1</v>
      </c>
    </row>
    <row r="15">
      <c r="A15" s="1">
        <f>IFERROR(__xludf.DUMMYFUNCTION("""COMPUTED_VALUE"""),1000.0)</f>
        <v>1000</v>
      </c>
      <c r="B15" s="1">
        <f>IFERROR(__xludf.DUMMYFUNCTION("""COMPUTED_VALUE"""),183466.0)</f>
        <v>183466</v>
      </c>
      <c r="C15" s="1">
        <f>IFERROR(__xludf.DUMMYFUNCTION("""COMPUTED_VALUE"""),2026.0)</f>
        <v>2026</v>
      </c>
      <c r="D15" s="1">
        <f>IFERROR(__xludf.DUMMYFUNCTION("""COMPUTED_VALUE"""),46387.0)</f>
        <v>46387</v>
      </c>
      <c r="E15" s="1" t="str">
        <f>IFERROR(__xludf.DUMMYFUNCTION("""COMPUTED_VALUE"""),"VF")</f>
        <v>VF</v>
      </c>
      <c r="F15" s="1">
        <f>IFERROR(__xludf.DUMMYFUNCTION("""COMPUTED_VALUE"""),3.0)</f>
        <v>3</v>
      </c>
      <c r="G15" s="1" t="str">
        <f>IFERROR(__xludf.DUMMYFUNCTION("""COMPUTED_VALUE"""),"PR052")</f>
        <v>PR052</v>
      </c>
      <c r="H15" s="1" t="str">
        <f>IFERROR(__xludf.DUMMYFUNCTION("""COMPUTED_VALUE"""),"VD043")</f>
        <v>VD043</v>
      </c>
      <c r="I15" s="1">
        <f>IFERROR(__xludf.DUMMYFUNCTION("""COMPUTED_VALUE"""),9.0)</f>
        <v>9</v>
      </c>
      <c r="J15" s="1">
        <f>IFERROR(__xludf.DUMMYFUNCTION("""COMPUTED_VALUE"""),511.97)</f>
        <v>511.97</v>
      </c>
      <c r="K15" s="1">
        <f>IFERROR(__xludf.DUMMYFUNCTION("""COMPUTED_VALUE"""),511.97)</f>
        <v>511.97</v>
      </c>
    </row>
    <row r="16">
      <c r="A16" s="1">
        <f>IFERROR(__xludf.DUMMYFUNCTION("""COMPUTED_VALUE"""),1000.0)</f>
        <v>1000</v>
      </c>
      <c r="B16" s="1">
        <f>IFERROR(__xludf.DUMMYFUNCTION("""COMPUTED_VALUE"""),183467.0)</f>
        <v>183467</v>
      </c>
      <c r="C16" s="1">
        <f>IFERROR(__xludf.DUMMYFUNCTION("""COMPUTED_VALUE"""),2026.0)</f>
        <v>2026</v>
      </c>
      <c r="D16" s="1">
        <f>IFERROR(__xludf.DUMMYFUNCTION("""COMPUTED_VALUE"""),46386.0)</f>
        <v>46386</v>
      </c>
      <c r="E16" s="1" t="str">
        <f>IFERROR(__xludf.DUMMYFUNCTION("""COMPUTED_VALUE"""),"VF")</f>
        <v>VF</v>
      </c>
      <c r="F16" s="1">
        <f>IFERROR(__xludf.DUMMYFUNCTION("""COMPUTED_VALUE"""),1.0)</f>
        <v>1</v>
      </c>
      <c r="G16" s="1" t="str">
        <f>IFERROR(__xludf.DUMMYFUNCTION("""COMPUTED_VALUE"""),"PR014")</f>
        <v>PR014</v>
      </c>
      <c r="H16" s="1" t="str">
        <f>IFERROR(__xludf.DUMMYFUNCTION("""COMPUTED_VALUE"""),"VD020")</f>
        <v>VD020</v>
      </c>
      <c r="I16" s="1">
        <f>IFERROR(__xludf.DUMMYFUNCTION("""COMPUTED_VALUE"""),9.0)</f>
        <v>9</v>
      </c>
      <c r="J16" s="1">
        <f>IFERROR(__xludf.DUMMYFUNCTION("""COMPUTED_VALUE"""),420.15)</f>
        <v>420.15</v>
      </c>
      <c r="K16" s="1">
        <f>IFERROR(__xludf.DUMMYFUNCTION("""COMPUTED_VALUE"""),420.15)</f>
        <v>420.15</v>
      </c>
    </row>
    <row r="17">
      <c r="A17" s="1">
        <f>IFERROR(__xludf.DUMMYFUNCTION("""COMPUTED_VALUE"""),1000.0)</f>
        <v>1000</v>
      </c>
      <c r="B17" s="1">
        <f>IFERROR(__xludf.DUMMYFUNCTION("""COMPUTED_VALUE"""),183468.0)</f>
        <v>183468</v>
      </c>
      <c r="C17" s="1">
        <f>IFERROR(__xludf.DUMMYFUNCTION("""COMPUTED_VALUE"""),2026.0)</f>
        <v>2026</v>
      </c>
      <c r="D17" s="1">
        <f>IFERROR(__xludf.DUMMYFUNCTION("""COMPUTED_VALUE"""),46386.0)</f>
        <v>46386</v>
      </c>
      <c r="E17" s="1" t="str">
        <f>IFERROR(__xludf.DUMMYFUNCTION("""COMPUTED_VALUE"""),"VF")</f>
        <v>VF</v>
      </c>
      <c r="F17" s="1">
        <f>IFERROR(__xludf.DUMMYFUNCTION("""COMPUTED_VALUE"""),1.0)</f>
        <v>1</v>
      </c>
      <c r="G17" s="1" t="str">
        <f>IFERROR(__xludf.DUMMYFUNCTION("""COMPUTED_VALUE"""),"PR055")</f>
        <v>PR055</v>
      </c>
      <c r="H17" s="1" t="str">
        <f>IFERROR(__xludf.DUMMYFUNCTION("""COMPUTED_VALUE"""),"VD019")</f>
        <v>VD019</v>
      </c>
      <c r="I17" s="1">
        <f>IFERROR(__xludf.DUMMYFUNCTION("""COMPUTED_VALUE"""),9.0)</f>
        <v>9</v>
      </c>
      <c r="J17" s="1">
        <f>IFERROR(__xludf.DUMMYFUNCTION("""COMPUTED_VALUE"""),890.01)</f>
        <v>890.01</v>
      </c>
      <c r="K17" s="1">
        <f>IFERROR(__xludf.DUMMYFUNCTION("""COMPUTED_VALUE"""),890.01)</f>
        <v>890.01</v>
      </c>
    </row>
    <row r="18">
      <c r="A18" s="1">
        <f>IFERROR(__xludf.DUMMYFUNCTION("""COMPUTED_VALUE"""),1000.0)</f>
        <v>1000</v>
      </c>
      <c r="B18" s="1">
        <f>IFERROR(__xludf.DUMMYFUNCTION("""COMPUTED_VALUE"""),183469.0)</f>
        <v>183469</v>
      </c>
      <c r="C18" s="1">
        <f>IFERROR(__xludf.DUMMYFUNCTION("""COMPUTED_VALUE"""),2026.0)</f>
        <v>2026</v>
      </c>
      <c r="D18" s="1">
        <f>IFERROR(__xludf.DUMMYFUNCTION("""COMPUTED_VALUE"""),46386.0)</f>
        <v>46386</v>
      </c>
      <c r="E18" s="1" t="str">
        <f>IFERROR(__xludf.DUMMYFUNCTION("""COMPUTED_VALUE"""),"VF")</f>
        <v>VF</v>
      </c>
      <c r="F18" s="1">
        <f>IFERROR(__xludf.DUMMYFUNCTION("""COMPUTED_VALUE"""),1.0)</f>
        <v>1</v>
      </c>
      <c r="G18" s="1" t="str">
        <f>IFERROR(__xludf.DUMMYFUNCTION("""COMPUTED_VALUE"""),"PR045")</f>
        <v>PR045</v>
      </c>
      <c r="H18" s="1" t="str">
        <f>IFERROR(__xludf.DUMMYFUNCTION("""COMPUTED_VALUE"""),"VD041")</f>
        <v>VD041</v>
      </c>
      <c r="I18" s="1">
        <f>IFERROR(__xludf.DUMMYFUNCTION("""COMPUTED_VALUE"""),14.0)</f>
        <v>14</v>
      </c>
      <c r="J18" s="1">
        <f>IFERROR(__xludf.DUMMYFUNCTION("""COMPUTED_VALUE"""),1157.1)</f>
        <v>1157.1</v>
      </c>
      <c r="K18" s="1">
        <f>IFERROR(__xludf.DUMMYFUNCTION("""COMPUTED_VALUE"""),1157.1)</f>
        <v>1157.1</v>
      </c>
    </row>
    <row r="19">
      <c r="A19" s="1">
        <f>IFERROR(__xludf.DUMMYFUNCTION("""COMPUTED_VALUE"""),1000.0)</f>
        <v>1000</v>
      </c>
      <c r="B19" s="1">
        <f>IFERROR(__xludf.DUMMYFUNCTION("""COMPUTED_VALUE"""),183470.0)</f>
        <v>183470</v>
      </c>
      <c r="C19" s="1">
        <f>IFERROR(__xludf.DUMMYFUNCTION("""COMPUTED_VALUE"""),2026.0)</f>
        <v>2026</v>
      </c>
      <c r="D19" s="1">
        <f>IFERROR(__xludf.DUMMYFUNCTION("""COMPUTED_VALUE"""),46386.0)</f>
        <v>46386</v>
      </c>
      <c r="E19" s="1" t="str">
        <f>IFERROR(__xludf.DUMMYFUNCTION("""COMPUTED_VALUE"""),"VF")</f>
        <v>VF</v>
      </c>
      <c r="F19" s="1">
        <f>IFERROR(__xludf.DUMMYFUNCTION("""COMPUTED_VALUE"""),1.0)</f>
        <v>1</v>
      </c>
      <c r="G19" s="1" t="str">
        <f>IFERROR(__xludf.DUMMYFUNCTION("""COMPUTED_VALUE"""),"PR053")</f>
        <v>PR053</v>
      </c>
      <c r="H19" s="1" t="str">
        <f>IFERROR(__xludf.DUMMYFUNCTION("""COMPUTED_VALUE"""),"VD013")</f>
        <v>VD013</v>
      </c>
      <c r="I19" s="1">
        <f>IFERROR(__xludf.DUMMYFUNCTION("""COMPUTED_VALUE"""),9.0)</f>
        <v>9</v>
      </c>
      <c r="J19" s="1">
        <f>IFERROR(__xludf.DUMMYFUNCTION("""COMPUTED_VALUE"""),511.97)</f>
        <v>511.97</v>
      </c>
      <c r="K19" s="1">
        <f>IFERROR(__xludf.DUMMYFUNCTION("""COMPUTED_VALUE"""),511.97)</f>
        <v>511.97</v>
      </c>
    </row>
    <row r="20">
      <c r="A20" s="1">
        <f>IFERROR(__xludf.DUMMYFUNCTION("""COMPUTED_VALUE"""),1000.0)</f>
        <v>1000</v>
      </c>
      <c r="B20" s="1">
        <f>IFERROR(__xludf.DUMMYFUNCTION("""COMPUTED_VALUE"""),183471.0)</f>
        <v>183471</v>
      </c>
      <c r="C20" s="1">
        <f>IFERROR(__xludf.DUMMYFUNCTION("""COMPUTED_VALUE"""),2026.0)</f>
        <v>2026</v>
      </c>
      <c r="D20" s="1">
        <f>IFERROR(__xludf.DUMMYFUNCTION("""COMPUTED_VALUE"""),46386.0)</f>
        <v>46386</v>
      </c>
      <c r="E20" s="1" t="str">
        <f>IFERROR(__xludf.DUMMYFUNCTION("""COMPUTED_VALUE"""),"VF")</f>
        <v>VF</v>
      </c>
      <c r="F20" s="1">
        <f>IFERROR(__xludf.DUMMYFUNCTION("""COMPUTED_VALUE"""),1.0)</f>
        <v>1</v>
      </c>
      <c r="G20" s="1" t="str">
        <f>IFERROR(__xludf.DUMMYFUNCTION("""COMPUTED_VALUE"""),"PR054")</f>
        <v>PR054</v>
      </c>
      <c r="H20" s="1" t="str">
        <f>IFERROR(__xludf.DUMMYFUNCTION("""COMPUTED_VALUE"""),"VD028")</f>
        <v>VD028</v>
      </c>
      <c r="I20" s="1">
        <f>IFERROR(__xludf.DUMMYFUNCTION("""COMPUTED_VALUE"""),9.0)</f>
        <v>9</v>
      </c>
      <c r="J20" s="1">
        <f>IFERROR(__xludf.DUMMYFUNCTION("""COMPUTED_VALUE"""),538.92)</f>
        <v>538.92</v>
      </c>
      <c r="K20" s="1">
        <f>IFERROR(__xludf.DUMMYFUNCTION("""COMPUTED_VALUE"""),538.92)</f>
        <v>538.92</v>
      </c>
    </row>
    <row r="21">
      <c r="A21" s="1">
        <f>IFERROR(__xludf.DUMMYFUNCTION("""COMPUTED_VALUE"""),2000.0)</f>
        <v>2000</v>
      </c>
      <c r="B21" s="1">
        <f>IFERROR(__xludf.DUMMYFUNCTION("""COMPUTED_VALUE"""),183472.0)</f>
        <v>183472</v>
      </c>
      <c r="C21" s="1">
        <f>IFERROR(__xludf.DUMMYFUNCTION("""COMPUTED_VALUE"""),2026.0)</f>
        <v>2026</v>
      </c>
      <c r="D21" s="1">
        <f>IFERROR(__xludf.DUMMYFUNCTION("""COMPUTED_VALUE"""),46386.0)</f>
        <v>46386</v>
      </c>
      <c r="E21" s="1" t="str">
        <f>IFERROR(__xludf.DUMMYFUNCTION("""COMPUTED_VALUE"""),"VF")</f>
        <v>VF</v>
      </c>
      <c r="F21" s="1">
        <f>IFERROR(__xludf.DUMMYFUNCTION("""COMPUTED_VALUE"""),1.0)</f>
        <v>1</v>
      </c>
      <c r="G21" s="1" t="str">
        <f>IFERROR(__xludf.DUMMYFUNCTION("""COMPUTED_VALUE"""),"PR020")</f>
        <v>PR020</v>
      </c>
      <c r="H21" s="1" t="str">
        <f>IFERROR(__xludf.DUMMYFUNCTION("""COMPUTED_VALUE"""),"VD047")</f>
        <v>VD047</v>
      </c>
      <c r="I21" s="1">
        <f>IFERROR(__xludf.DUMMYFUNCTION("""COMPUTED_VALUE"""),27.0)</f>
        <v>27</v>
      </c>
      <c r="J21" s="1">
        <f>IFERROR(__xludf.DUMMYFUNCTION("""COMPUTED_VALUE"""),8907.03)</f>
        <v>8907.03</v>
      </c>
      <c r="K21" s="1">
        <f>IFERROR(__xludf.DUMMYFUNCTION("""COMPUTED_VALUE"""),8907.03)</f>
        <v>8907.03</v>
      </c>
    </row>
    <row r="22">
      <c r="A22" s="1">
        <f>IFERROR(__xludf.DUMMYFUNCTION("""COMPUTED_VALUE"""),1000.0)</f>
        <v>1000</v>
      </c>
      <c r="B22" s="1">
        <f>IFERROR(__xludf.DUMMYFUNCTION("""COMPUTED_VALUE"""),183472.0)</f>
        <v>183472</v>
      </c>
      <c r="C22" s="1">
        <f>IFERROR(__xludf.DUMMYFUNCTION("""COMPUTED_VALUE"""),2026.0)</f>
        <v>2026</v>
      </c>
      <c r="D22" s="1">
        <f>IFERROR(__xludf.DUMMYFUNCTION("""COMPUTED_VALUE"""),46386.0)</f>
        <v>46386</v>
      </c>
      <c r="E22" s="1" t="str">
        <f>IFERROR(__xludf.DUMMYFUNCTION("""COMPUTED_VALUE"""),"VF")</f>
        <v>VF</v>
      </c>
      <c r="F22" s="1">
        <f>IFERROR(__xludf.DUMMYFUNCTION("""COMPUTED_VALUE"""),2.0)</f>
        <v>2</v>
      </c>
      <c r="G22" s="1" t="str">
        <f>IFERROR(__xludf.DUMMYFUNCTION("""COMPUTED_VALUE"""),"PR047")</f>
        <v>PR047</v>
      </c>
      <c r="H22" s="1" t="str">
        <f>IFERROR(__xludf.DUMMYFUNCTION("""COMPUTED_VALUE"""),"VD017")</f>
        <v>VD017</v>
      </c>
      <c r="I22" s="1">
        <f>IFERROR(__xludf.DUMMYFUNCTION("""COMPUTED_VALUE"""),12.0)</f>
        <v>12</v>
      </c>
      <c r="J22" s="1">
        <f>IFERROR(__xludf.DUMMYFUNCTION("""COMPUTED_VALUE"""),4174.56)</f>
        <v>4174.56</v>
      </c>
      <c r="K22" s="1">
        <f>IFERROR(__xludf.DUMMYFUNCTION("""COMPUTED_VALUE"""),4174.56)</f>
        <v>4174.56</v>
      </c>
    </row>
    <row r="23">
      <c r="A23" s="1">
        <f>IFERROR(__xludf.DUMMYFUNCTION("""COMPUTED_VALUE"""),2000.0)</f>
        <v>2000</v>
      </c>
      <c r="B23" s="1">
        <f>IFERROR(__xludf.DUMMYFUNCTION("""COMPUTED_VALUE"""),183473.0)</f>
        <v>183473</v>
      </c>
      <c r="C23" s="1">
        <f>IFERROR(__xludf.DUMMYFUNCTION("""COMPUTED_VALUE"""),2026.0)</f>
        <v>2026</v>
      </c>
      <c r="D23" s="1">
        <f>IFERROR(__xludf.DUMMYFUNCTION("""COMPUTED_VALUE"""),46386.0)</f>
        <v>46386</v>
      </c>
      <c r="E23" s="1" t="str">
        <f>IFERROR(__xludf.DUMMYFUNCTION("""COMPUTED_VALUE"""),"VF")</f>
        <v>VF</v>
      </c>
      <c r="F23" s="1">
        <f>IFERROR(__xludf.DUMMYFUNCTION("""COMPUTED_VALUE"""),1.0)</f>
        <v>1</v>
      </c>
      <c r="G23" s="1" t="str">
        <f>IFERROR(__xludf.DUMMYFUNCTION("""COMPUTED_VALUE"""),"PR047")</f>
        <v>PR047</v>
      </c>
      <c r="H23" s="1" t="str">
        <f>IFERROR(__xludf.DUMMYFUNCTION("""COMPUTED_VALUE"""),"VD040")</f>
        <v>VD040</v>
      </c>
      <c r="I23" s="1">
        <f>IFERROR(__xludf.DUMMYFUNCTION("""COMPUTED_VALUE"""),15.0)</f>
        <v>15</v>
      </c>
      <c r="J23" s="1">
        <f>IFERROR(__xludf.DUMMYFUNCTION("""COMPUTED_VALUE"""),4826.84)</f>
        <v>4826.84</v>
      </c>
      <c r="K23" s="1">
        <f>IFERROR(__xludf.DUMMYFUNCTION("""COMPUTED_VALUE"""),4826.84)</f>
        <v>4826.84</v>
      </c>
    </row>
    <row r="24">
      <c r="A24" s="1">
        <f>IFERROR(__xludf.DUMMYFUNCTION("""COMPUTED_VALUE"""),1000.0)</f>
        <v>1000</v>
      </c>
      <c r="B24" s="1">
        <f>IFERROR(__xludf.DUMMYFUNCTION("""COMPUTED_VALUE"""),183474.0)</f>
        <v>183474</v>
      </c>
      <c r="C24" s="1">
        <f>IFERROR(__xludf.DUMMYFUNCTION("""COMPUTED_VALUE"""),2026.0)</f>
        <v>2026</v>
      </c>
      <c r="D24" s="1">
        <f>IFERROR(__xludf.DUMMYFUNCTION("""COMPUTED_VALUE"""),46386.0)</f>
        <v>46386</v>
      </c>
      <c r="E24" s="1" t="str">
        <f>IFERROR(__xludf.DUMMYFUNCTION("""COMPUTED_VALUE"""),"VF")</f>
        <v>VF</v>
      </c>
      <c r="F24" s="1">
        <f>IFERROR(__xludf.DUMMYFUNCTION("""COMPUTED_VALUE"""),1.0)</f>
        <v>1</v>
      </c>
      <c r="G24" s="1" t="str">
        <f>IFERROR(__xludf.DUMMYFUNCTION("""COMPUTED_VALUE"""),"PR003")</f>
        <v>PR003</v>
      </c>
      <c r="H24" s="1" t="str">
        <f>IFERROR(__xludf.DUMMYFUNCTION("""COMPUTED_VALUE"""),"VD033")</f>
        <v>VD033</v>
      </c>
      <c r="I24" s="1">
        <f>IFERROR(__xludf.DUMMYFUNCTION("""COMPUTED_VALUE"""),8.0)</f>
        <v>8</v>
      </c>
      <c r="J24" s="1">
        <f>IFERROR(__xludf.DUMMYFUNCTION("""COMPUTED_VALUE"""),629.59)</f>
        <v>629.59</v>
      </c>
      <c r="K24" s="1">
        <f>IFERROR(__xludf.DUMMYFUNCTION("""COMPUTED_VALUE"""),629.59)</f>
        <v>629.59</v>
      </c>
    </row>
    <row r="25">
      <c r="A25" s="1">
        <f>IFERROR(__xludf.DUMMYFUNCTION("""COMPUTED_VALUE"""),1000.0)</f>
        <v>1000</v>
      </c>
      <c r="B25" s="1">
        <f>IFERROR(__xludf.DUMMYFUNCTION("""COMPUTED_VALUE"""),183475.0)</f>
        <v>183475</v>
      </c>
      <c r="C25" s="1">
        <f>IFERROR(__xludf.DUMMYFUNCTION("""COMPUTED_VALUE"""),2026.0)</f>
        <v>2026</v>
      </c>
      <c r="D25" s="1">
        <f>IFERROR(__xludf.DUMMYFUNCTION("""COMPUTED_VALUE"""),46386.0)</f>
        <v>46386</v>
      </c>
      <c r="E25" s="1" t="str">
        <f>IFERROR(__xludf.DUMMYFUNCTION("""COMPUTED_VALUE"""),"VF")</f>
        <v>VF</v>
      </c>
      <c r="F25" s="1">
        <f>IFERROR(__xludf.DUMMYFUNCTION("""COMPUTED_VALUE"""),1.0)</f>
        <v>1</v>
      </c>
      <c r="G25" s="1" t="str">
        <f>IFERROR(__xludf.DUMMYFUNCTION("""COMPUTED_VALUE"""),"PR058")</f>
        <v>PR058</v>
      </c>
      <c r="H25" s="1" t="str">
        <f>IFERROR(__xludf.DUMMYFUNCTION("""COMPUTED_VALUE"""),"VD014")</f>
        <v>VD014</v>
      </c>
      <c r="I25" s="1">
        <f>IFERROR(__xludf.DUMMYFUNCTION("""COMPUTED_VALUE"""),21.0)</f>
        <v>21</v>
      </c>
      <c r="J25" s="1">
        <f>IFERROR(__xludf.DUMMYFUNCTION("""COMPUTED_VALUE"""),4536.0)</f>
        <v>4536</v>
      </c>
      <c r="K25" s="1">
        <f>IFERROR(__xludf.DUMMYFUNCTION("""COMPUTED_VALUE"""),4536.0)</f>
        <v>4536</v>
      </c>
    </row>
    <row r="26">
      <c r="A26" s="1">
        <f>IFERROR(__xludf.DUMMYFUNCTION("""COMPUTED_VALUE"""),2000.0)</f>
        <v>2000</v>
      </c>
      <c r="B26" s="1">
        <f>IFERROR(__xludf.DUMMYFUNCTION("""COMPUTED_VALUE"""),183476.0)</f>
        <v>183476</v>
      </c>
      <c r="C26" s="1">
        <f>IFERROR(__xludf.DUMMYFUNCTION("""COMPUTED_VALUE"""),2026.0)</f>
        <v>2026</v>
      </c>
      <c r="D26" s="1">
        <f>IFERROR(__xludf.DUMMYFUNCTION("""COMPUTED_VALUE"""),46386.0)</f>
        <v>46386</v>
      </c>
      <c r="E26" s="1" t="str">
        <f>IFERROR(__xludf.DUMMYFUNCTION("""COMPUTED_VALUE"""),"VF")</f>
        <v>VF</v>
      </c>
      <c r="F26" s="1">
        <f>IFERROR(__xludf.DUMMYFUNCTION("""COMPUTED_VALUE"""),1.0)</f>
        <v>1</v>
      </c>
      <c r="G26" s="1" t="str">
        <f>IFERROR(__xludf.DUMMYFUNCTION("""COMPUTED_VALUE"""),"PR049")</f>
        <v>PR049</v>
      </c>
      <c r="H26" s="1" t="str">
        <f>IFERROR(__xludf.DUMMYFUNCTION("""COMPUTED_VALUE"""),"VD029")</f>
        <v>VD029</v>
      </c>
      <c r="I26" s="1">
        <f>IFERROR(__xludf.DUMMYFUNCTION("""COMPUTED_VALUE"""),12.0)</f>
        <v>12</v>
      </c>
      <c r="J26" s="1">
        <f>IFERROR(__xludf.DUMMYFUNCTION("""COMPUTED_VALUE"""),473.76)</f>
        <v>473.76</v>
      </c>
      <c r="K26" s="1">
        <f>IFERROR(__xludf.DUMMYFUNCTION("""COMPUTED_VALUE"""),473.76)</f>
        <v>473.76</v>
      </c>
    </row>
    <row r="27">
      <c r="A27" s="1">
        <f>IFERROR(__xludf.DUMMYFUNCTION("""COMPUTED_VALUE"""),1000.0)</f>
        <v>1000</v>
      </c>
      <c r="B27" s="1">
        <f>IFERROR(__xludf.DUMMYFUNCTION("""COMPUTED_VALUE"""),183477.0)</f>
        <v>183477</v>
      </c>
      <c r="C27" s="1">
        <f>IFERROR(__xludf.DUMMYFUNCTION("""COMPUTED_VALUE"""),2026.0)</f>
        <v>2026</v>
      </c>
      <c r="D27" s="1">
        <f>IFERROR(__xludf.DUMMYFUNCTION("""COMPUTED_VALUE"""),46386.0)</f>
        <v>46386</v>
      </c>
      <c r="E27" s="1" t="str">
        <f>IFERROR(__xludf.DUMMYFUNCTION("""COMPUTED_VALUE"""),"VF")</f>
        <v>VF</v>
      </c>
      <c r="F27" s="1">
        <f>IFERROR(__xludf.DUMMYFUNCTION("""COMPUTED_VALUE"""),1.0)</f>
        <v>1</v>
      </c>
      <c r="G27" s="1" t="str">
        <f>IFERROR(__xludf.DUMMYFUNCTION("""COMPUTED_VALUE"""),"PR035")</f>
        <v>PR035</v>
      </c>
      <c r="H27" s="1" t="str">
        <f>IFERROR(__xludf.DUMMYFUNCTION("""COMPUTED_VALUE"""),"VD010")</f>
        <v>VD010</v>
      </c>
      <c r="I27" s="1">
        <f>IFERROR(__xludf.DUMMYFUNCTION("""COMPUTED_VALUE"""),27.0)</f>
        <v>27</v>
      </c>
      <c r="J27" s="1">
        <f>IFERROR(__xludf.DUMMYFUNCTION("""COMPUTED_VALUE"""),2763.94)</f>
        <v>2763.94</v>
      </c>
      <c r="K27" s="1">
        <f>IFERROR(__xludf.DUMMYFUNCTION("""COMPUTED_VALUE"""),2763.94)</f>
        <v>2763.94</v>
      </c>
    </row>
    <row r="28">
      <c r="A28" s="1">
        <f>IFERROR(__xludf.DUMMYFUNCTION("""COMPUTED_VALUE"""),2000.0)</f>
        <v>2000</v>
      </c>
      <c r="B28" s="1">
        <f>IFERROR(__xludf.DUMMYFUNCTION("""COMPUTED_VALUE"""),183478.0)</f>
        <v>183478</v>
      </c>
      <c r="C28" s="1">
        <f>IFERROR(__xludf.DUMMYFUNCTION("""COMPUTED_VALUE"""),2026.0)</f>
        <v>2026</v>
      </c>
      <c r="D28" s="1">
        <f>IFERROR(__xludf.DUMMYFUNCTION("""COMPUTED_VALUE"""),46386.0)</f>
        <v>46386</v>
      </c>
      <c r="E28" s="1" t="str">
        <f>IFERROR(__xludf.DUMMYFUNCTION("""COMPUTED_VALUE"""),"VF")</f>
        <v>VF</v>
      </c>
      <c r="F28" s="1">
        <f>IFERROR(__xludf.DUMMYFUNCTION("""COMPUTED_VALUE"""),1.0)</f>
        <v>1</v>
      </c>
      <c r="G28" s="1" t="str">
        <f>IFERROR(__xludf.DUMMYFUNCTION("""COMPUTED_VALUE"""),"PR003")</f>
        <v>PR003</v>
      </c>
      <c r="H28" s="1" t="str">
        <f>IFERROR(__xludf.DUMMYFUNCTION("""COMPUTED_VALUE"""),"VD024")</f>
        <v>VD024</v>
      </c>
      <c r="I28" s="1">
        <f>IFERROR(__xludf.DUMMYFUNCTION("""COMPUTED_VALUE"""),18.0)</f>
        <v>18</v>
      </c>
      <c r="J28" s="1">
        <f>IFERROR(__xludf.DUMMYFUNCTION("""COMPUTED_VALUE"""),1480.39)</f>
        <v>1480.39</v>
      </c>
      <c r="K28" s="1">
        <f>IFERROR(__xludf.DUMMYFUNCTION("""COMPUTED_VALUE"""),1480.39)</f>
        <v>1480.39</v>
      </c>
    </row>
    <row r="29">
      <c r="A29" s="1">
        <f>IFERROR(__xludf.DUMMYFUNCTION("""COMPUTED_VALUE"""),2000.0)</f>
        <v>2000</v>
      </c>
      <c r="B29" s="1">
        <f>IFERROR(__xludf.DUMMYFUNCTION("""COMPUTED_VALUE"""),183479.0)</f>
        <v>183479</v>
      </c>
      <c r="C29" s="1">
        <f>IFERROR(__xludf.DUMMYFUNCTION("""COMPUTED_VALUE"""),2026.0)</f>
        <v>2026</v>
      </c>
      <c r="D29" s="1">
        <f>IFERROR(__xludf.DUMMYFUNCTION("""COMPUTED_VALUE"""),46385.0)</f>
        <v>46385</v>
      </c>
      <c r="E29" s="1" t="str">
        <f>IFERROR(__xludf.DUMMYFUNCTION("""COMPUTED_VALUE"""),"VF")</f>
        <v>VF</v>
      </c>
      <c r="F29" s="1">
        <f>IFERROR(__xludf.DUMMYFUNCTION("""COMPUTED_VALUE"""),1.0)</f>
        <v>1</v>
      </c>
      <c r="G29" s="1" t="str">
        <f>IFERROR(__xludf.DUMMYFUNCTION("""COMPUTED_VALUE"""),"PR006")</f>
        <v>PR006</v>
      </c>
      <c r="H29" s="1" t="str">
        <f>IFERROR(__xludf.DUMMYFUNCTION("""COMPUTED_VALUE"""),"VD021")</f>
        <v>VD021</v>
      </c>
      <c r="I29" s="1">
        <f>IFERROR(__xludf.DUMMYFUNCTION("""COMPUTED_VALUE"""),27.0)</f>
        <v>27</v>
      </c>
      <c r="J29" s="1">
        <f>IFERROR(__xludf.DUMMYFUNCTION("""COMPUTED_VALUE"""),1249.67)</f>
        <v>1249.67</v>
      </c>
      <c r="K29" s="1">
        <f>IFERROR(__xludf.DUMMYFUNCTION("""COMPUTED_VALUE"""),1249.67)</f>
        <v>1249.67</v>
      </c>
    </row>
    <row r="30">
      <c r="A30" s="1">
        <f>IFERROR(__xludf.DUMMYFUNCTION("""COMPUTED_VALUE"""),1000.0)</f>
        <v>1000</v>
      </c>
      <c r="B30" s="1">
        <f>IFERROR(__xludf.DUMMYFUNCTION("""COMPUTED_VALUE"""),183479.0)</f>
        <v>183479</v>
      </c>
      <c r="C30" s="1">
        <f>IFERROR(__xludf.DUMMYFUNCTION("""COMPUTED_VALUE"""),2026.0)</f>
        <v>2026</v>
      </c>
      <c r="D30" s="1">
        <f>IFERROR(__xludf.DUMMYFUNCTION("""COMPUTED_VALUE"""),46385.0)</f>
        <v>46385</v>
      </c>
      <c r="E30" s="1" t="str">
        <f>IFERROR(__xludf.DUMMYFUNCTION("""COMPUTED_VALUE"""),"VF")</f>
        <v>VF</v>
      </c>
      <c r="F30" s="1">
        <f>IFERROR(__xludf.DUMMYFUNCTION("""COMPUTED_VALUE"""),2.0)</f>
        <v>2</v>
      </c>
      <c r="G30" s="1" t="str">
        <f>IFERROR(__xludf.DUMMYFUNCTION("""COMPUTED_VALUE"""),"PR002")</f>
        <v>PR002</v>
      </c>
      <c r="H30" s="1" t="str">
        <f>IFERROR(__xludf.DUMMYFUNCTION("""COMPUTED_VALUE"""),"VD040")</f>
        <v>VD040</v>
      </c>
      <c r="I30" s="1">
        <f>IFERROR(__xludf.DUMMYFUNCTION("""COMPUTED_VALUE"""),24.0)</f>
        <v>24</v>
      </c>
      <c r="J30" s="1">
        <f>IFERROR(__xludf.DUMMYFUNCTION("""COMPUTED_VALUE"""),1996.34)</f>
        <v>1996.34</v>
      </c>
      <c r="K30" s="1">
        <f>IFERROR(__xludf.DUMMYFUNCTION("""COMPUTED_VALUE"""),1996.34)</f>
        <v>1996.34</v>
      </c>
    </row>
    <row r="31">
      <c r="A31" s="1">
        <f>IFERROR(__xludf.DUMMYFUNCTION("""COMPUTED_VALUE"""),1000.0)</f>
        <v>1000</v>
      </c>
      <c r="B31" s="1">
        <f>IFERROR(__xludf.DUMMYFUNCTION("""COMPUTED_VALUE"""),183479.0)</f>
        <v>183479</v>
      </c>
      <c r="C31" s="1">
        <f>IFERROR(__xludf.DUMMYFUNCTION("""COMPUTED_VALUE"""),2026.0)</f>
        <v>2026</v>
      </c>
      <c r="D31" s="1">
        <f>IFERROR(__xludf.DUMMYFUNCTION("""COMPUTED_VALUE"""),46384.0)</f>
        <v>46384</v>
      </c>
      <c r="E31" s="1" t="str">
        <f>IFERROR(__xludf.DUMMYFUNCTION("""COMPUTED_VALUE"""),"VF")</f>
        <v>VF</v>
      </c>
      <c r="F31" s="1">
        <f>IFERROR(__xludf.DUMMYFUNCTION("""COMPUTED_VALUE"""),3.0)</f>
        <v>3</v>
      </c>
      <c r="G31" s="1" t="str">
        <f>IFERROR(__xludf.DUMMYFUNCTION("""COMPUTED_VALUE"""),"PR038")</f>
        <v>PR038</v>
      </c>
      <c r="H31" s="1" t="str">
        <f>IFERROR(__xludf.DUMMYFUNCTION("""COMPUTED_VALUE"""),"VD016")</f>
        <v>VD016</v>
      </c>
      <c r="I31" s="1">
        <f>IFERROR(__xludf.DUMMYFUNCTION("""COMPUTED_VALUE"""),12.0)</f>
        <v>12</v>
      </c>
      <c r="J31" s="1">
        <f>IFERROR(__xludf.DUMMYFUNCTION("""COMPUTED_VALUE"""),1972.02)</f>
        <v>1972.02</v>
      </c>
      <c r="K31" s="1">
        <f>IFERROR(__xludf.DUMMYFUNCTION("""COMPUTED_VALUE"""),1972.02)</f>
        <v>1972.02</v>
      </c>
    </row>
    <row r="32">
      <c r="A32" s="1">
        <f>IFERROR(__xludf.DUMMYFUNCTION("""COMPUTED_VALUE"""),1000.0)</f>
        <v>1000</v>
      </c>
      <c r="B32" s="1">
        <f>IFERROR(__xludf.DUMMYFUNCTION("""COMPUTED_VALUE"""),183480.0)</f>
        <v>183480</v>
      </c>
      <c r="C32" s="1">
        <f>IFERROR(__xludf.DUMMYFUNCTION("""COMPUTED_VALUE"""),2026.0)</f>
        <v>2026</v>
      </c>
      <c r="D32" s="1">
        <f>IFERROR(__xludf.DUMMYFUNCTION("""COMPUTED_VALUE"""),46384.0)</f>
        <v>46384</v>
      </c>
      <c r="E32" s="1" t="str">
        <f>IFERROR(__xludf.DUMMYFUNCTION("""COMPUTED_VALUE"""),"VF")</f>
        <v>VF</v>
      </c>
      <c r="F32" s="1">
        <f>IFERROR(__xludf.DUMMYFUNCTION("""COMPUTED_VALUE"""),1.0)</f>
        <v>1</v>
      </c>
      <c r="G32" s="1" t="str">
        <f>IFERROR(__xludf.DUMMYFUNCTION("""COMPUTED_VALUE"""),"PR027")</f>
        <v>PR027</v>
      </c>
      <c r="H32" s="1" t="str">
        <f>IFERROR(__xludf.DUMMYFUNCTION("""COMPUTED_VALUE"""),"VD035")</f>
        <v>VD035</v>
      </c>
      <c r="I32" s="1">
        <f>IFERROR(__xludf.DUMMYFUNCTION("""COMPUTED_VALUE"""),30.0)</f>
        <v>30</v>
      </c>
      <c r="J32" s="1">
        <f>IFERROR(__xludf.DUMMYFUNCTION("""COMPUTED_VALUE"""),3996.0)</f>
        <v>3996</v>
      </c>
      <c r="K32" s="1">
        <f>IFERROR(__xludf.DUMMYFUNCTION("""COMPUTED_VALUE"""),3996.0)</f>
        <v>3996</v>
      </c>
    </row>
    <row r="33">
      <c r="A33" s="1">
        <f>IFERROR(__xludf.DUMMYFUNCTION("""COMPUTED_VALUE"""),1000.0)</f>
        <v>1000</v>
      </c>
      <c r="B33" s="1">
        <f>IFERROR(__xludf.DUMMYFUNCTION("""COMPUTED_VALUE"""),183480.0)</f>
        <v>183480</v>
      </c>
      <c r="C33" s="1">
        <f>IFERROR(__xludf.DUMMYFUNCTION("""COMPUTED_VALUE"""),2026.0)</f>
        <v>2026</v>
      </c>
      <c r="D33" s="1">
        <f>IFERROR(__xludf.DUMMYFUNCTION("""COMPUTED_VALUE"""),46384.0)</f>
        <v>46384</v>
      </c>
      <c r="E33" s="1" t="str">
        <f>IFERROR(__xludf.DUMMYFUNCTION("""COMPUTED_VALUE"""),"VF")</f>
        <v>VF</v>
      </c>
      <c r="F33" s="1">
        <f>IFERROR(__xludf.DUMMYFUNCTION("""COMPUTED_VALUE"""),2.0)</f>
        <v>2</v>
      </c>
      <c r="G33" s="1" t="str">
        <f>IFERROR(__xludf.DUMMYFUNCTION("""COMPUTED_VALUE"""),"PR059")</f>
        <v>PR059</v>
      </c>
      <c r="H33" s="1" t="str">
        <f>IFERROR(__xludf.DUMMYFUNCTION("""COMPUTED_VALUE"""),"VD049")</f>
        <v>VD049</v>
      </c>
      <c r="I33" s="1">
        <f>IFERROR(__xludf.DUMMYFUNCTION("""COMPUTED_VALUE"""),12.0)</f>
        <v>12</v>
      </c>
      <c r="J33" s="1">
        <f>IFERROR(__xludf.DUMMYFUNCTION("""COMPUTED_VALUE"""),2419.2)</f>
        <v>2419.2</v>
      </c>
      <c r="K33" s="1">
        <f>IFERROR(__xludf.DUMMYFUNCTION("""COMPUTED_VALUE"""),2419.2)</f>
        <v>2419.2</v>
      </c>
    </row>
    <row r="34">
      <c r="A34" s="1">
        <f>IFERROR(__xludf.DUMMYFUNCTION("""COMPUTED_VALUE"""),1000.0)</f>
        <v>1000</v>
      </c>
      <c r="B34" s="1">
        <f>IFERROR(__xludf.DUMMYFUNCTION("""COMPUTED_VALUE"""),183480.0)</f>
        <v>183480</v>
      </c>
      <c r="C34" s="1">
        <f>IFERROR(__xludf.DUMMYFUNCTION("""COMPUTED_VALUE"""),2026.0)</f>
        <v>2026</v>
      </c>
      <c r="D34" s="1">
        <f>IFERROR(__xludf.DUMMYFUNCTION("""COMPUTED_VALUE"""),46383.0)</f>
        <v>46383</v>
      </c>
      <c r="E34" s="1" t="str">
        <f>IFERROR(__xludf.DUMMYFUNCTION("""COMPUTED_VALUE"""),"VF")</f>
        <v>VF</v>
      </c>
      <c r="F34" s="1">
        <f>IFERROR(__xludf.DUMMYFUNCTION("""COMPUTED_VALUE"""),3.0)</f>
        <v>3</v>
      </c>
      <c r="G34" s="1" t="str">
        <f>IFERROR(__xludf.DUMMYFUNCTION("""COMPUTED_VALUE"""),"PR035")</f>
        <v>PR035</v>
      </c>
      <c r="H34" s="1" t="str">
        <f>IFERROR(__xludf.DUMMYFUNCTION("""COMPUTED_VALUE"""),"VD019")</f>
        <v>VD019</v>
      </c>
      <c r="I34" s="1">
        <f>IFERROR(__xludf.DUMMYFUNCTION("""COMPUTED_VALUE"""),21.0)</f>
        <v>21</v>
      </c>
      <c r="J34" s="1">
        <f>IFERROR(__xludf.DUMMYFUNCTION("""COMPUTED_VALUE"""),2207.31)</f>
        <v>2207.31</v>
      </c>
      <c r="K34" s="1">
        <f>IFERROR(__xludf.DUMMYFUNCTION("""COMPUTED_VALUE"""),2207.31)</f>
        <v>2207.31</v>
      </c>
    </row>
    <row r="35">
      <c r="A35" s="1">
        <f>IFERROR(__xludf.DUMMYFUNCTION("""COMPUTED_VALUE"""),1000.0)</f>
        <v>1000</v>
      </c>
      <c r="B35" s="1">
        <f>IFERROR(__xludf.DUMMYFUNCTION("""COMPUTED_VALUE"""),183481.0)</f>
        <v>183481</v>
      </c>
      <c r="C35" s="1">
        <f>IFERROR(__xludf.DUMMYFUNCTION("""COMPUTED_VALUE"""),2026.0)</f>
        <v>2026</v>
      </c>
      <c r="D35" s="1">
        <f>IFERROR(__xludf.DUMMYFUNCTION("""COMPUTED_VALUE"""),46383.0)</f>
        <v>46383</v>
      </c>
      <c r="E35" s="1" t="str">
        <f>IFERROR(__xludf.DUMMYFUNCTION("""COMPUTED_VALUE"""),"VF")</f>
        <v>VF</v>
      </c>
      <c r="F35" s="1">
        <f>IFERROR(__xludf.DUMMYFUNCTION("""COMPUTED_VALUE"""),1.0)</f>
        <v>1</v>
      </c>
      <c r="G35" s="1" t="str">
        <f>IFERROR(__xludf.DUMMYFUNCTION("""COMPUTED_VALUE"""),"PR028")</f>
        <v>PR028</v>
      </c>
      <c r="H35" s="1" t="str">
        <f>IFERROR(__xludf.DUMMYFUNCTION("""COMPUTED_VALUE"""),"VD011")</f>
        <v>VD011</v>
      </c>
      <c r="I35" s="1">
        <f>IFERROR(__xludf.DUMMYFUNCTION("""COMPUTED_VALUE"""),16.0)</f>
        <v>16</v>
      </c>
      <c r="J35" s="1">
        <f>IFERROR(__xludf.DUMMYFUNCTION("""COMPUTED_VALUE"""),4718.11)</f>
        <v>4718.11</v>
      </c>
      <c r="K35" s="1">
        <f>IFERROR(__xludf.DUMMYFUNCTION("""COMPUTED_VALUE"""),4718.11)</f>
        <v>4718.11</v>
      </c>
    </row>
    <row r="36">
      <c r="A36" s="1">
        <f>IFERROR(__xludf.DUMMYFUNCTION("""COMPUTED_VALUE"""),1000.0)</f>
        <v>1000</v>
      </c>
      <c r="B36" s="1">
        <f>IFERROR(__xludf.DUMMYFUNCTION("""COMPUTED_VALUE"""),183482.0)</f>
        <v>183482</v>
      </c>
      <c r="C36" s="1">
        <f>IFERROR(__xludf.DUMMYFUNCTION("""COMPUTED_VALUE"""),2026.0)</f>
        <v>2026</v>
      </c>
      <c r="D36" s="1">
        <f>IFERROR(__xludf.DUMMYFUNCTION("""COMPUTED_VALUE"""),46382.0)</f>
        <v>46382</v>
      </c>
      <c r="E36" s="1" t="str">
        <f>IFERROR(__xludf.DUMMYFUNCTION("""COMPUTED_VALUE"""),"VF")</f>
        <v>VF</v>
      </c>
      <c r="F36" s="1">
        <f>IFERROR(__xludf.DUMMYFUNCTION("""COMPUTED_VALUE"""),1.0)</f>
        <v>1</v>
      </c>
      <c r="G36" s="1" t="str">
        <f>IFERROR(__xludf.DUMMYFUNCTION("""COMPUTED_VALUE"""),"PR018")</f>
        <v>PR018</v>
      </c>
      <c r="H36" s="1" t="str">
        <f>IFERROR(__xludf.DUMMYFUNCTION("""COMPUTED_VALUE"""),"VD016")</f>
        <v>VD016</v>
      </c>
      <c r="I36" s="1">
        <f>IFERROR(__xludf.DUMMYFUNCTION("""COMPUTED_VALUE"""),10.0)</f>
        <v>10</v>
      </c>
      <c r="J36" s="1">
        <f>IFERROR(__xludf.DUMMYFUNCTION("""COMPUTED_VALUE"""),378.35)</f>
        <v>378.35</v>
      </c>
      <c r="K36" s="1">
        <f>IFERROR(__xludf.DUMMYFUNCTION("""COMPUTED_VALUE"""),378.35)</f>
        <v>378.35</v>
      </c>
    </row>
    <row r="37">
      <c r="A37" s="1">
        <f>IFERROR(__xludf.DUMMYFUNCTION("""COMPUTED_VALUE"""),2000.0)</f>
        <v>2000</v>
      </c>
      <c r="B37" s="1">
        <f>IFERROR(__xludf.DUMMYFUNCTION("""COMPUTED_VALUE"""),183483.0)</f>
        <v>183483</v>
      </c>
      <c r="C37" s="1">
        <f>IFERROR(__xludf.DUMMYFUNCTION("""COMPUTED_VALUE"""),2026.0)</f>
        <v>2026</v>
      </c>
      <c r="D37" s="1">
        <f>IFERROR(__xludf.DUMMYFUNCTION("""COMPUTED_VALUE"""),46382.0)</f>
        <v>46382</v>
      </c>
      <c r="E37" s="1" t="str">
        <f>IFERROR(__xludf.DUMMYFUNCTION("""COMPUTED_VALUE"""),"VF")</f>
        <v>VF</v>
      </c>
      <c r="F37" s="1">
        <f>IFERROR(__xludf.DUMMYFUNCTION("""COMPUTED_VALUE"""),1.0)</f>
        <v>1</v>
      </c>
      <c r="G37" s="1" t="str">
        <f>IFERROR(__xludf.DUMMYFUNCTION("""COMPUTED_VALUE"""),"PR035")</f>
        <v>PR035</v>
      </c>
      <c r="H37" s="1" t="str">
        <f>IFERROR(__xludf.DUMMYFUNCTION("""COMPUTED_VALUE"""),"VD018")</f>
        <v>VD018</v>
      </c>
      <c r="I37" s="1">
        <f>IFERROR(__xludf.DUMMYFUNCTION("""COMPUTED_VALUE"""),28.0)</f>
        <v>28</v>
      </c>
      <c r="J37" s="1">
        <f>IFERROR(__xludf.DUMMYFUNCTION("""COMPUTED_VALUE"""),2149.73)</f>
        <v>2149.73</v>
      </c>
      <c r="K37" s="1">
        <f>IFERROR(__xludf.DUMMYFUNCTION("""COMPUTED_VALUE"""),2149.73)</f>
        <v>2149.73</v>
      </c>
    </row>
    <row r="38">
      <c r="A38" s="1">
        <f>IFERROR(__xludf.DUMMYFUNCTION("""COMPUTED_VALUE"""),1000.0)</f>
        <v>1000</v>
      </c>
      <c r="B38" s="1">
        <f>IFERROR(__xludf.DUMMYFUNCTION("""COMPUTED_VALUE"""),183483.0)</f>
        <v>183483</v>
      </c>
      <c r="C38" s="1">
        <f>IFERROR(__xludf.DUMMYFUNCTION("""COMPUTED_VALUE"""),2026.0)</f>
        <v>2026</v>
      </c>
      <c r="D38" s="1">
        <f>IFERROR(__xludf.DUMMYFUNCTION("""COMPUTED_VALUE"""),46381.0)</f>
        <v>46381</v>
      </c>
      <c r="E38" s="1" t="str">
        <f>IFERROR(__xludf.DUMMYFUNCTION("""COMPUTED_VALUE"""),"VF")</f>
        <v>VF</v>
      </c>
      <c r="F38" s="1">
        <f>IFERROR(__xludf.DUMMYFUNCTION("""COMPUTED_VALUE"""),2.0)</f>
        <v>2</v>
      </c>
      <c r="G38" s="1" t="str">
        <f>IFERROR(__xludf.DUMMYFUNCTION("""COMPUTED_VALUE"""),"PR057")</f>
        <v>PR057</v>
      </c>
      <c r="H38" s="1" t="str">
        <f>IFERROR(__xludf.DUMMYFUNCTION("""COMPUTED_VALUE"""),"VD034")</f>
        <v>VD034</v>
      </c>
      <c r="I38" s="1">
        <f>IFERROR(__xludf.DUMMYFUNCTION("""COMPUTED_VALUE"""),9.0)</f>
        <v>9</v>
      </c>
      <c r="J38" s="1">
        <f>IFERROR(__xludf.DUMMYFUNCTION("""COMPUTED_VALUE"""),906.19)</f>
        <v>906.19</v>
      </c>
      <c r="K38" s="1">
        <f>IFERROR(__xludf.DUMMYFUNCTION("""COMPUTED_VALUE"""),906.19)</f>
        <v>906.19</v>
      </c>
    </row>
    <row r="39">
      <c r="A39" s="1">
        <f>IFERROR(__xludf.DUMMYFUNCTION("""COMPUTED_VALUE"""),1000.0)</f>
        <v>1000</v>
      </c>
      <c r="B39" s="1">
        <f>IFERROR(__xludf.DUMMYFUNCTION("""COMPUTED_VALUE"""),183484.0)</f>
        <v>183484</v>
      </c>
      <c r="C39" s="1">
        <f>IFERROR(__xludf.DUMMYFUNCTION("""COMPUTED_VALUE"""),2026.0)</f>
        <v>2026</v>
      </c>
      <c r="D39" s="1">
        <f>IFERROR(__xludf.DUMMYFUNCTION("""COMPUTED_VALUE"""),46381.0)</f>
        <v>46381</v>
      </c>
      <c r="E39" s="1" t="str">
        <f>IFERROR(__xludf.DUMMYFUNCTION("""COMPUTED_VALUE"""),"VF")</f>
        <v>VF</v>
      </c>
      <c r="F39" s="1">
        <f>IFERROR(__xludf.DUMMYFUNCTION("""COMPUTED_VALUE"""),1.0)</f>
        <v>1</v>
      </c>
      <c r="G39" s="1" t="str">
        <f>IFERROR(__xludf.DUMMYFUNCTION("""COMPUTED_VALUE"""),"PR004")</f>
        <v>PR004</v>
      </c>
      <c r="H39" s="1" t="str">
        <f>IFERROR(__xludf.DUMMYFUNCTION("""COMPUTED_VALUE"""),"VD024")</f>
        <v>VD024</v>
      </c>
      <c r="I39" s="1">
        <f>IFERROR(__xludf.DUMMYFUNCTION("""COMPUTED_VALUE"""),15.0)</f>
        <v>15</v>
      </c>
      <c r="J39" s="1">
        <f>IFERROR(__xludf.DUMMYFUNCTION("""COMPUTED_VALUE"""),2610.0)</f>
        <v>2610</v>
      </c>
      <c r="K39" s="1">
        <f>IFERROR(__xludf.DUMMYFUNCTION("""COMPUTED_VALUE"""),2610.0)</f>
        <v>2610</v>
      </c>
    </row>
    <row r="40">
      <c r="A40" s="1">
        <f>IFERROR(__xludf.DUMMYFUNCTION("""COMPUTED_VALUE"""),1000.0)</f>
        <v>1000</v>
      </c>
      <c r="B40" s="1">
        <f>IFERROR(__xludf.DUMMYFUNCTION("""COMPUTED_VALUE"""),183485.0)</f>
        <v>183485</v>
      </c>
      <c r="C40" s="1">
        <f>IFERROR(__xludf.DUMMYFUNCTION("""COMPUTED_VALUE"""),2026.0)</f>
        <v>2026</v>
      </c>
      <c r="D40" s="1">
        <f>IFERROR(__xludf.DUMMYFUNCTION("""COMPUTED_VALUE"""),46381.0)</f>
        <v>46381</v>
      </c>
      <c r="E40" s="1" t="str">
        <f>IFERROR(__xludf.DUMMYFUNCTION("""COMPUTED_VALUE"""),"VF")</f>
        <v>VF</v>
      </c>
      <c r="F40" s="1">
        <f>IFERROR(__xludf.DUMMYFUNCTION("""COMPUTED_VALUE"""),1.0)</f>
        <v>1</v>
      </c>
      <c r="G40" s="1" t="str">
        <f>IFERROR(__xludf.DUMMYFUNCTION("""COMPUTED_VALUE"""),"PR014")</f>
        <v>PR014</v>
      </c>
      <c r="H40" s="1" t="str">
        <f>IFERROR(__xludf.DUMMYFUNCTION("""COMPUTED_VALUE"""),"VD011")</f>
        <v>VD011</v>
      </c>
      <c r="I40" s="1">
        <f>IFERROR(__xludf.DUMMYFUNCTION("""COMPUTED_VALUE"""),12.0)</f>
        <v>12</v>
      </c>
      <c r="J40" s="1">
        <f>IFERROR(__xludf.DUMMYFUNCTION("""COMPUTED_VALUE"""),560.2)</f>
        <v>560.2</v>
      </c>
      <c r="K40" s="1">
        <f>IFERROR(__xludf.DUMMYFUNCTION("""COMPUTED_VALUE"""),560.2)</f>
        <v>560.2</v>
      </c>
    </row>
    <row r="41">
      <c r="A41" s="1">
        <f>IFERROR(__xludf.DUMMYFUNCTION("""COMPUTED_VALUE"""),2000.0)</f>
        <v>2000</v>
      </c>
      <c r="B41" s="1">
        <f>IFERROR(__xludf.DUMMYFUNCTION("""COMPUTED_VALUE"""),183486.0)</f>
        <v>183486</v>
      </c>
      <c r="C41" s="1">
        <f>IFERROR(__xludf.DUMMYFUNCTION("""COMPUTED_VALUE"""),2026.0)</f>
        <v>2026</v>
      </c>
      <c r="D41" s="1">
        <f>IFERROR(__xludf.DUMMYFUNCTION("""COMPUTED_VALUE"""),46381.0)</f>
        <v>46381</v>
      </c>
      <c r="E41" s="1" t="str">
        <f>IFERROR(__xludf.DUMMYFUNCTION("""COMPUTED_VALUE"""),"VF")</f>
        <v>VF</v>
      </c>
      <c r="F41" s="1">
        <f>IFERROR(__xludf.DUMMYFUNCTION("""COMPUTED_VALUE"""),1.0)</f>
        <v>1</v>
      </c>
      <c r="G41" s="1" t="str">
        <f>IFERROR(__xludf.DUMMYFUNCTION("""COMPUTED_VALUE"""),"PR027")</f>
        <v>PR027</v>
      </c>
      <c r="H41" s="1" t="str">
        <f>IFERROR(__xludf.DUMMYFUNCTION("""COMPUTED_VALUE"""),"VD018")</f>
        <v>VD018</v>
      </c>
      <c r="I41" s="1">
        <f>IFERROR(__xludf.DUMMYFUNCTION("""COMPUTED_VALUE"""),27.0)</f>
        <v>27</v>
      </c>
      <c r="J41" s="1">
        <f>IFERROR(__xludf.DUMMYFUNCTION("""COMPUTED_VALUE"""),3888.0)</f>
        <v>3888</v>
      </c>
      <c r="K41" s="1">
        <f>IFERROR(__xludf.DUMMYFUNCTION("""COMPUTED_VALUE"""),3888.0)</f>
        <v>3888</v>
      </c>
    </row>
    <row r="42">
      <c r="A42" s="1">
        <f>IFERROR(__xludf.DUMMYFUNCTION("""COMPUTED_VALUE"""),1000.0)</f>
        <v>1000</v>
      </c>
      <c r="B42" s="1">
        <f>IFERROR(__xludf.DUMMYFUNCTION("""COMPUTED_VALUE"""),183487.0)</f>
        <v>183487</v>
      </c>
      <c r="C42" s="1">
        <f>IFERROR(__xludf.DUMMYFUNCTION("""COMPUTED_VALUE"""),2026.0)</f>
        <v>2026</v>
      </c>
      <c r="D42" s="1">
        <f>IFERROR(__xludf.DUMMYFUNCTION("""COMPUTED_VALUE"""),46381.0)</f>
        <v>46381</v>
      </c>
      <c r="E42" s="1" t="str">
        <f>IFERROR(__xludf.DUMMYFUNCTION("""COMPUTED_VALUE"""),"VF")</f>
        <v>VF</v>
      </c>
      <c r="F42" s="1">
        <f>IFERROR(__xludf.DUMMYFUNCTION("""COMPUTED_VALUE"""),1.0)</f>
        <v>1</v>
      </c>
      <c r="G42" s="1" t="str">
        <f>IFERROR(__xludf.DUMMYFUNCTION("""COMPUTED_VALUE"""),"PR032")</f>
        <v>PR032</v>
      </c>
      <c r="H42" s="1" t="str">
        <f>IFERROR(__xludf.DUMMYFUNCTION("""COMPUTED_VALUE"""),"VD011")</f>
        <v>VD011</v>
      </c>
      <c r="I42" s="1">
        <f>IFERROR(__xludf.DUMMYFUNCTION("""COMPUTED_VALUE"""),24.0)</f>
        <v>24</v>
      </c>
      <c r="J42" s="1">
        <f>IFERROR(__xludf.DUMMYFUNCTION("""COMPUTED_VALUE"""),6600.0)</f>
        <v>6600</v>
      </c>
      <c r="K42" s="1">
        <f>IFERROR(__xludf.DUMMYFUNCTION("""COMPUTED_VALUE"""),6600.0)</f>
        <v>6600</v>
      </c>
    </row>
    <row r="43">
      <c r="A43" s="1">
        <f>IFERROR(__xludf.DUMMYFUNCTION("""COMPUTED_VALUE"""),2000.0)</f>
        <v>2000</v>
      </c>
      <c r="B43" s="1">
        <f>IFERROR(__xludf.DUMMYFUNCTION("""COMPUTED_VALUE"""),183487.0)</f>
        <v>183487</v>
      </c>
      <c r="C43" s="1">
        <f>IFERROR(__xludf.DUMMYFUNCTION("""COMPUTED_VALUE"""),2026.0)</f>
        <v>2026</v>
      </c>
      <c r="D43" s="1">
        <f>IFERROR(__xludf.DUMMYFUNCTION("""COMPUTED_VALUE"""),46381.0)</f>
        <v>46381</v>
      </c>
      <c r="E43" s="1" t="str">
        <f>IFERROR(__xludf.DUMMYFUNCTION("""COMPUTED_VALUE"""),"VF")</f>
        <v>VF</v>
      </c>
      <c r="F43" s="1">
        <f>IFERROR(__xludf.DUMMYFUNCTION("""COMPUTED_VALUE"""),2.0)</f>
        <v>2</v>
      </c>
      <c r="G43" s="1" t="str">
        <f>IFERROR(__xludf.DUMMYFUNCTION("""COMPUTED_VALUE"""),"PR006")</f>
        <v>PR006</v>
      </c>
      <c r="H43" s="1" t="str">
        <f>IFERROR(__xludf.DUMMYFUNCTION("""COMPUTED_VALUE"""),"VD015")</f>
        <v>VD015</v>
      </c>
      <c r="I43" s="1">
        <f>IFERROR(__xludf.DUMMYFUNCTION("""COMPUTED_VALUE"""),27.0)</f>
        <v>27</v>
      </c>
      <c r="J43" s="1">
        <f>IFERROR(__xludf.DUMMYFUNCTION("""COMPUTED_VALUE"""),1260.44)</f>
        <v>1260.44</v>
      </c>
      <c r="K43" s="1">
        <f>IFERROR(__xludf.DUMMYFUNCTION("""COMPUTED_VALUE"""),1260.44)</f>
        <v>1260.44</v>
      </c>
    </row>
    <row r="44">
      <c r="A44" s="1">
        <f>IFERROR(__xludf.DUMMYFUNCTION("""COMPUTED_VALUE"""),2000.0)</f>
        <v>2000</v>
      </c>
      <c r="B44" s="1">
        <f>IFERROR(__xludf.DUMMYFUNCTION("""COMPUTED_VALUE"""),183488.0)</f>
        <v>183488</v>
      </c>
      <c r="C44" s="1">
        <f>IFERROR(__xludf.DUMMYFUNCTION("""COMPUTED_VALUE"""),2026.0)</f>
        <v>2026</v>
      </c>
      <c r="D44" s="1">
        <f>IFERROR(__xludf.DUMMYFUNCTION("""COMPUTED_VALUE"""),46381.0)</f>
        <v>46381</v>
      </c>
      <c r="E44" s="1" t="str">
        <f>IFERROR(__xludf.DUMMYFUNCTION("""COMPUTED_VALUE"""),"VF")</f>
        <v>VF</v>
      </c>
      <c r="F44" s="1">
        <f>IFERROR(__xludf.DUMMYFUNCTION("""COMPUTED_VALUE"""),1.0)</f>
        <v>1</v>
      </c>
      <c r="G44" s="1" t="str">
        <f>IFERROR(__xludf.DUMMYFUNCTION("""COMPUTED_VALUE"""),"PR028")</f>
        <v>PR028</v>
      </c>
      <c r="H44" s="1" t="str">
        <f>IFERROR(__xludf.DUMMYFUNCTION("""COMPUTED_VALUE"""),"VD048")</f>
        <v>VD048</v>
      </c>
      <c r="I44" s="1">
        <f>IFERROR(__xludf.DUMMYFUNCTION("""COMPUTED_VALUE"""),20.0)</f>
        <v>20</v>
      </c>
      <c r="J44" s="1">
        <f>IFERROR(__xludf.DUMMYFUNCTION("""COMPUTED_VALUE"""),5597.76)</f>
        <v>5597.76</v>
      </c>
      <c r="K44" s="1">
        <f>IFERROR(__xludf.DUMMYFUNCTION("""COMPUTED_VALUE"""),5597.76)</f>
        <v>5597.76</v>
      </c>
    </row>
    <row r="45">
      <c r="A45" s="1">
        <f>IFERROR(__xludf.DUMMYFUNCTION("""COMPUTED_VALUE"""),1000.0)</f>
        <v>1000</v>
      </c>
      <c r="B45" s="1">
        <f>IFERROR(__xludf.DUMMYFUNCTION("""COMPUTED_VALUE"""),183489.0)</f>
        <v>183489</v>
      </c>
      <c r="C45" s="1">
        <f>IFERROR(__xludf.DUMMYFUNCTION("""COMPUTED_VALUE"""),2026.0)</f>
        <v>2026</v>
      </c>
      <c r="D45" s="1">
        <f>IFERROR(__xludf.DUMMYFUNCTION("""COMPUTED_VALUE"""),46381.0)</f>
        <v>46381</v>
      </c>
      <c r="E45" s="1" t="str">
        <f>IFERROR(__xludf.DUMMYFUNCTION("""COMPUTED_VALUE"""),"VF")</f>
        <v>VF</v>
      </c>
      <c r="F45" s="1">
        <f>IFERROR(__xludf.DUMMYFUNCTION("""COMPUTED_VALUE"""),1.0)</f>
        <v>1</v>
      </c>
      <c r="G45" s="1" t="str">
        <f>IFERROR(__xludf.DUMMYFUNCTION("""COMPUTED_VALUE"""),"PR033")</f>
        <v>PR033</v>
      </c>
      <c r="H45" s="1" t="str">
        <f>IFERROR(__xludf.DUMMYFUNCTION("""COMPUTED_VALUE"""),"VD024")</f>
        <v>VD024</v>
      </c>
      <c r="I45" s="1">
        <f>IFERROR(__xludf.DUMMYFUNCTION("""COMPUTED_VALUE"""),24.0)</f>
        <v>24</v>
      </c>
      <c r="J45" s="1">
        <f>IFERROR(__xludf.DUMMYFUNCTION("""COMPUTED_VALUE"""),7485.12)</f>
        <v>7485.12</v>
      </c>
      <c r="K45" s="1">
        <f>IFERROR(__xludf.DUMMYFUNCTION("""COMPUTED_VALUE"""),7485.12)</f>
        <v>7485.12</v>
      </c>
    </row>
    <row r="46">
      <c r="A46" s="1">
        <f>IFERROR(__xludf.DUMMYFUNCTION("""COMPUTED_VALUE"""),1000.0)</f>
        <v>1000</v>
      </c>
      <c r="B46" s="1">
        <f>IFERROR(__xludf.DUMMYFUNCTION("""COMPUTED_VALUE"""),183490.0)</f>
        <v>183490</v>
      </c>
      <c r="C46" s="1">
        <f>IFERROR(__xludf.DUMMYFUNCTION("""COMPUTED_VALUE"""),2026.0)</f>
        <v>2026</v>
      </c>
      <c r="D46" s="1">
        <f>IFERROR(__xludf.DUMMYFUNCTION("""COMPUTED_VALUE"""),46381.0)</f>
        <v>46381</v>
      </c>
      <c r="E46" s="1" t="str">
        <f>IFERROR(__xludf.DUMMYFUNCTION("""COMPUTED_VALUE"""),"VF")</f>
        <v>VF</v>
      </c>
      <c r="F46" s="1">
        <f>IFERROR(__xludf.DUMMYFUNCTION("""COMPUTED_VALUE"""),1.0)</f>
        <v>1</v>
      </c>
      <c r="G46" s="1" t="str">
        <f>IFERROR(__xludf.DUMMYFUNCTION("""COMPUTED_VALUE"""),"PR008")</f>
        <v>PR008</v>
      </c>
      <c r="H46" s="1" t="str">
        <f>IFERROR(__xludf.DUMMYFUNCTION("""COMPUTED_VALUE"""),"VD027")</f>
        <v>VD027</v>
      </c>
      <c r="I46" s="1">
        <f>IFERROR(__xludf.DUMMYFUNCTION("""COMPUTED_VALUE"""),20.0)</f>
        <v>20</v>
      </c>
      <c r="J46" s="1">
        <f>IFERROR(__xludf.DUMMYFUNCTION("""COMPUTED_VALUE"""),2049.72)</f>
        <v>2049.72</v>
      </c>
      <c r="K46" s="1">
        <f>IFERROR(__xludf.DUMMYFUNCTION("""COMPUTED_VALUE"""),2049.72)</f>
        <v>2049.72</v>
      </c>
    </row>
    <row r="47">
      <c r="A47" s="1">
        <f>IFERROR(__xludf.DUMMYFUNCTION("""COMPUTED_VALUE"""),1000.0)</f>
        <v>1000</v>
      </c>
      <c r="B47" s="1">
        <f>IFERROR(__xludf.DUMMYFUNCTION("""COMPUTED_VALUE"""),183491.0)</f>
        <v>183491</v>
      </c>
      <c r="C47" s="1">
        <f>IFERROR(__xludf.DUMMYFUNCTION("""COMPUTED_VALUE"""),2026.0)</f>
        <v>2026</v>
      </c>
      <c r="D47" s="1">
        <f>IFERROR(__xludf.DUMMYFUNCTION("""COMPUTED_VALUE"""),46381.0)</f>
        <v>46381</v>
      </c>
      <c r="E47" s="1" t="str">
        <f>IFERROR(__xludf.DUMMYFUNCTION("""COMPUTED_VALUE"""),"VF")</f>
        <v>VF</v>
      </c>
      <c r="F47" s="1">
        <f>IFERROR(__xludf.DUMMYFUNCTION("""COMPUTED_VALUE"""),1.0)</f>
        <v>1</v>
      </c>
      <c r="G47" s="1" t="str">
        <f>IFERROR(__xludf.DUMMYFUNCTION("""COMPUTED_VALUE"""),"PR013")</f>
        <v>PR013</v>
      </c>
      <c r="H47" s="1" t="str">
        <f>IFERROR(__xludf.DUMMYFUNCTION("""COMPUTED_VALUE"""),"VD048")</f>
        <v>VD048</v>
      </c>
      <c r="I47" s="1">
        <f>IFERROR(__xludf.DUMMYFUNCTION("""COMPUTED_VALUE"""),27.0)</f>
        <v>27</v>
      </c>
      <c r="J47" s="1">
        <f>IFERROR(__xludf.DUMMYFUNCTION("""COMPUTED_VALUE"""),1238.9)</f>
        <v>1238.9</v>
      </c>
      <c r="K47" s="1">
        <f>IFERROR(__xludf.DUMMYFUNCTION("""COMPUTED_VALUE"""),1238.9)</f>
        <v>1238.9</v>
      </c>
    </row>
    <row r="48">
      <c r="A48" s="1">
        <f>IFERROR(__xludf.DUMMYFUNCTION("""COMPUTED_VALUE"""),1000.0)</f>
        <v>1000</v>
      </c>
      <c r="B48" s="1">
        <f>IFERROR(__xludf.DUMMYFUNCTION("""COMPUTED_VALUE"""),183492.0)</f>
        <v>183492</v>
      </c>
      <c r="C48" s="1">
        <f>IFERROR(__xludf.DUMMYFUNCTION("""COMPUTED_VALUE"""),2026.0)</f>
        <v>2026</v>
      </c>
      <c r="D48" s="1">
        <f>IFERROR(__xludf.DUMMYFUNCTION("""COMPUTED_VALUE"""),46381.0)</f>
        <v>46381</v>
      </c>
      <c r="E48" s="1" t="str">
        <f>IFERROR(__xludf.DUMMYFUNCTION("""COMPUTED_VALUE"""),"VF")</f>
        <v>VF</v>
      </c>
      <c r="F48" s="1">
        <f>IFERROR(__xludf.DUMMYFUNCTION("""COMPUTED_VALUE"""),1.0)</f>
        <v>1</v>
      </c>
      <c r="G48" s="1" t="str">
        <f>IFERROR(__xludf.DUMMYFUNCTION("""COMPUTED_VALUE"""),"PR011")</f>
        <v>PR011</v>
      </c>
      <c r="H48" s="1" t="str">
        <f>IFERROR(__xludf.DUMMYFUNCTION("""COMPUTED_VALUE"""),"VD026")</f>
        <v>VD026</v>
      </c>
      <c r="I48" s="1">
        <f>IFERROR(__xludf.DUMMYFUNCTION("""COMPUTED_VALUE"""),18.0)</f>
        <v>18</v>
      </c>
      <c r="J48" s="1">
        <f>IFERROR(__xludf.DUMMYFUNCTION("""COMPUTED_VALUE"""),1013.04)</f>
        <v>1013.04</v>
      </c>
      <c r="K48" s="1">
        <f>IFERROR(__xludf.DUMMYFUNCTION("""COMPUTED_VALUE"""),1013.04)</f>
        <v>1013.04</v>
      </c>
    </row>
    <row r="49">
      <c r="A49" s="1">
        <f>IFERROR(__xludf.DUMMYFUNCTION("""COMPUTED_VALUE"""),1000.0)</f>
        <v>1000</v>
      </c>
      <c r="B49" s="1">
        <f>IFERROR(__xludf.DUMMYFUNCTION("""COMPUTED_VALUE"""),183493.0)</f>
        <v>183493</v>
      </c>
      <c r="C49" s="1">
        <f>IFERROR(__xludf.DUMMYFUNCTION("""COMPUTED_VALUE"""),2026.0)</f>
        <v>2026</v>
      </c>
      <c r="D49" s="1">
        <f>IFERROR(__xludf.DUMMYFUNCTION("""COMPUTED_VALUE"""),46381.0)</f>
        <v>46381</v>
      </c>
      <c r="E49" s="1" t="str">
        <f>IFERROR(__xludf.DUMMYFUNCTION("""COMPUTED_VALUE"""),"VF")</f>
        <v>VF</v>
      </c>
      <c r="F49" s="1">
        <f>IFERROR(__xludf.DUMMYFUNCTION("""COMPUTED_VALUE"""),1.0)</f>
        <v>1</v>
      </c>
      <c r="G49" s="1" t="str">
        <f>IFERROR(__xludf.DUMMYFUNCTION("""COMPUTED_VALUE"""),"PR014")</f>
        <v>PR014</v>
      </c>
      <c r="H49" s="1" t="str">
        <f>IFERROR(__xludf.DUMMYFUNCTION("""COMPUTED_VALUE"""),"VD040")</f>
        <v>VD040</v>
      </c>
      <c r="I49" s="1">
        <f>IFERROR(__xludf.DUMMYFUNCTION("""COMPUTED_VALUE"""),24.0)</f>
        <v>24</v>
      </c>
      <c r="J49" s="1">
        <f>IFERROR(__xludf.DUMMYFUNCTION("""COMPUTED_VALUE"""),1139.54)</f>
        <v>1139.54</v>
      </c>
      <c r="K49" s="1">
        <f>IFERROR(__xludf.DUMMYFUNCTION("""COMPUTED_VALUE"""),1139.54)</f>
        <v>1139.54</v>
      </c>
    </row>
    <row r="50">
      <c r="A50" s="1">
        <f>IFERROR(__xludf.DUMMYFUNCTION("""COMPUTED_VALUE"""),2000.0)</f>
        <v>2000</v>
      </c>
      <c r="B50" s="1">
        <f>IFERROR(__xludf.DUMMYFUNCTION("""COMPUTED_VALUE"""),183494.0)</f>
        <v>183494</v>
      </c>
      <c r="C50" s="1">
        <f>IFERROR(__xludf.DUMMYFUNCTION("""COMPUTED_VALUE"""),2026.0)</f>
        <v>2026</v>
      </c>
      <c r="D50" s="1">
        <f>IFERROR(__xludf.DUMMYFUNCTION("""COMPUTED_VALUE"""),46380.0)</f>
        <v>46380</v>
      </c>
      <c r="E50" s="1" t="str">
        <f>IFERROR(__xludf.DUMMYFUNCTION("""COMPUTED_VALUE"""),"VF")</f>
        <v>VF</v>
      </c>
      <c r="F50" s="1">
        <f>IFERROR(__xludf.DUMMYFUNCTION("""COMPUTED_VALUE"""),1.0)</f>
        <v>1</v>
      </c>
      <c r="G50" s="1" t="str">
        <f>IFERROR(__xludf.DUMMYFUNCTION("""COMPUTED_VALUE"""),"PR043")</f>
        <v>PR043</v>
      </c>
      <c r="H50" s="1" t="str">
        <f>IFERROR(__xludf.DUMMYFUNCTION("""COMPUTED_VALUE"""),"VD035")</f>
        <v>VD035</v>
      </c>
      <c r="I50" s="1">
        <f>IFERROR(__xludf.DUMMYFUNCTION("""COMPUTED_VALUE"""),18.0)</f>
        <v>18</v>
      </c>
      <c r="J50" s="1">
        <f>IFERROR(__xludf.DUMMYFUNCTION("""COMPUTED_VALUE"""),1435.5)</f>
        <v>1435.5</v>
      </c>
      <c r="K50" s="1">
        <f>IFERROR(__xludf.DUMMYFUNCTION("""COMPUTED_VALUE"""),1435.5)</f>
        <v>1435.5</v>
      </c>
    </row>
    <row r="51">
      <c r="A51" s="1">
        <f>IFERROR(__xludf.DUMMYFUNCTION("""COMPUTED_VALUE"""),1000.0)</f>
        <v>1000</v>
      </c>
      <c r="B51" s="1">
        <f>IFERROR(__xludf.DUMMYFUNCTION("""COMPUTED_VALUE"""),183494.0)</f>
        <v>183494</v>
      </c>
      <c r="C51" s="1">
        <f>IFERROR(__xludf.DUMMYFUNCTION("""COMPUTED_VALUE"""),2026.0)</f>
        <v>2026</v>
      </c>
      <c r="D51" s="1">
        <f>IFERROR(__xludf.DUMMYFUNCTION("""COMPUTED_VALUE"""),46380.0)</f>
        <v>46380</v>
      </c>
      <c r="E51" s="1" t="str">
        <f>IFERROR(__xludf.DUMMYFUNCTION("""COMPUTED_VALUE"""),"VF")</f>
        <v>VF</v>
      </c>
      <c r="F51" s="1">
        <f>IFERROR(__xludf.DUMMYFUNCTION("""COMPUTED_VALUE"""),2.0)</f>
        <v>2</v>
      </c>
      <c r="G51" s="1" t="str">
        <f>IFERROR(__xludf.DUMMYFUNCTION("""COMPUTED_VALUE"""),"PR037")</f>
        <v>PR037</v>
      </c>
      <c r="H51" s="1" t="str">
        <f>IFERROR(__xludf.DUMMYFUNCTION("""COMPUTED_VALUE"""),"VD036")</f>
        <v>VD036</v>
      </c>
      <c r="I51" s="1">
        <f>IFERROR(__xludf.DUMMYFUNCTION("""COMPUTED_VALUE"""),30.0)</f>
        <v>30</v>
      </c>
      <c r="J51" s="1">
        <f>IFERROR(__xludf.DUMMYFUNCTION("""COMPUTED_VALUE"""),5040.0)</f>
        <v>5040</v>
      </c>
      <c r="K51" s="1">
        <f>IFERROR(__xludf.DUMMYFUNCTION("""COMPUTED_VALUE"""),5040.0)</f>
        <v>5040</v>
      </c>
    </row>
    <row r="52">
      <c r="A52" s="1">
        <f>IFERROR(__xludf.DUMMYFUNCTION("""COMPUTED_VALUE"""),1000.0)</f>
        <v>1000</v>
      </c>
      <c r="B52" s="1">
        <f>IFERROR(__xludf.DUMMYFUNCTION("""COMPUTED_VALUE"""),183494.0)</f>
        <v>183494</v>
      </c>
      <c r="C52" s="1">
        <f>IFERROR(__xludf.DUMMYFUNCTION("""COMPUTED_VALUE"""),2026.0)</f>
        <v>2026</v>
      </c>
      <c r="D52" s="1">
        <f>IFERROR(__xludf.DUMMYFUNCTION("""COMPUTED_VALUE"""),46380.0)</f>
        <v>46380</v>
      </c>
      <c r="E52" s="1" t="str">
        <f>IFERROR(__xludf.DUMMYFUNCTION("""COMPUTED_VALUE"""),"VF")</f>
        <v>VF</v>
      </c>
      <c r="F52" s="1">
        <f>IFERROR(__xludf.DUMMYFUNCTION("""COMPUTED_VALUE"""),3.0)</f>
        <v>3</v>
      </c>
      <c r="G52" s="1" t="str">
        <f>IFERROR(__xludf.DUMMYFUNCTION("""COMPUTED_VALUE"""),"PR020")</f>
        <v>PR020</v>
      </c>
      <c r="H52" s="1" t="str">
        <f>IFERROR(__xludf.DUMMYFUNCTION("""COMPUTED_VALUE"""),"VD026")</f>
        <v>VD026</v>
      </c>
      <c r="I52" s="1">
        <f>IFERROR(__xludf.DUMMYFUNCTION("""COMPUTED_VALUE"""),20.0)</f>
        <v>20</v>
      </c>
      <c r="J52" s="1">
        <f>IFERROR(__xludf.DUMMYFUNCTION("""COMPUTED_VALUE"""),6657.78)</f>
        <v>6657.78</v>
      </c>
      <c r="K52" s="1">
        <f>IFERROR(__xludf.DUMMYFUNCTION("""COMPUTED_VALUE"""),6657.78)</f>
        <v>6657.78</v>
      </c>
    </row>
    <row r="53">
      <c r="A53" s="1">
        <f>IFERROR(__xludf.DUMMYFUNCTION("""COMPUTED_VALUE"""),1000.0)</f>
        <v>1000</v>
      </c>
      <c r="B53" s="1">
        <f>IFERROR(__xludf.DUMMYFUNCTION("""COMPUTED_VALUE"""),183495.0)</f>
        <v>183495</v>
      </c>
      <c r="C53" s="1">
        <f>IFERROR(__xludf.DUMMYFUNCTION("""COMPUTED_VALUE"""),2026.0)</f>
        <v>2026</v>
      </c>
      <c r="D53" s="1">
        <f>IFERROR(__xludf.DUMMYFUNCTION("""COMPUTED_VALUE"""),46380.0)</f>
        <v>46380</v>
      </c>
      <c r="E53" s="1" t="str">
        <f>IFERROR(__xludf.DUMMYFUNCTION("""COMPUTED_VALUE"""),"VF")</f>
        <v>VF</v>
      </c>
      <c r="F53" s="1">
        <f>IFERROR(__xludf.DUMMYFUNCTION("""COMPUTED_VALUE"""),1.0)</f>
        <v>1</v>
      </c>
      <c r="G53" s="1" t="str">
        <f>IFERROR(__xludf.DUMMYFUNCTION("""COMPUTED_VALUE"""),"PR052")</f>
        <v>PR052</v>
      </c>
      <c r="H53" s="1" t="str">
        <f>IFERROR(__xludf.DUMMYFUNCTION("""COMPUTED_VALUE"""),"VD035")</f>
        <v>VD035</v>
      </c>
      <c r="I53" s="1">
        <f>IFERROR(__xludf.DUMMYFUNCTION("""COMPUTED_VALUE"""),12.0)</f>
        <v>12</v>
      </c>
      <c r="J53" s="1">
        <f>IFERROR(__xludf.DUMMYFUNCTION("""COMPUTED_VALUE"""),658.68)</f>
        <v>658.68</v>
      </c>
      <c r="K53" s="1">
        <f>IFERROR(__xludf.DUMMYFUNCTION("""COMPUTED_VALUE"""),658.68)</f>
        <v>658.68</v>
      </c>
    </row>
    <row r="54">
      <c r="A54" s="1">
        <f>IFERROR(__xludf.DUMMYFUNCTION("""COMPUTED_VALUE"""),1000.0)</f>
        <v>1000</v>
      </c>
      <c r="B54" s="1">
        <f>IFERROR(__xludf.DUMMYFUNCTION("""COMPUTED_VALUE"""),183495.0)</f>
        <v>183495</v>
      </c>
      <c r="C54" s="1">
        <f>IFERROR(__xludf.DUMMYFUNCTION("""COMPUTED_VALUE"""),2026.0)</f>
        <v>2026</v>
      </c>
      <c r="D54" s="1">
        <f>IFERROR(__xludf.DUMMYFUNCTION("""COMPUTED_VALUE"""),46380.0)</f>
        <v>46380</v>
      </c>
      <c r="E54" s="1" t="str">
        <f>IFERROR(__xludf.DUMMYFUNCTION("""COMPUTED_VALUE"""),"VF")</f>
        <v>VF</v>
      </c>
      <c r="F54" s="1">
        <f>IFERROR(__xludf.DUMMYFUNCTION("""COMPUTED_VALUE"""),2.0)</f>
        <v>2</v>
      </c>
      <c r="G54" s="1" t="str">
        <f>IFERROR(__xludf.DUMMYFUNCTION("""COMPUTED_VALUE"""),"PR023")</f>
        <v>PR023</v>
      </c>
      <c r="H54" s="1" t="str">
        <f>IFERROR(__xludf.DUMMYFUNCTION("""COMPUTED_VALUE"""),"VD016")</f>
        <v>VD016</v>
      </c>
      <c r="I54" s="1">
        <f>IFERROR(__xludf.DUMMYFUNCTION("""COMPUTED_VALUE"""),27.0)</f>
        <v>27</v>
      </c>
      <c r="J54" s="1">
        <f>IFERROR(__xludf.DUMMYFUNCTION("""COMPUTED_VALUE"""),7894.34)</f>
        <v>7894.34</v>
      </c>
      <c r="K54" s="1">
        <f>IFERROR(__xludf.DUMMYFUNCTION("""COMPUTED_VALUE"""),7894.34)</f>
        <v>7894.34</v>
      </c>
    </row>
    <row r="55">
      <c r="A55" s="1">
        <f>IFERROR(__xludf.DUMMYFUNCTION("""COMPUTED_VALUE"""),1000.0)</f>
        <v>1000</v>
      </c>
      <c r="B55" s="1">
        <f>IFERROR(__xludf.DUMMYFUNCTION("""COMPUTED_VALUE"""),183496.0)</f>
        <v>183496</v>
      </c>
      <c r="C55" s="1">
        <f>IFERROR(__xludf.DUMMYFUNCTION("""COMPUTED_VALUE"""),2026.0)</f>
        <v>2026</v>
      </c>
      <c r="D55" s="1">
        <f>IFERROR(__xludf.DUMMYFUNCTION("""COMPUTED_VALUE"""),46380.0)</f>
        <v>46380</v>
      </c>
      <c r="E55" s="1" t="str">
        <f>IFERROR(__xludf.DUMMYFUNCTION("""COMPUTED_VALUE"""),"VF")</f>
        <v>VF</v>
      </c>
      <c r="F55" s="1">
        <f>IFERROR(__xludf.DUMMYFUNCTION("""COMPUTED_VALUE"""),1.0)</f>
        <v>1</v>
      </c>
      <c r="G55" s="1" t="str">
        <f>IFERROR(__xludf.DUMMYFUNCTION("""COMPUTED_VALUE"""),"PR002")</f>
        <v>PR002</v>
      </c>
      <c r="H55" s="1" t="str">
        <f>IFERROR(__xludf.DUMMYFUNCTION("""COMPUTED_VALUE"""),"VD018")</f>
        <v>VD018</v>
      </c>
      <c r="I55" s="1">
        <f>IFERROR(__xludf.DUMMYFUNCTION("""COMPUTED_VALUE"""),9.0)</f>
        <v>9</v>
      </c>
      <c r="J55" s="1">
        <f>IFERROR(__xludf.DUMMYFUNCTION("""COMPUTED_VALUE"""),717.17)</f>
        <v>717.17</v>
      </c>
      <c r="K55" s="1">
        <f>IFERROR(__xludf.DUMMYFUNCTION("""COMPUTED_VALUE"""),717.17)</f>
        <v>717.17</v>
      </c>
    </row>
    <row r="56">
      <c r="A56" s="1">
        <f>IFERROR(__xludf.DUMMYFUNCTION("""COMPUTED_VALUE"""),1000.0)</f>
        <v>1000</v>
      </c>
      <c r="B56" s="1">
        <f>IFERROR(__xludf.DUMMYFUNCTION("""COMPUTED_VALUE"""),183496.0)</f>
        <v>183496</v>
      </c>
      <c r="C56" s="1">
        <f>IFERROR(__xludf.DUMMYFUNCTION("""COMPUTED_VALUE"""),2026.0)</f>
        <v>2026</v>
      </c>
      <c r="D56" s="1">
        <f>IFERROR(__xludf.DUMMYFUNCTION("""COMPUTED_VALUE"""),46379.0)</f>
        <v>46379</v>
      </c>
      <c r="E56" s="1" t="str">
        <f>IFERROR(__xludf.DUMMYFUNCTION("""COMPUTED_VALUE"""),"VF")</f>
        <v>VF</v>
      </c>
      <c r="F56" s="1">
        <f>IFERROR(__xludf.DUMMYFUNCTION("""COMPUTED_VALUE"""),2.0)</f>
        <v>2</v>
      </c>
      <c r="G56" s="1" t="str">
        <f>IFERROR(__xludf.DUMMYFUNCTION("""COMPUTED_VALUE"""),"PR039")</f>
        <v>PR039</v>
      </c>
      <c r="H56" s="1" t="str">
        <f>IFERROR(__xludf.DUMMYFUNCTION("""COMPUTED_VALUE"""),"VD014")</f>
        <v>VD014</v>
      </c>
      <c r="I56" s="1">
        <f>IFERROR(__xludf.DUMMYFUNCTION("""COMPUTED_VALUE"""),16.0)</f>
        <v>16</v>
      </c>
      <c r="J56" s="1">
        <f>IFERROR(__xludf.DUMMYFUNCTION("""COMPUTED_VALUE"""),2663.04)</f>
        <v>2663.04</v>
      </c>
      <c r="K56" s="1">
        <f>IFERROR(__xludf.DUMMYFUNCTION("""COMPUTED_VALUE"""),2663.04)</f>
        <v>2663.04</v>
      </c>
    </row>
    <row r="57">
      <c r="A57" s="1">
        <f>IFERROR(__xludf.DUMMYFUNCTION("""COMPUTED_VALUE"""),2000.0)</f>
        <v>2000</v>
      </c>
      <c r="B57" s="1">
        <f>IFERROR(__xludf.DUMMYFUNCTION("""COMPUTED_VALUE"""),183497.0)</f>
        <v>183497</v>
      </c>
      <c r="C57" s="1">
        <f>IFERROR(__xludf.DUMMYFUNCTION("""COMPUTED_VALUE"""),2026.0)</f>
        <v>2026</v>
      </c>
      <c r="D57" s="1">
        <f>IFERROR(__xludf.DUMMYFUNCTION("""COMPUTED_VALUE"""),46379.0)</f>
        <v>46379</v>
      </c>
      <c r="E57" s="1" t="str">
        <f>IFERROR(__xludf.DUMMYFUNCTION("""COMPUTED_VALUE"""),"VF")</f>
        <v>VF</v>
      </c>
      <c r="F57" s="1">
        <f>IFERROR(__xludf.DUMMYFUNCTION("""COMPUTED_VALUE"""),1.0)</f>
        <v>1</v>
      </c>
      <c r="G57" s="1" t="str">
        <f>IFERROR(__xludf.DUMMYFUNCTION("""COMPUTED_VALUE"""),"PR060")</f>
        <v>PR060</v>
      </c>
      <c r="H57" s="1" t="str">
        <f>IFERROR(__xludf.DUMMYFUNCTION("""COMPUTED_VALUE"""),"VD044")</f>
        <v>VD044</v>
      </c>
      <c r="I57" s="1">
        <f>IFERROR(__xludf.DUMMYFUNCTION("""COMPUTED_VALUE"""),6.0)</f>
        <v>6</v>
      </c>
      <c r="J57" s="1">
        <f>IFERROR(__xludf.DUMMYFUNCTION("""COMPUTED_VALUE"""),1252.8)</f>
        <v>1252.8</v>
      </c>
      <c r="K57" s="1">
        <f>IFERROR(__xludf.DUMMYFUNCTION("""COMPUTED_VALUE"""),1252.8)</f>
        <v>1252.8</v>
      </c>
    </row>
    <row r="58">
      <c r="A58" s="1">
        <f>IFERROR(__xludf.DUMMYFUNCTION("""COMPUTED_VALUE"""),1000.0)</f>
        <v>1000</v>
      </c>
      <c r="B58" s="1">
        <f>IFERROR(__xludf.DUMMYFUNCTION("""COMPUTED_VALUE"""),183498.0)</f>
        <v>183498</v>
      </c>
      <c r="C58" s="1">
        <f>IFERROR(__xludf.DUMMYFUNCTION("""COMPUTED_VALUE"""),2026.0)</f>
        <v>2026</v>
      </c>
      <c r="D58" s="1">
        <f>IFERROR(__xludf.DUMMYFUNCTION("""COMPUTED_VALUE"""),46378.0)</f>
        <v>46378</v>
      </c>
      <c r="E58" s="1" t="str">
        <f>IFERROR(__xludf.DUMMYFUNCTION("""COMPUTED_VALUE"""),"VF")</f>
        <v>VF</v>
      </c>
      <c r="F58" s="1">
        <f>IFERROR(__xludf.DUMMYFUNCTION("""COMPUTED_VALUE"""),1.0)</f>
        <v>1</v>
      </c>
      <c r="G58" s="1" t="str">
        <f>IFERROR(__xludf.DUMMYFUNCTION("""COMPUTED_VALUE"""),"PR009")</f>
        <v>PR009</v>
      </c>
      <c r="H58" s="1" t="str">
        <f>IFERROR(__xludf.DUMMYFUNCTION("""COMPUTED_VALUE"""),"VD041")</f>
        <v>VD041</v>
      </c>
      <c r="I58" s="1">
        <f>IFERROR(__xludf.DUMMYFUNCTION("""COMPUTED_VALUE"""),15.0)</f>
        <v>15</v>
      </c>
      <c r="J58" s="1">
        <f>IFERROR(__xludf.DUMMYFUNCTION("""COMPUTED_VALUE"""),1560.72)</f>
        <v>1560.72</v>
      </c>
      <c r="K58" s="1">
        <f>IFERROR(__xludf.DUMMYFUNCTION("""COMPUTED_VALUE"""),1560.72)</f>
        <v>1560.72</v>
      </c>
    </row>
    <row r="59">
      <c r="A59" s="1">
        <f>IFERROR(__xludf.DUMMYFUNCTION("""COMPUTED_VALUE"""),2000.0)</f>
        <v>2000</v>
      </c>
      <c r="B59" s="1">
        <f>IFERROR(__xludf.DUMMYFUNCTION("""COMPUTED_VALUE"""),183498.0)</f>
        <v>183498</v>
      </c>
      <c r="C59" s="1">
        <f>IFERROR(__xludf.DUMMYFUNCTION("""COMPUTED_VALUE"""),2026.0)</f>
        <v>2026</v>
      </c>
      <c r="D59" s="1">
        <f>IFERROR(__xludf.DUMMYFUNCTION("""COMPUTED_VALUE"""),46378.0)</f>
        <v>46378</v>
      </c>
      <c r="E59" s="1" t="str">
        <f>IFERROR(__xludf.DUMMYFUNCTION("""COMPUTED_VALUE"""),"VF")</f>
        <v>VF</v>
      </c>
      <c r="F59" s="1">
        <f>IFERROR(__xludf.DUMMYFUNCTION("""COMPUTED_VALUE"""),2.0)</f>
        <v>2</v>
      </c>
      <c r="G59" s="1" t="str">
        <f>IFERROR(__xludf.DUMMYFUNCTION("""COMPUTED_VALUE"""),"PR057")</f>
        <v>PR057</v>
      </c>
      <c r="H59" s="1" t="str">
        <f>IFERROR(__xludf.DUMMYFUNCTION("""COMPUTED_VALUE"""),"VD046")</f>
        <v>VD046</v>
      </c>
      <c r="I59" s="1">
        <f>IFERROR(__xludf.DUMMYFUNCTION("""COMPUTED_VALUE"""),15.0)</f>
        <v>15</v>
      </c>
      <c r="J59" s="1">
        <f>IFERROR(__xludf.DUMMYFUNCTION("""COMPUTED_VALUE"""),1591.23)</f>
        <v>1591.23</v>
      </c>
      <c r="K59" s="1">
        <f>IFERROR(__xludf.DUMMYFUNCTION("""COMPUTED_VALUE"""),1591.23)</f>
        <v>1591.23</v>
      </c>
    </row>
    <row r="60">
      <c r="A60" s="1">
        <f>IFERROR(__xludf.DUMMYFUNCTION("""COMPUTED_VALUE"""),1000.0)</f>
        <v>1000</v>
      </c>
      <c r="B60" s="1">
        <f>IFERROR(__xludf.DUMMYFUNCTION("""COMPUTED_VALUE"""),183498.0)</f>
        <v>183498</v>
      </c>
      <c r="C60" s="1">
        <f>IFERROR(__xludf.DUMMYFUNCTION("""COMPUTED_VALUE"""),2026.0)</f>
        <v>2026</v>
      </c>
      <c r="D60" s="1">
        <f>IFERROR(__xludf.DUMMYFUNCTION("""COMPUTED_VALUE"""),46377.0)</f>
        <v>46377</v>
      </c>
      <c r="E60" s="1" t="str">
        <f>IFERROR(__xludf.DUMMYFUNCTION("""COMPUTED_VALUE"""),"VF")</f>
        <v>VF</v>
      </c>
      <c r="F60" s="1">
        <f>IFERROR(__xludf.DUMMYFUNCTION("""COMPUTED_VALUE"""),3.0)</f>
        <v>3</v>
      </c>
      <c r="G60" s="1" t="str">
        <f>IFERROR(__xludf.DUMMYFUNCTION("""COMPUTED_VALUE"""),"PR018")</f>
        <v>PR018</v>
      </c>
      <c r="H60" s="1" t="str">
        <f>IFERROR(__xludf.DUMMYFUNCTION("""COMPUTED_VALUE"""),"VD037")</f>
        <v>VD037</v>
      </c>
      <c r="I60" s="1">
        <f>IFERROR(__xludf.DUMMYFUNCTION("""COMPUTED_VALUE"""),10.0)</f>
        <v>10</v>
      </c>
      <c r="J60" s="1">
        <f>IFERROR(__xludf.DUMMYFUNCTION("""COMPUTED_VALUE"""),361.9)</f>
        <v>361.9</v>
      </c>
      <c r="K60" s="1">
        <f>IFERROR(__xludf.DUMMYFUNCTION("""COMPUTED_VALUE"""),361.9)</f>
        <v>361.9</v>
      </c>
    </row>
    <row r="61">
      <c r="A61" s="1">
        <f>IFERROR(__xludf.DUMMYFUNCTION("""COMPUTED_VALUE"""),1000.0)</f>
        <v>1000</v>
      </c>
      <c r="B61" s="1">
        <f>IFERROR(__xludf.DUMMYFUNCTION("""COMPUTED_VALUE"""),183499.0)</f>
        <v>183499</v>
      </c>
      <c r="C61" s="1">
        <f>IFERROR(__xludf.DUMMYFUNCTION("""COMPUTED_VALUE"""),2026.0)</f>
        <v>2026</v>
      </c>
      <c r="D61" s="1">
        <f>IFERROR(__xludf.DUMMYFUNCTION("""COMPUTED_VALUE"""),46377.0)</f>
        <v>46377</v>
      </c>
      <c r="E61" s="1" t="str">
        <f>IFERROR(__xludf.DUMMYFUNCTION("""COMPUTED_VALUE"""),"VF")</f>
        <v>VF</v>
      </c>
      <c r="F61" s="1">
        <f>IFERROR(__xludf.DUMMYFUNCTION("""COMPUTED_VALUE"""),1.0)</f>
        <v>1</v>
      </c>
      <c r="G61" s="1" t="str">
        <f>IFERROR(__xludf.DUMMYFUNCTION("""COMPUTED_VALUE"""),"PR022")</f>
        <v>PR022</v>
      </c>
      <c r="H61" s="1" t="str">
        <f>IFERROR(__xludf.DUMMYFUNCTION("""COMPUTED_VALUE"""),"VD023")</f>
        <v>VD023</v>
      </c>
      <c r="I61" s="1">
        <f>IFERROR(__xludf.DUMMYFUNCTION("""COMPUTED_VALUE"""),16.0)</f>
        <v>16</v>
      </c>
      <c r="J61" s="1">
        <f>IFERROR(__xludf.DUMMYFUNCTION("""COMPUTED_VALUE"""),5424.0)</f>
        <v>5424</v>
      </c>
      <c r="K61" s="1">
        <f>IFERROR(__xludf.DUMMYFUNCTION("""COMPUTED_VALUE"""),5424.0)</f>
        <v>5424</v>
      </c>
    </row>
    <row r="62">
      <c r="A62" s="1">
        <f>IFERROR(__xludf.DUMMYFUNCTION("""COMPUTED_VALUE"""),1000.0)</f>
        <v>1000</v>
      </c>
      <c r="B62" s="1">
        <f>IFERROR(__xludf.DUMMYFUNCTION("""COMPUTED_VALUE"""),183499.0)</f>
        <v>183499</v>
      </c>
      <c r="C62" s="1">
        <f>IFERROR(__xludf.DUMMYFUNCTION("""COMPUTED_VALUE"""),2026.0)</f>
        <v>2026</v>
      </c>
      <c r="D62" s="1">
        <f>IFERROR(__xludf.DUMMYFUNCTION("""COMPUTED_VALUE"""),46377.0)</f>
        <v>46377</v>
      </c>
      <c r="E62" s="1" t="str">
        <f>IFERROR(__xludf.DUMMYFUNCTION("""COMPUTED_VALUE"""),"VF")</f>
        <v>VF</v>
      </c>
      <c r="F62" s="1">
        <f>IFERROR(__xludf.DUMMYFUNCTION("""COMPUTED_VALUE"""),2.0)</f>
        <v>2</v>
      </c>
      <c r="G62" s="1" t="str">
        <f>IFERROR(__xludf.DUMMYFUNCTION("""COMPUTED_VALUE"""),"PR020")</f>
        <v>PR020</v>
      </c>
      <c r="H62" s="1" t="str">
        <f>IFERROR(__xludf.DUMMYFUNCTION("""COMPUTED_VALUE"""),"VD023")</f>
        <v>VD023</v>
      </c>
      <c r="I62" s="1">
        <f>IFERROR(__xludf.DUMMYFUNCTION("""COMPUTED_VALUE"""),21.0)</f>
        <v>21</v>
      </c>
      <c r="J62" s="1">
        <f>IFERROR(__xludf.DUMMYFUNCTION("""COMPUTED_VALUE"""),7242.59)</f>
        <v>7242.59</v>
      </c>
      <c r="K62" s="1">
        <f>IFERROR(__xludf.DUMMYFUNCTION("""COMPUTED_VALUE"""),7242.59)</f>
        <v>7242.59</v>
      </c>
    </row>
    <row r="63">
      <c r="A63" s="1">
        <f>IFERROR(__xludf.DUMMYFUNCTION("""COMPUTED_VALUE"""),1000.0)</f>
        <v>1000</v>
      </c>
      <c r="B63" s="1">
        <f>IFERROR(__xludf.DUMMYFUNCTION("""COMPUTED_VALUE"""),183500.0)</f>
        <v>183500</v>
      </c>
      <c r="C63" s="1">
        <f>IFERROR(__xludf.DUMMYFUNCTION("""COMPUTED_VALUE"""),2026.0)</f>
        <v>2026</v>
      </c>
      <c r="D63" s="1">
        <f>IFERROR(__xludf.DUMMYFUNCTION("""COMPUTED_VALUE"""),46377.0)</f>
        <v>46377</v>
      </c>
      <c r="E63" s="1" t="str">
        <f>IFERROR(__xludf.DUMMYFUNCTION("""COMPUTED_VALUE"""),"VF")</f>
        <v>VF</v>
      </c>
      <c r="F63" s="1">
        <f>IFERROR(__xludf.DUMMYFUNCTION("""COMPUTED_VALUE"""),1.0)</f>
        <v>1</v>
      </c>
      <c r="G63" s="1" t="str">
        <f>IFERROR(__xludf.DUMMYFUNCTION("""COMPUTED_VALUE"""),"PR043")</f>
        <v>PR043</v>
      </c>
      <c r="H63" s="1" t="str">
        <f>IFERROR(__xludf.DUMMYFUNCTION("""COMPUTED_VALUE"""),"VD039")</f>
        <v>VD039</v>
      </c>
      <c r="I63" s="1">
        <f>IFERROR(__xludf.DUMMYFUNCTION("""COMPUTED_VALUE"""),16.0)</f>
        <v>16</v>
      </c>
      <c r="J63" s="1">
        <f>IFERROR(__xludf.DUMMYFUNCTION("""COMPUTED_VALUE"""),1368.8)</f>
        <v>1368.8</v>
      </c>
      <c r="K63" s="1">
        <f>IFERROR(__xludf.DUMMYFUNCTION("""COMPUTED_VALUE"""),1368.8)</f>
        <v>1368.8</v>
      </c>
    </row>
    <row r="64">
      <c r="A64" s="1">
        <f>IFERROR(__xludf.DUMMYFUNCTION("""COMPUTED_VALUE"""),1000.0)</f>
        <v>1000</v>
      </c>
      <c r="B64" s="1">
        <f>IFERROR(__xludf.DUMMYFUNCTION("""COMPUTED_VALUE"""),183501.0)</f>
        <v>183501</v>
      </c>
      <c r="C64" s="1">
        <f>IFERROR(__xludf.DUMMYFUNCTION("""COMPUTED_VALUE"""),2026.0)</f>
        <v>2026</v>
      </c>
      <c r="D64" s="1">
        <f>IFERROR(__xludf.DUMMYFUNCTION("""COMPUTED_VALUE"""),46377.0)</f>
        <v>46377</v>
      </c>
      <c r="E64" s="1" t="str">
        <f>IFERROR(__xludf.DUMMYFUNCTION("""COMPUTED_VALUE"""),"VF")</f>
        <v>VF</v>
      </c>
      <c r="F64" s="1">
        <f>IFERROR(__xludf.DUMMYFUNCTION("""COMPUTED_VALUE"""),1.0)</f>
        <v>1</v>
      </c>
      <c r="G64" s="1" t="str">
        <f>IFERROR(__xludf.DUMMYFUNCTION("""COMPUTED_VALUE"""),"PR040")</f>
        <v>PR040</v>
      </c>
      <c r="H64" s="1" t="str">
        <f>IFERROR(__xludf.DUMMYFUNCTION("""COMPUTED_VALUE"""),"VD014")</f>
        <v>VD014</v>
      </c>
      <c r="I64" s="1">
        <f>IFERROR(__xludf.DUMMYFUNCTION("""COMPUTED_VALUE"""),20.0)</f>
        <v>20</v>
      </c>
      <c r="J64" s="1">
        <f>IFERROR(__xludf.DUMMYFUNCTION("""COMPUTED_VALUE"""),1624.0)</f>
        <v>1624</v>
      </c>
      <c r="K64" s="1">
        <f>IFERROR(__xludf.DUMMYFUNCTION("""COMPUTED_VALUE"""),1624.0)</f>
        <v>1624</v>
      </c>
    </row>
    <row r="65">
      <c r="A65" s="1">
        <f>IFERROR(__xludf.DUMMYFUNCTION("""COMPUTED_VALUE"""),1000.0)</f>
        <v>1000</v>
      </c>
      <c r="B65" s="1">
        <f>IFERROR(__xludf.DUMMYFUNCTION("""COMPUTED_VALUE"""),183502.0)</f>
        <v>183502</v>
      </c>
      <c r="C65" s="1">
        <f>IFERROR(__xludf.DUMMYFUNCTION("""COMPUTED_VALUE"""),2026.0)</f>
        <v>2026</v>
      </c>
      <c r="D65" s="1">
        <f>IFERROR(__xludf.DUMMYFUNCTION("""COMPUTED_VALUE"""),46377.0)</f>
        <v>46377</v>
      </c>
      <c r="E65" s="1" t="str">
        <f>IFERROR(__xludf.DUMMYFUNCTION("""COMPUTED_VALUE"""),"VF")</f>
        <v>VF</v>
      </c>
      <c r="F65" s="1">
        <f>IFERROR(__xludf.DUMMYFUNCTION("""COMPUTED_VALUE"""),1.0)</f>
        <v>1</v>
      </c>
      <c r="G65" s="1" t="str">
        <f>IFERROR(__xludf.DUMMYFUNCTION("""COMPUTED_VALUE"""),"PR052")</f>
        <v>PR052</v>
      </c>
      <c r="H65" s="1" t="str">
        <f>IFERROR(__xludf.DUMMYFUNCTION("""COMPUTED_VALUE"""),"VD035")</f>
        <v>VD035</v>
      </c>
      <c r="I65" s="1">
        <f>IFERROR(__xludf.DUMMYFUNCTION("""COMPUTED_VALUE"""),30.0)</f>
        <v>30</v>
      </c>
      <c r="J65" s="1">
        <f>IFERROR(__xludf.DUMMYFUNCTION("""COMPUTED_VALUE"""),1721.55)</f>
        <v>1721.55</v>
      </c>
      <c r="K65" s="1">
        <f>IFERROR(__xludf.DUMMYFUNCTION("""COMPUTED_VALUE"""),1721.55)</f>
        <v>1721.55</v>
      </c>
    </row>
    <row r="66">
      <c r="A66" s="1">
        <f>IFERROR(__xludf.DUMMYFUNCTION("""COMPUTED_VALUE"""),2000.0)</f>
        <v>2000</v>
      </c>
      <c r="B66" s="1">
        <f>IFERROR(__xludf.DUMMYFUNCTION("""COMPUTED_VALUE"""),183502.0)</f>
        <v>183502</v>
      </c>
      <c r="C66" s="1">
        <f>IFERROR(__xludf.DUMMYFUNCTION("""COMPUTED_VALUE"""),2026.0)</f>
        <v>2026</v>
      </c>
      <c r="D66" s="1">
        <f>IFERROR(__xludf.DUMMYFUNCTION("""COMPUTED_VALUE"""),46377.0)</f>
        <v>46377</v>
      </c>
      <c r="E66" s="1" t="str">
        <f>IFERROR(__xludf.DUMMYFUNCTION("""COMPUTED_VALUE"""),"VF")</f>
        <v>VF</v>
      </c>
      <c r="F66" s="1">
        <f>IFERROR(__xludf.DUMMYFUNCTION("""COMPUTED_VALUE"""),2.0)</f>
        <v>2</v>
      </c>
      <c r="G66" s="1" t="str">
        <f>IFERROR(__xludf.DUMMYFUNCTION("""COMPUTED_VALUE"""),"PR021")</f>
        <v>PR021</v>
      </c>
      <c r="H66" s="1" t="str">
        <f>IFERROR(__xludf.DUMMYFUNCTION("""COMPUTED_VALUE"""),"VD013")</f>
        <v>VD013</v>
      </c>
      <c r="I66" s="1">
        <f>IFERROR(__xludf.DUMMYFUNCTION("""COMPUTED_VALUE"""),8.0)</f>
        <v>8</v>
      </c>
      <c r="J66" s="1">
        <f>IFERROR(__xludf.DUMMYFUNCTION("""COMPUTED_VALUE"""),2689.75)</f>
        <v>2689.75</v>
      </c>
      <c r="K66" s="1">
        <f>IFERROR(__xludf.DUMMYFUNCTION("""COMPUTED_VALUE"""),2689.75)</f>
        <v>2689.75</v>
      </c>
    </row>
    <row r="67">
      <c r="A67" s="1">
        <f>IFERROR(__xludf.DUMMYFUNCTION("""COMPUTED_VALUE"""),1000.0)</f>
        <v>1000</v>
      </c>
      <c r="B67" s="1">
        <f>IFERROR(__xludf.DUMMYFUNCTION("""COMPUTED_VALUE"""),183503.0)</f>
        <v>183503</v>
      </c>
      <c r="C67" s="1">
        <f>IFERROR(__xludf.DUMMYFUNCTION("""COMPUTED_VALUE"""),2026.0)</f>
        <v>2026</v>
      </c>
      <c r="D67" s="1">
        <f>IFERROR(__xludf.DUMMYFUNCTION("""COMPUTED_VALUE"""),46377.0)</f>
        <v>46377</v>
      </c>
      <c r="E67" s="1" t="str">
        <f>IFERROR(__xludf.DUMMYFUNCTION("""COMPUTED_VALUE"""),"VF")</f>
        <v>VF</v>
      </c>
      <c r="F67" s="1">
        <f>IFERROR(__xludf.DUMMYFUNCTION("""COMPUTED_VALUE"""),1.0)</f>
        <v>1</v>
      </c>
      <c r="G67" s="1" t="str">
        <f>IFERROR(__xludf.DUMMYFUNCTION("""COMPUTED_VALUE"""),"PR050")</f>
        <v>PR050</v>
      </c>
      <c r="H67" s="1" t="str">
        <f>IFERROR(__xludf.DUMMYFUNCTION("""COMPUTED_VALUE"""),"VD015")</f>
        <v>VD015</v>
      </c>
      <c r="I67" s="1">
        <f>IFERROR(__xludf.DUMMYFUNCTION("""COMPUTED_VALUE"""),24.0)</f>
        <v>24</v>
      </c>
      <c r="J67" s="1">
        <f>IFERROR(__xludf.DUMMYFUNCTION("""COMPUTED_VALUE"""),915.94)</f>
        <v>915.94</v>
      </c>
      <c r="K67" s="1">
        <f>IFERROR(__xludf.DUMMYFUNCTION("""COMPUTED_VALUE"""),915.94)</f>
        <v>915.94</v>
      </c>
    </row>
    <row r="68">
      <c r="A68" s="1">
        <f>IFERROR(__xludf.DUMMYFUNCTION("""COMPUTED_VALUE"""),1000.0)</f>
        <v>1000</v>
      </c>
      <c r="B68" s="1">
        <f>IFERROR(__xludf.DUMMYFUNCTION("""COMPUTED_VALUE"""),183504.0)</f>
        <v>183504</v>
      </c>
      <c r="C68" s="1">
        <f>IFERROR(__xludf.DUMMYFUNCTION("""COMPUTED_VALUE"""),2026.0)</f>
        <v>2026</v>
      </c>
      <c r="D68" s="1">
        <f>IFERROR(__xludf.DUMMYFUNCTION("""COMPUTED_VALUE"""),46377.0)</f>
        <v>46377</v>
      </c>
      <c r="E68" s="1" t="str">
        <f>IFERROR(__xludf.DUMMYFUNCTION("""COMPUTED_VALUE"""),"VF")</f>
        <v>VF</v>
      </c>
      <c r="F68" s="1">
        <f>IFERROR(__xludf.DUMMYFUNCTION("""COMPUTED_VALUE"""),1.0)</f>
        <v>1</v>
      </c>
      <c r="G68" s="1" t="str">
        <f>IFERROR(__xludf.DUMMYFUNCTION("""COMPUTED_VALUE"""),"PR036")</f>
        <v>PR036</v>
      </c>
      <c r="H68" s="1" t="str">
        <f>IFERROR(__xludf.DUMMYFUNCTION("""COMPUTED_VALUE"""),"VD040")</f>
        <v>VD040</v>
      </c>
      <c r="I68" s="1">
        <f>IFERROR(__xludf.DUMMYFUNCTION("""COMPUTED_VALUE"""),12.0)</f>
        <v>12</v>
      </c>
      <c r="J68" s="1">
        <f>IFERROR(__xludf.DUMMYFUNCTION("""COMPUTED_VALUE"""),1301.52)</f>
        <v>1301.52</v>
      </c>
      <c r="K68" s="1">
        <f>IFERROR(__xludf.DUMMYFUNCTION("""COMPUTED_VALUE"""),1301.52)</f>
        <v>1301.52</v>
      </c>
    </row>
    <row r="69">
      <c r="A69" s="1">
        <f>IFERROR(__xludf.DUMMYFUNCTION("""COMPUTED_VALUE"""),1000.0)</f>
        <v>1000</v>
      </c>
      <c r="B69" s="1">
        <f>IFERROR(__xludf.DUMMYFUNCTION("""COMPUTED_VALUE"""),183505.0)</f>
        <v>183505</v>
      </c>
      <c r="C69" s="1">
        <f>IFERROR(__xludf.DUMMYFUNCTION("""COMPUTED_VALUE"""),2026.0)</f>
        <v>2026</v>
      </c>
      <c r="D69" s="1">
        <f>IFERROR(__xludf.DUMMYFUNCTION("""COMPUTED_VALUE"""),46376.0)</f>
        <v>46376</v>
      </c>
      <c r="E69" s="1" t="str">
        <f>IFERROR(__xludf.DUMMYFUNCTION("""COMPUTED_VALUE"""),"VF")</f>
        <v>VF</v>
      </c>
      <c r="F69" s="1">
        <f>IFERROR(__xludf.DUMMYFUNCTION("""COMPUTED_VALUE"""),1.0)</f>
        <v>1</v>
      </c>
      <c r="G69" s="1" t="str">
        <f>IFERROR(__xludf.DUMMYFUNCTION("""COMPUTED_VALUE"""),"PR023")</f>
        <v>PR023</v>
      </c>
      <c r="H69" s="1" t="str">
        <f>IFERROR(__xludf.DUMMYFUNCTION("""COMPUTED_VALUE"""),"VD037")</f>
        <v>VD037</v>
      </c>
      <c r="I69" s="1">
        <f>IFERROR(__xludf.DUMMYFUNCTION("""COMPUTED_VALUE"""),12.0)</f>
        <v>12</v>
      </c>
      <c r="J69" s="1">
        <f>IFERROR(__xludf.DUMMYFUNCTION("""COMPUTED_VALUE"""),3298.68)</f>
        <v>3298.68</v>
      </c>
      <c r="K69" s="1">
        <f>IFERROR(__xludf.DUMMYFUNCTION("""COMPUTED_VALUE"""),3298.68)</f>
        <v>3298.68</v>
      </c>
    </row>
    <row r="70">
      <c r="A70" s="1">
        <f>IFERROR(__xludf.DUMMYFUNCTION("""COMPUTED_VALUE"""),1000.0)</f>
        <v>1000</v>
      </c>
      <c r="B70" s="1">
        <f>IFERROR(__xludf.DUMMYFUNCTION("""COMPUTED_VALUE"""),183506.0)</f>
        <v>183506</v>
      </c>
      <c r="C70" s="1">
        <f>IFERROR(__xludf.DUMMYFUNCTION("""COMPUTED_VALUE"""),2026.0)</f>
        <v>2026</v>
      </c>
      <c r="D70" s="1">
        <f>IFERROR(__xludf.DUMMYFUNCTION("""COMPUTED_VALUE"""),46376.0)</f>
        <v>46376</v>
      </c>
      <c r="E70" s="1" t="str">
        <f>IFERROR(__xludf.DUMMYFUNCTION("""COMPUTED_VALUE"""),"VF")</f>
        <v>VF</v>
      </c>
      <c r="F70" s="1">
        <f>IFERROR(__xludf.DUMMYFUNCTION("""COMPUTED_VALUE"""),1.0)</f>
        <v>1</v>
      </c>
      <c r="G70" s="1" t="str">
        <f>IFERROR(__xludf.DUMMYFUNCTION("""COMPUTED_VALUE"""),"PR052")</f>
        <v>PR052</v>
      </c>
      <c r="H70" s="1" t="str">
        <f>IFERROR(__xludf.DUMMYFUNCTION("""COMPUTED_VALUE"""),"VD014")</f>
        <v>VD014</v>
      </c>
      <c r="I70" s="1">
        <f>IFERROR(__xludf.DUMMYFUNCTION("""COMPUTED_VALUE"""),20.0)</f>
        <v>20</v>
      </c>
      <c r="J70" s="1">
        <f>IFERROR(__xludf.DUMMYFUNCTION("""COMPUTED_VALUE"""),1127.74)</f>
        <v>1127.74</v>
      </c>
      <c r="K70" s="1">
        <f>IFERROR(__xludf.DUMMYFUNCTION("""COMPUTED_VALUE"""),1127.74)</f>
        <v>1127.74</v>
      </c>
    </row>
    <row r="71">
      <c r="A71" s="1">
        <f>IFERROR(__xludf.DUMMYFUNCTION("""COMPUTED_VALUE"""),1000.0)</f>
        <v>1000</v>
      </c>
      <c r="B71" s="1">
        <f>IFERROR(__xludf.DUMMYFUNCTION("""COMPUTED_VALUE"""),183506.0)</f>
        <v>183506</v>
      </c>
      <c r="C71" s="1">
        <f>IFERROR(__xludf.DUMMYFUNCTION("""COMPUTED_VALUE"""),2026.0)</f>
        <v>2026</v>
      </c>
      <c r="D71" s="1">
        <f>IFERROR(__xludf.DUMMYFUNCTION("""COMPUTED_VALUE"""),46375.0)</f>
        <v>46375</v>
      </c>
      <c r="E71" s="1" t="str">
        <f>IFERROR(__xludf.DUMMYFUNCTION("""COMPUTED_VALUE"""),"VF")</f>
        <v>VF</v>
      </c>
      <c r="F71" s="1">
        <f>IFERROR(__xludf.DUMMYFUNCTION("""COMPUTED_VALUE"""),2.0)</f>
        <v>2</v>
      </c>
      <c r="G71" s="1" t="str">
        <f>IFERROR(__xludf.DUMMYFUNCTION("""COMPUTED_VALUE"""),"PR051")</f>
        <v>PR051</v>
      </c>
      <c r="H71" s="1" t="str">
        <f>IFERROR(__xludf.DUMMYFUNCTION("""COMPUTED_VALUE"""),"VD018")</f>
        <v>VD018</v>
      </c>
      <c r="I71" s="1">
        <f>IFERROR(__xludf.DUMMYFUNCTION("""COMPUTED_VALUE"""),6.0)</f>
        <v>6</v>
      </c>
      <c r="J71" s="1">
        <f>IFERROR(__xludf.DUMMYFUNCTION("""COMPUTED_VALUE"""),221.09)</f>
        <v>221.09</v>
      </c>
      <c r="K71" s="1">
        <f>IFERROR(__xludf.DUMMYFUNCTION("""COMPUTED_VALUE"""),221.09)</f>
        <v>221.09</v>
      </c>
    </row>
    <row r="72">
      <c r="A72" s="1">
        <f>IFERROR(__xludf.DUMMYFUNCTION("""COMPUTED_VALUE"""),2000.0)</f>
        <v>2000</v>
      </c>
      <c r="B72" s="1">
        <f>IFERROR(__xludf.DUMMYFUNCTION("""COMPUTED_VALUE"""),183507.0)</f>
        <v>183507</v>
      </c>
      <c r="C72" s="1">
        <f>IFERROR(__xludf.DUMMYFUNCTION("""COMPUTED_VALUE"""),2026.0)</f>
        <v>2026</v>
      </c>
      <c r="D72" s="1">
        <f>IFERROR(__xludf.DUMMYFUNCTION("""COMPUTED_VALUE"""),46375.0)</f>
        <v>46375</v>
      </c>
      <c r="E72" s="1" t="str">
        <f>IFERROR(__xludf.DUMMYFUNCTION("""COMPUTED_VALUE"""),"VF")</f>
        <v>VF</v>
      </c>
      <c r="F72" s="1">
        <f>IFERROR(__xludf.DUMMYFUNCTION("""COMPUTED_VALUE"""),1.0)</f>
        <v>1</v>
      </c>
      <c r="G72" s="1" t="str">
        <f>IFERROR(__xludf.DUMMYFUNCTION("""COMPUTED_VALUE"""),"PR019")</f>
        <v>PR019</v>
      </c>
      <c r="H72" s="1" t="str">
        <f>IFERROR(__xludf.DUMMYFUNCTION("""COMPUTED_VALUE"""),"VD010")</f>
        <v>VD010</v>
      </c>
      <c r="I72" s="1">
        <f>IFERROR(__xludf.DUMMYFUNCTION("""COMPUTED_VALUE"""),20.0)</f>
        <v>20</v>
      </c>
      <c r="J72" s="1">
        <f>IFERROR(__xludf.DUMMYFUNCTION("""COMPUTED_VALUE"""),1197.6)</f>
        <v>1197.6</v>
      </c>
      <c r="K72" s="1">
        <f>IFERROR(__xludf.DUMMYFUNCTION("""COMPUTED_VALUE"""),1197.6)</f>
        <v>1197.6</v>
      </c>
    </row>
    <row r="73">
      <c r="A73" s="1">
        <f>IFERROR(__xludf.DUMMYFUNCTION("""COMPUTED_VALUE"""),1000.0)</f>
        <v>1000</v>
      </c>
      <c r="B73" s="1">
        <f>IFERROR(__xludf.DUMMYFUNCTION("""COMPUTED_VALUE"""),183508.0)</f>
        <v>183508</v>
      </c>
      <c r="C73" s="1">
        <f>IFERROR(__xludf.DUMMYFUNCTION("""COMPUTED_VALUE"""),2026.0)</f>
        <v>2026</v>
      </c>
      <c r="D73" s="1">
        <f>IFERROR(__xludf.DUMMYFUNCTION("""COMPUTED_VALUE"""),46375.0)</f>
        <v>46375</v>
      </c>
      <c r="E73" s="1" t="str">
        <f>IFERROR(__xludf.DUMMYFUNCTION("""COMPUTED_VALUE"""),"VF")</f>
        <v>VF</v>
      </c>
      <c r="F73" s="1">
        <f>IFERROR(__xludf.DUMMYFUNCTION("""COMPUTED_VALUE"""),1.0)</f>
        <v>1</v>
      </c>
      <c r="G73" s="1" t="str">
        <f>IFERROR(__xludf.DUMMYFUNCTION("""COMPUTED_VALUE"""),"PR053")</f>
        <v>PR053</v>
      </c>
      <c r="H73" s="1" t="str">
        <f>IFERROR(__xludf.DUMMYFUNCTION("""COMPUTED_VALUE"""),"VD043")</f>
        <v>VD043</v>
      </c>
      <c r="I73" s="1">
        <f>IFERROR(__xludf.DUMMYFUNCTION("""COMPUTED_VALUE"""),16.0)</f>
        <v>16</v>
      </c>
      <c r="J73" s="1">
        <f>IFERROR(__xludf.DUMMYFUNCTION("""COMPUTED_VALUE"""),950.1)</f>
        <v>950.1</v>
      </c>
      <c r="K73" s="1">
        <f>IFERROR(__xludf.DUMMYFUNCTION("""COMPUTED_VALUE"""),950.1)</f>
        <v>950.1</v>
      </c>
    </row>
    <row r="74">
      <c r="A74" s="1">
        <f>IFERROR(__xludf.DUMMYFUNCTION("""COMPUTED_VALUE"""),1000.0)</f>
        <v>1000</v>
      </c>
      <c r="B74" s="1">
        <f>IFERROR(__xludf.DUMMYFUNCTION("""COMPUTED_VALUE"""),183509.0)</f>
        <v>183509</v>
      </c>
      <c r="C74" s="1">
        <f>IFERROR(__xludf.DUMMYFUNCTION("""COMPUTED_VALUE"""),2026.0)</f>
        <v>2026</v>
      </c>
      <c r="D74" s="1">
        <f>IFERROR(__xludf.DUMMYFUNCTION("""COMPUTED_VALUE"""),46375.0)</f>
        <v>46375</v>
      </c>
      <c r="E74" s="1" t="str">
        <f>IFERROR(__xludf.DUMMYFUNCTION("""COMPUTED_VALUE"""),"VF")</f>
        <v>VF</v>
      </c>
      <c r="F74" s="1">
        <f>IFERROR(__xludf.DUMMYFUNCTION("""COMPUTED_VALUE"""),1.0)</f>
        <v>1</v>
      </c>
      <c r="G74" s="1" t="str">
        <f>IFERROR(__xludf.DUMMYFUNCTION("""COMPUTED_VALUE"""),"PR031")</f>
        <v>PR031</v>
      </c>
      <c r="H74" s="1" t="str">
        <f>IFERROR(__xludf.DUMMYFUNCTION("""COMPUTED_VALUE"""),"VD035")</f>
        <v>VD035</v>
      </c>
      <c r="I74" s="1">
        <f>IFERROR(__xludf.DUMMYFUNCTION("""COMPUTED_VALUE"""),21.0)</f>
        <v>21</v>
      </c>
      <c r="J74" s="1">
        <f>IFERROR(__xludf.DUMMYFUNCTION("""COMPUTED_VALUE"""),6122.55)</f>
        <v>6122.55</v>
      </c>
      <c r="K74" s="1">
        <f>IFERROR(__xludf.DUMMYFUNCTION("""COMPUTED_VALUE"""),6122.55)</f>
        <v>6122.55</v>
      </c>
    </row>
    <row r="75">
      <c r="A75" s="1">
        <f>IFERROR(__xludf.DUMMYFUNCTION("""COMPUTED_VALUE"""),1000.0)</f>
        <v>1000</v>
      </c>
      <c r="B75" s="1">
        <f>IFERROR(__xludf.DUMMYFUNCTION("""COMPUTED_VALUE"""),183509.0)</f>
        <v>183509</v>
      </c>
      <c r="C75" s="1">
        <f>IFERROR(__xludf.DUMMYFUNCTION("""COMPUTED_VALUE"""),2026.0)</f>
        <v>2026</v>
      </c>
      <c r="D75" s="1">
        <f>IFERROR(__xludf.DUMMYFUNCTION("""COMPUTED_VALUE"""),46375.0)</f>
        <v>46375</v>
      </c>
      <c r="E75" s="1" t="str">
        <f>IFERROR(__xludf.DUMMYFUNCTION("""COMPUTED_VALUE"""),"VF")</f>
        <v>VF</v>
      </c>
      <c r="F75" s="1">
        <f>IFERROR(__xludf.DUMMYFUNCTION("""COMPUTED_VALUE"""),2.0)</f>
        <v>2</v>
      </c>
      <c r="G75" s="1" t="str">
        <f>IFERROR(__xludf.DUMMYFUNCTION("""COMPUTED_VALUE"""),"PR008")</f>
        <v>PR008</v>
      </c>
      <c r="H75" s="1" t="str">
        <f>IFERROR(__xludf.DUMMYFUNCTION("""COMPUTED_VALUE"""),"VD037")</f>
        <v>VD037</v>
      </c>
      <c r="I75" s="1">
        <f>IFERROR(__xludf.DUMMYFUNCTION("""COMPUTED_VALUE"""),10.0)</f>
        <v>10</v>
      </c>
      <c r="J75" s="1">
        <f>IFERROR(__xludf.DUMMYFUNCTION("""COMPUTED_VALUE"""),1078.8)</f>
        <v>1078.8</v>
      </c>
      <c r="K75" s="1">
        <f>IFERROR(__xludf.DUMMYFUNCTION("""COMPUTED_VALUE"""),1078.8)</f>
        <v>1078.8</v>
      </c>
    </row>
    <row r="76">
      <c r="A76" s="1">
        <f>IFERROR(__xludf.DUMMYFUNCTION("""COMPUTED_VALUE"""),1000.0)</f>
        <v>1000</v>
      </c>
      <c r="B76" s="1">
        <f>IFERROR(__xludf.DUMMYFUNCTION("""COMPUTED_VALUE"""),183510.0)</f>
        <v>183510</v>
      </c>
      <c r="C76" s="1">
        <f>IFERROR(__xludf.DUMMYFUNCTION("""COMPUTED_VALUE"""),2026.0)</f>
        <v>2026</v>
      </c>
      <c r="D76" s="1">
        <f>IFERROR(__xludf.DUMMYFUNCTION("""COMPUTED_VALUE"""),46375.0)</f>
        <v>46375</v>
      </c>
      <c r="E76" s="1" t="str">
        <f>IFERROR(__xludf.DUMMYFUNCTION("""COMPUTED_VALUE"""),"VF")</f>
        <v>VF</v>
      </c>
      <c r="F76" s="1">
        <f>IFERROR(__xludf.DUMMYFUNCTION("""COMPUTED_VALUE"""),1.0)</f>
        <v>1</v>
      </c>
      <c r="G76" s="1" t="str">
        <f>IFERROR(__xludf.DUMMYFUNCTION("""COMPUTED_VALUE"""),"PR010")</f>
        <v>PR010</v>
      </c>
      <c r="H76" s="1" t="str">
        <f>IFERROR(__xludf.DUMMYFUNCTION("""COMPUTED_VALUE"""),"VD023")</f>
        <v>VD023</v>
      </c>
      <c r="I76" s="1">
        <f>IFERROR(__xludf.DUMMYFUNCTION("""COMPUTED_VALUE"""),14.0)</f>
        <v>14</v>
      </c>
      <c r="J76" s="1">
        <f>IFERROR(__xludf.DUMMYFUNCTION("""COMPUTED_VALUE"""),704.03)</f>
        <v>704.03</v>
      </c>
      <c r="K76" s="1">
        <f>IFERROR(__xludf.DUMMYFUNCTION("""COMPUTED_VALUE"""),704.03)</f>
        <v>704.03</v>
      </c>
    </row>
    <row r="77">
      <c r="A77" s="1">
        <f>IFERROR(__xludf.DUMMYFUNCTION("""COMPUTED_VALUE"""),1000.0)</f>
        <v>1000</v>
      </c>
      <c r="B77" s="1">
        <f>IFERROR(__xludf.DUMMYFUNCTION("""COMPUTED_VALUE"""),183511.0)</f>
        <v>183511</v>
      </c>
      <c r="C77" s="1">
        <f>IFERROR(__xludf.DUMMYFUNCTION("""COMPUTED_VALUE"""),2026.0)</f>
        <v>2026</v>
      </c>
      <c r="D77" s="1">
        <f>IFERROR(__xludf.DUMMYFUNCTION("""COMPUTED_VALUE"""),46375.0)</f>
        <v>46375</v>
      </c>
      <c r="E77" s="1" t="str">
        <f>IFERROR(__xludf.DUMMYFUNCTION("""COMPUTED_VALUE"""),"VF")</f>
        <v>VF</v>
      </c>
      <c r="F77" s="1">
        <f>IFERROR(__xludf.DUMMYFUNCTION("""COMPUTED_VALUE"""),1.0)</f>
        <v>1</v>
      </c>
      <c r="G77" s="1" t="str">
        <f>IFERROR(__xludf.DUMMYFUNCTION("""COMPUTED_VALUE"""),"PR012")</f>
        <v>PR012</v>
      </c>
      <c r="H77" s="1" t="str">
        <f>IFERROR(__xludf.DUMMYFUNCTION("""COMPUTED_VALUE"""),"VD018")</f>
        <v>VD018</v>
      </c>
      <c r="I77" s="1">
        <f>IFERROR(__xludf.DUMMYFUNCTION("""COMPUTED_VALUE"""),10.0)</f>
        <v>10</v>
      </c>
      <c r="J77" s="1">
        <f>IFERROR(__xludf.DUMMYFUNCTION("""COMPUTED_VALUE"""),577.02)</f>
        <v>577.02</v>
      </c>
      <c r="K77" s="1">
        <f>IFERROR(__xludf.DUMMYFUNCTION("""COMPUTED_VALUE"""),577.02)</f>
        <v>577.02</v>
      </c>
    </row>
    <row r="78">
      <c r="A78" s="1">
        <f>IFERROR(__xludf.DUMMYFUNCTION("""COMPUTED_VALUE"""),2000.0)</f>
        <v>2000</v>
      </c>
      <c r="B78" s="1">
        <f>IFERROR(__xludf.DUMMYFUNCTION("""COMPUTED_VALUE"""),183512.0)</f>
        <v>183512</v>
      </c>
      <c r="C78" s="1">
        <f>IFERROR(__xludf.DUMMYFUNCTION("""COMPUTED_VALUE"""),2026.0)</f>
        <v>2026</v>
      </c>
      <c r="D78" s="1">
        <f>IFERROR(__xludf.DUMMYFUNCTION("""COMPUTED_VALUE"""),46375.0)</f>
        <v>46375</v>
      </c>
      <c r="E78" s="1" t="str">
        <f>IFERROR(__xludf.DUMMYFUNCTION("""COMPUTED_VALUE"""),"VF")</f>
        <v>VF</v>
      </c>
      <c r="F78" s="1">
        <f>IFERROR(__xludf.DUMMYFUNCTION("""COMPUTED_VALUE"""),1.0)</f>
        <v>1</v>
      </c>
      <c r="G78" s="1" t="str">
        <f>IFERROR(__xludf.DUMMYFUNCTION("""COMPUTED_VALUE"""),"PR043")</f>
        <v>PR043</v>
      </c>
      <c r="H78" s="1" t="str">
        <f>IFERROR(__xludf.DUMMYFUNCTION("""COMPUTED_VALUE"""),"VD033")</f>
        <v>VD033</v>
      </c>
      <c r="I78" s="1">
        <f>IFERROR(__xludf.DUMMYFUNCTION("""COMPUTED_VALUE"""),12.0)</f>
        <v>12</v>
      </c>
      <c r="J78" s="1">
        <f>IFERROR(__xludf.DUMMYFUNCTION("""COMPUTED_VALUE"""),983.1)</f>
        <v>983.1</v>
      </c>
      <c r="K78" s="1">
        <f>IFERROR(__xludf.DUMMYFUNCTION("""COMPUTED_VALUE"""),983.1)</f>
        <v>983.1</v>
      </c>
    </row>
    <row r="79">
      <c r="A79" s="1">
        <f>IFERROR(__xludf.DUMMYFUNCTION("""COMPUTED_VALUE"""),2000.0)</f>
        <v>2000</v>
      </c>
      <c r="B79" s="1">
        <f>IFERROR(__xludf.DUMMYFUNCTION("""COMPUTED_VALUE"""),183513.0)</f>
        <v>183513</v>
      </c>
      <c r="C79" s="1">
        <f>IFERROR(__xludf.DUMMYFUNCTION("""COMPUTED_VALUE"""),2026.0)</f>
        <v>2026</v>
      </c>
      <c r="D79" s="1">
        <f>IFERROR(__xludf.DUMMYFUNCTION("""COMPUTED_VALUE"""),46375.0)</f>
        <v>46375</v>
      </c>
      <c r="E79" s="1" t="str">
        <f>IFERROR(__xludf.DUMMYFUNCTION("""COMPUTED_VALUE"""),"VF")</f>
        <v>VF</v>
      </c>
      <c r="F79" s="1">
        <f>IFERROR(__xludf.DUMMYFUNCTION("""COMPUTED_VALUE"""),1.0)</f>
        <v>1</v>
      </c>
      <c r="G79" s="1" t="str">
        <f>IFERROR(__xludf.DUMMYFUNCTION("""COMPUTED_VALUE"""),"PR004")</f>
        <v>PR004</v>
      </c>
      <c r="H79" s="1" t="str">
        <f>IFERROR(__xludf.DUMMYFUNCTION("""COMPUTED_VALUE"""),"VD015")</f>
        <v>VD015</v>
      </c>
      <c r="I79" s="1">
        <f>IFERROR(__xludf.DUMMYFUNCTION("""COMPUTED_VALUE"""),10.0)</f>
        <v>10</v>
      </c>
      <c r="J79" s="1">
        <f>IFERROR(__xludf.DUMMYFUNCTION("""COMPUTED_VALUE"""),1725.5)</f>
        <v>1725.5</v>
      </c>
      <c r="K79" s="1">
        <f>IFERROR(__xludf.DUMMYFUNCTION("""COMPUTED_VALUE"""),1725.5)</f>
        <v>1725.5</v>
      </c>
    </row>
    <row r="80">
      <c r="A80" s="1">
        <f>IFERROR(__xludf.DUMMYFUNCTION("""COMPUTED_VALUE"""),1000.0)</f>
        <v>1000</v>
      </c>
      <c r="B80" s="1">
        <f>IFERROR(__xludf.DUMMYFUNCTION("""COMPUTED_VALUE"""),183513.0)</f>
        <v>183513</v>
      </c>
      <c r="C80" s="1">
        <f>IFERROR(__xludf.DUMMYFUNCTION("""COMPUTED_VALUE"""),2026.0)</f>
        <v>2026</v>
      </c>
      <c r="D80" s="1">
        <f>IFERROR(__xludf.DUMMYFUNCTION("""COMPUTED_VALUE"""),46375.0)</f>
        <v>46375</v>
      </c>
      <c r="E80" s="1" t="str">
        <f>IFERROR(__xludf.DUMMYFUNCTION("""COMPUTED_VALUE"""),"VF")</f>
        <v>VF</v>
      </c>
      <c r="F80" s="1">
        <f>IFERROR(__xludf.DUMMYFUNCTION("""COMPUTED_VALUE"""),2.0)</f>
        <v>2</v>
      </c>
      <c r="G80" s="1" t="str">
        <f>IFERROR(__xludf.DUMMYFUNCTION("""COMPUTED_VALUE"""),"PR045")</f>
        <v>PR045</v>
      </c>
      <c r="H80" s="1" t="str">
        <f>IFERROR(__xludf.DUMMYFUNCTION("""COMPUTED_VALUE"""),"VD027")</f>
        <v>VD027</v>
      </c>
      <c r="I80" s="1">
        <f>IFERROR(__xludf.DUMMYFUNCTION("""COMPUTED_VALUE"""),16.0)</f>
        <v>16</v>
      </c>
      <c r="J80" s="1">
        <f>IFERROR(__xludf.DUMMYFUNCTION("""COMPUTED_VALUE"""),1334.0)</f>
        <v>1334</v>
      </c>
      <c r="K80" s="1">
        <f>IFERROR(__xludf.DUMMYFUNCTION("""COMPUTED_VALUE"""),1334.0)</f>
        <v>1334</v>
      </c>
    </row>
    <row r="81">
      <c r="A81" s="1">
        <f>IFERROR(__xludf.DUMMYFUNCTION("""COMPUTED_VALUE"""),1000.0)</f>
        <v>1000</v>
      </c>
      <c r="B81" s="1">
        <f>IFERROR(__xludf.DUMMYFUNCTION("""COMPUTED_VALUE"""),183514.0)</f>
        <v>183514</v>
      </c>
      <c r="C81" s="1">
        <f>IFERROR(__xludf.DUMMYFUNCTION("""COMPUTED_VALUE"""),2026.0)</f>
        <v>2026</v>
      </c>
      <c r="D81" s="1">
        <f>IFERROR(__xludf.DUMMYFUNCTION("""COMPUTED_VALUE"""),46374.0)</f>
        <v>46374</v>
      </c>
      <c r="E81" s="1" t="str">
        <f>IFERROR(__xludf.DUMMYFUNCTION("""COMPUTED_VALUE"""),"VF")</f>
        <v>VF</v>
      </c>
      <c r="F81" s="1">
        <f>IFERROR(__xludf.DUMMYFUNCTION("""COMPUTED_VALUE"""),1.0)</f>
        <v>1</v>
      </c>
      <c r="G81" s="1" t="str">
        <f>IFERROR(__xludf.DUMMYFUNCTION("""COMPUTED_VALUE"""),"PR014")</f>
        <v>PR014</v>
      </c>
      <c r="H81" s="1" t="str">
        <f>IFERROR(__xludf.DUMMYFUNCTION("""COMPUTED_VALUE"""),"VD035")</f>
        <v>VD035</v>
      </c>
      <c r="I81" s="1">
        <f>IFERROR(__xludf.DUMMYFUNCTION("""COMPUTED_VALUE"""),20.0)</f>
        <v>20</v>
      </c>
      <c r="J81" s="1">
        <f>IFERROR(__xludf.DUMMYFUNCTION("""COMPUTED_VALUE"""),877.8)</f>
        <v>877.8</v>
      </c>
      <c r="K81" s="1">
        <f>IFERROR(__xludf.DUMMYFUNCTION("""COMPUTED_VALUE"""),877.8)</f>
        <v>877.8</v>
      </c>
    </row>
    <row r="82">
      <c r="A82" s="1">
        <f>IFERROR(__xludf.DUMMYFUNCTION("""COMPUTED_VALUE"""),1000.0)</f>
        <v>1000</v>
      </c>
      <c r="B82" s="1">
        <f>IFERROR(__xludf.DUMMYFUNCTION("""COMPUTED_VALUE"""),183515.0)</f>
        <v>183515</v>
      </c>
      <c r="C82" s="1">
        <f>IFERROR(__xludf.DUMMYFUNCTION("""COMPUTED_VALUE"""),2026.0)</f>
        <v>2026</v>
      </c>
      <c r="D82" s="1">
        <f>IFERROR(__xludf.DUMMYFUNCTION("""COMPUTED_VALUE"""),46374.0)</f>
        <v>46374</v>
      </c>
      <c r="E82" s="1" t="str">
        <f>IFERROR(__xludf.DUMMYFUNCTION("""COMPUTED_VALUE"""),"VF")</f>
        <v>VF</v>
      </c>
      <c r="F82" s="1">
        <f>IFERROR(__xludf.DUMMYFUNCTION("""COMPUTED_VALUE"""),1.0)</f>
        <v>1</v>
      </c>
      <c r="G82" s="1" t="str">
        <f>IFERROR(__xludf.DUMMYFUNCTION("""COMPUTED_VALUE"""),"PR026")</f>
        <v>PR026</v>
      </c>
      <c r="H82" s="1" t="str">
        <f>IFERROR(__xludf.DUMMYFUNCTION("""COMPUTED_VALUE"""),"VD011")</f>
        <v>VD011</v>
      </c>
      <c r="I82" s="1">
        <f>IFERROR(__xludf.DUMMYFUNCTION("""COMPUTED_VALUE"""),15.0)</f>
        <v>15</v>
      </c>
      <c r="J82" s="1">
        <f>IFERROR(__xludf.DUMMYFUNCTION("""COMPUTED_VALUE"""),6035.78)</f>
        <v>6035.78</v>
      </c>
      <c r="K82" s="1">
        <f>IFERROR(__xludf.DUMMYFUNCTION("""COMPUTED_VALUE"""),6035.78)</f>
        <v>6035.78</v>
      </c>
    </row>
    <row r="83">
      <c r="A83" s="1">
        <f>IFERROR(__xludf.DUMMYFUNCTION("""COMPUTED_VALUE"""),1000.0)</f>
        <v>1000</v>
      </c>
      <c r="B83" s="1">
        <f>IFERROR(__xludf.DUMMYFUNCTION("""COMPUTED_VALUE"""),183516.0)</f>
        <v>183516</v>
      </c>
      <c r="C83" s="1">
        <f>IFERROR(__xludf.DUMMYFUNCTION("""COMPUTED_VALUE"""),2026.0)</f>
        <v>2026</v>
      </c>
      <c r="D83" s="1">
        <f>IFERROR(__xludf.DUMMYFUNCTION("""COMPUTED_VALUE"""),46374.0)</f>
        <v>46374</v>
      </c>
      <c r="E83" s="1" t="str">
        <f>IFERROR(__xludf.DUMMYFUNCTION("""COMPUTED_VALUE"""),"VF")</f>
        <v>VF</v>
      </c>
      <c r="F83" s="1">
        <f>IFERROR(__xludf.DUMMYFUNCTION("""COMPUTED_VALUE"""),1.0)</f>
        <v>1</v>
      </c>
      <c r="G83" s="1" t="str">
        <f>IFERROR(__xludf.DUMMYFUNCTION("""COMPUTED_VALUE"""),"PR014")</f>
        <v>PR014</v>
      </c>
      <c r="H83" s="1" t="str">
        <f>IFERROR(__xludf.DUMMYFUNCTION("""COMPUTED_VALUE"""),"VD028")</f>
        <v>VD028</v>
      </c>
      <c r="I83" s="1">
        <f>IFERROR(__xludf.DUMMYFUNCTION("""COMPUTED_VALUE"""),30.0)</f>
        <v>30</v>
      </c>
      <c r="J83" s="1">
        <f>IFERROR(__xludf.DUMMYFUNCTION("""COMPUTED_VALUE"""),1328.67)</f>
        <v>1328.67</v>
      </c>
      <c r="K83" s="1">
        <f>IFERROR(__xludf.DUMMYFUNCTION("""COMPUTED_VALUE"""),1328.67)</f>
        <v>1328.67</v>
      </c>
    </row>
    <row r="84">
      <c r="A84" s="1">
        <f>IFERROR(__xludf.DUMMYFUNCTION("""COMPUTED_VALUE"""),1000.0)</f>
        <v>1000</v>
      </c>
      <c r="B84" s="1">
        <f>IFERROR(__xludf.DUMMYFUNCTION("""COMPUTED_VALUE"""),183516.0)</f>
        <v>183516</v>
      </c>
      <c r="C84" s="1">
        <f>IFERROR(__xludf.DUMMYFUNCTION("""COMPUTED_VALUE"""),2026.0)</f>
        <v>2026</v>
      </c>
      <c r="D84" s="1">
        <f>IFERROR(__xludf.DUMMYFUNCTION("""COMPUTED_VALUE"""),46373.0)</f>
        <v>46373</v>
      </c>
      <c r="E84" s="1" t="str">
        <f>IFERROR(__xludf.DUMMYFUNCTION("""COMPUTED_VALUE"""),"VF")</f>
        <v>VF</v>
      </c>
      <c r="F84" s="1">
        <f>IFERROR(__xludf.DUMMYFUNCTION("""COMPUTED_VALUE"""),2.0)</f>
        <v>2</v>
      </c>
      <c r="G84" s="1" t="str">
        <f>IFERROR(__xludf.DUMMYFUNCTION("""COMPUTED_VALUE"""),"PR024")</f>
        <v>PR024</v>
      </c>
      <c r="H84" s="1" t="str">
        <f>IFERROR(__xludf.DUMMYFUNCTION("""COMPUTED_VALUE"""),"VD019")</f>
        <v>VD019</v>
      </c>
      <c r="I84" s="1">
        <f>IFERROR(__xludf.DUMMYFUNCTION("""COMPUTED_VALUE"""),30.0)</f>
        <v>30</v>
      </c>
      <c r="J84" s="1">
        <f>IFERROR(__xludf.DUMMYFUNCTION("""COMPUTED_VALUE"""),8810.61)</f>
        <v>8810.61</v>
      </c>
      <c r="K84" s="1">
        <f>IFERROR(__xludf.DUMMYFUNCTION("""COMPUTED_VALUE"""),8810.61)</f>
        <v>8810.61</v>
      </c>
    </row>
    <row r="85">
      <c r="A85" s="1">
        <f>IFERROR(__xludf.DUMMYFUNCTION("""COMPUTED_VALUE"""),1000.0)</f>
        <v>1000</v>
      </c>
      <c r="B85" s="1">
        <f>IFERROR(__xludf.DUMMYFUNCTION("""COMPUTED_VALUE"""),183517.0)</f>
        <v>183517</v>
      </c>
      <c r="C85" s="1">
        <f>IFERROR(__xludf.DUMMYFUNCTION("""COMPUTED_VALUE"""),2026.0)</f>
        <v>2026</v>
      </c>
      <c r="D85" s="1">
        <f>IFERROR(__xludf.DUMMYFUNCTION("""COMPUTED_VALUE"""),46373.0)</f>
        <v>46373</v>
      </c>
      <c r="E85" s="1" t="str">
        <f>IFERROR(__xludf.DUMMYFUNCTION("""COMPUTED_VALUE"""),"VF")</f>
        <v>VF</v>
      </c>
      <c r="F85" s="1">
        <f>IFERROR(__xludf.DUMMYFUNCTION("""COMPUTED_VALUE"""),1.0)</f>
        <v>1</v>
      </c>
      <c r="G85" s="1" t="str">
        <f>IFERROR(__xludf.DUMMYFUNCTION("""COMPUTED_VALUE"""),"PR023")</f>
        <v>PR023</v>
      </c>
      <c r="H85" s="1" t="str">
        <f>IFERROR(__xludf.DUMMYFUNCTION("""COMPUTED_VALUE"""),"VD034")</f>
        <v>VD034</v>
      </c>
      <c r="I85" s="1">
        <f>IFERROR(__xludf.DUMMYFUNCTION("""COMPUTED_VALUE"""),18.0)</f>
        <v>18</v>
      </c>
      <c r="J85" s="1">
        <f>IFERROR(__xludf.DUMMYFUNCTION("""COMPUTED_VALUE"""),5082.97)</f>
        <v>5082.97</v>
      </c>
      <c r="K85" s="1">
        <f>IFERROR(__xludf.DUMMYFUNCTION("""COMPUTED_VALUE"""),5082.97)</f>
        <v>5082.97</v>
      </c>
    </row>
    <row r="86">
      <c r="A86" s="1">
        <f>IFERROR(__xludf.DUMMYFUNCTION("""COMPUTED_VALUE"""),1000.0)</f>
        <v>1000</v>
      </c>
      <c r="B86" s="1">
        <f>IFERROR(__xludf.DUMMYFUNCTION("""COMPUTED_VALUE"""),183517.0)</f>
        <v>183517</v>
      </c>
      <c r="C86" s="1">
        <f>IFERROR(__xludf.DUMMYFUNCTION("""COMPUTED_VALUE"""),2026.0)</f>
        <v>2026</v>
      </c>
      <c r="D86" s="1">
        <f>IFERROR(__xludf.DUMMYFUNCTION("""COMPUTED_VALUE"""),46373.0)</f>
        <v>46373</v>
      </c>
      <c r="E86" s="1" t="str">
        <f>IFERROR(__xludf.DUMMYFUNCTION("""COMPUTED_VALUE"""),"VF")</f>
        <v>VF</v>
      </c>
      <c r="F86" s="1">
        <f>IFERROR(__xludf.DUMMYFUNCTION("""COMPUTED_VALUE"""),2.0)</f>
        <v>2</v>
      </c>
      <c r="G86" s="1" t="str">
        <f>IFERROR(__xludf.DUMMYFUNCTION("""COMPUTED_VALUE"""),"PR010")</f>
        <v>PR010</v>
      </c>
      <c r="H86" s="1" t="str">
        <f>IFERROR(__xludf.DUMMYFUNCTION("""COMPUTED_VALUE"""),"VD028")</f>
        <v>VD028</v>
      </c>
      <c r="I86" s="1">
        <f>IFERROR(__xludf.DUMMYFUNCTION("""COMPUTED_VALUE"""),20.0)</f>
        <v>20</v>
      </c>
      <c r="J86" s="1">
        <f>IFERROR(__xludf.DUMMYFUNCTION("""COMPUTED_VALUE"""),1050.66)</f>
        <v>1050.66</v>
      </c>
      <c r="K86" s="1">
        <f>IFERROR(__xludf.DUMMYFUNCTION("""COMPUTED_VALUE"""),1050.66)</f>
        <v>1050.66</v>
      </c>
    </row>
    <row r="87">
      <c r="A87" s="1">
        <f>IFERROR(__xludf.DUMMYFUNCTION("""COMPUTED_VALUE"""),1000.0)</f>
        <v>1000</v>
      </c>
      <c r="B87" s="1">
        <f>IFERROR(__xludf.DUMMYFUNCTION("""COMPUTED_VALUE"""),183517.0)</f>
        <v>183517</v>
      </c>
      <c r="C87" s="1">
        <f>IFERROR(__xludf.DUMMYFUNCTION("""COMPUTED_VALUE"""),2026.0)</f>
        <v>2026</v>
      </c>
      <c r="D87" s="1">
        <f>IFERROR(__xludf.DUMMYFUNCTION("""COMPUTED_VALUE"""),46373.0)</f>
        <v>46373</v>
      </c>
      <c r="E87" s="1" t="str">
        <f>IFERROR(__xludf.DUMMYFUNCTION("""COMPUTED_VALUE"""),"VF")</f>
        <v>VF</v>
      </c>
      <c r="F87" s="1">
        <f>IFERROR(__xludf.DUMMYFUNCTION("""COMPUTED_VALUE"""),3.0)</f>
        <v>3</v>
      </c>
      <c r="G87" s="1" t="str">
        <f>IFERROR(__xludf.DUMMYFUNCTION("""COMPUTED_VALUE"""),"PR042")</f>
        <v>PR042</v>
      </c>
      <c r="H87" s="1" t="str">
        <f>IFERROR(__xludf.DUMMYFUNCTION("""COMPUTED_VALUE"""),"VD041")</f>
        <v>VD041</v>
      </c>
      <c r="I87" s="1">
        <f>IFERROR(__xludf.DUMMYFUNCTION("""COMPUTED_VALUE"""),24.0)</f>
        <v>24</v>
      </c>
      <c r="J87" s="1">
        <f>IFERROR(__xludf.DUMMYFUNCTION("""COMPUTED_VALUE"""),1502.06)</f>
        <v>1502.06</v>
      </c>
      <c r="K87" s="1">
        <f>IFERROR(__xludf.DUMMYFUNCTION("""COMPUTED_VALUE"""),1502.06)</f>
        <v>1502.06</v>
      </c>
    </row>
    <row r="88">
      <c r="A88" s="1">
        <f>IFERROR(__xludf.DUMMYFUNCTION("""COMPUTED_VALUE"""),1000.0)</f>
        <v>1000</v>
      </c>
      <c r="B88" s="1">
        <f>IFERROR(__xludf.DUMMYFUNCTION("""COMPUTED_VALUE"""),183518.0)</f>
        <v>183518</v>
      </c>
      <c r="C88" s="1">
        <f>IFERROR(__xludf.DUMMYFUNCTION("""COMPUTED_VALUE"""),2026.0)</f>
        <v>2026</v>
      </c>
      <c r="D88" s="1">
        <f>IFERROR(__xludf.DUMMYFUNCTION("""COMPUTED_VALUE"""),46373.0)</f>
        <v>46373</v>
      </c>
      <c r="E88" s="1" t="str">
        <f>IFERROR(__xludf.DUMMYFUNCTION("""COMPUTED_VALUE"""),"VF")</f>
        <v>VF</v>
      </c>
      <c r="F88" s="1">
        <f>IFERROR(__xludf.DUMMYFUNCTION("""COMPUTED_VALUE"""),1.0)</f>
        <v>1</v>
      </c>
      <c r="G88" s="1" t="str">
        <f>IFERROR(__xludf.DUMMYFUNCTION("""COMPUTED_VALUE"""),"PR057")</f>
        <v>PR057</v>
      </c>
      <c r="H88" s="1" t="str">
        <f>IFERROR(__xludf.DUMMYFUNCTION("""COMPUTED_VALUE"""),"VD015")</f>
        <v>VD015</v>
      </c>
      <c r="I88" s="1">
        <f>IFERROR(__xludf.DUMMYFUNCTION("""COMPUTED_VALUE"""),24.0)</f>
        <v>24</v>
      </c>
      <c r="J88" s="1">
        <f>IFERROR(__xludf.DUMMYFUNCTION("""COMPUTED_VALUE"""),2373.36)</f>
        <v>2373.36</v>
      </c>
      <c r="K88" s="1">
        <f>IFERROR(__xludf.DUMMYFUNCTION("""COMPUTED_VALUE"""),2373.36)</f>
        <v>2373.36</v>
      </c>
    </row>
    <row r="89">
      <c r="A89" s="1">
        <f>IFERROR(__xludf.DUMMYFUNCTION("""COMPUTED_VALUE"""),1000.0)</f>
        <v>1000</v>
      </c>
      <c r="B89" s="1">
        <f>IFERROR(__xludf.DUMMYFUNCTION("""COMPUTED_VALUE"""),183519.0)</f>
        <v>183519</v>
      </c>
      <c r="C89" s="1">
        <f>IFERROR(__xludf.DUMMYFUNCTION("""COMPUTED_VALUE"""),2026.0)</f>
        <v>2026</v>
      </c>
      <c r="D89" s="1">
        <f>IFERROR(__xludf.DUMMYFUNCTION("""COMPUTED_VALUE"""),46373.0)</f>
        <v>46373</v>
      </c>
      <c r="E89" s="1" t="str">
        <f>IFERROR(__xludf.DUMMYFUNCTION("""COMPUTED_VALUE"""),"VF")</f>
        <v>VF</v>
      </c>
      <c r="F89" s="1">
        <f>IFERROR(__xludf.DUMMYFUNCTION("""COMPUTED_VALUE"""),1.0)</f>
        <v>1</v>
      </c>
      <c r="G89" s="1" t="str">
        <f>IFERROR(__xludf.DUMMYFUNCTION("""COMPUTED_VALUE"""),"PR034")</f>
        <v>PR034</v>
      </c>
      <c r="H89" s="1" t="str">
        <f>IFERROR(__xludf.DUMMYFUNCTION("""COMPUTED_VALUE"""),"VD027")</f>
        <v>VD027</v>
      </c>
      <c r="I89" s="1">
        <f>IFERROR(__xludf.DUMMYFUNCTION("""COMPUTED_VALUE"""),6.0)</f>
        <v>6</v>
      </c>
      <c r="J89" s="1">
        <f>IFERROR(__xludf.DUMMYFUNCTION("""COMPUTED_VALUE"""),598.73)</f>
        <v>598.73</v>
      </c>
      <c r="K89" s="1">
        <f>IFERROR(__xludf.DUMMYFUNCTION("""COMPUTED_VALUE"""),598.73)</f>
        <v>598.73</v>
      </c>
    </row>
    <row r="90">
      <c r="A90" s="1">
        <f>IFERROR(__xludf.DUMMYFUNCTION("""COMPUTED_VALUE"""),1000.0)</f>
        <v>1000</v>
      </c>
      <c r="B90" s="1">
        <f>IFERROR(__xludf.DUMMYFUNCTION("""COMPUTED_VALUE"""),183520.0)</f>
        <v>183520</v>
      </c>
      <c r="C90" s="1">
        <f>IFERROR(__xludf.DUMMYFUNCTION("""COMPUTED_VALUE"""),2026.0)</f>
        <v>2026</v>
      </c>
      <c r="D90" s="1">
        <f>IFERROR(__xludf.DUMMYFUNCTION("""COMPUTED_VALUE"""),46373.0)</f>
        <v>46373</v>
      </c>
      <c r="E90" s="1" t="str">
        <f>IFERROR(__xludf.DUMMYFUNCTION("""COMPUTED_VALUE"""),"VF")</f>
        <v>VF</v>
      </c>
      <c r="F90" s="1">
        <f>IFERROR(__xludf.DUMMYFUNCTION("""COMPUTED_VALUE"""),1.0)</f>
        <v>1</v>
      </c>
      <c r="G90" s="1" t="str">
        <f>IFERROR(__xludf.DUMMYFUNCTION("""COMPUTED_VALUE"""),"PR031")</f>
        <v>PR031</v>
      </c>
      <c r="H90" s="1" t="str">
        <f>IFERROR(__xludf.DUMMYFUNCTION("""COMPUTED_VALUE"""),"VD024")</f>
        <v>VD024</v>
      </c>
      <c r="I90" s="1">
        <f>IFERROR(__xludf.DUMMYFUNCTION("""COMPUTED_VALUE"""),6.0)</f>
        <v>6</v>
      </c>
      <c r="J90" s="1">
        <f>IFERROR(__xludf.DUMMYFUNCTION("""COMPUTED_VALUE"""),1675.8)</f>
        <v>1675.8</v>
      </c>
      <c r="K90" s="1">
        <f>IFERROR(__xludf.DUMMYFUNCTION("""COMPUTED_VALUE"""),1675.8)</f>
        <v>1675.8</v>
      </c>
    </row>
    <row r="91">
      <c r="A91" s="1">
        <f>IFERROR(__xludf.DUMMYFUNCTION("""COMPUTED_VALUE"""),1000.0)</f>
        <v>1000</v>
      </c>
      <c r="B91" s="1">
        <f>IFERROR(__xludf.DUMMYFUNCTION("""COMPUTED_VALUE"""),183521.0)</f>
        <v>183521</v>
      </c>
      <c r="C91" s="1">
        <f>IFERROR(__xludf.DUMMYFUNCTION("""COMPUTED_VALUE"""),2026.0)</f>
        <v>2026</v>
      </c>
      <c r="D91" s="1">
        <f>IFERROR(__xludf.DUMMYFUNCTION("""COMPUTED_VALUE"""),46373.0)</f>
        <v>46373</v>
      </c>
      <c r="E91" s="1" t="str">
        <f>IFERROR(__xludf.DUMMYFUNCTION("""COMPUTED_VALUE"""),"VF")</f>
        <v>VF</v>
      </c>
      <c r="F91" s="1">
        <f>IFERROR(__xludf.DUMMYFUNCTION("""COMPUTED_VALUE"""),1.0)</f>
        <v>1</v>
      </c>
      <c r="G91" s="1" t="str">
        <f>IFERROR(__xludf.DUMMYFUNCTION("""COMPUTED_VALUE"""),"PR046")</f>
        <v>PR046</v>
      </c>
      <c r="H91" s="1" t="str">
        <f>IFERROR(__xludf.DUMMYFUNCTION("""COMPUTED_VALUE"""),"VD038")</f>
        <v>VD038</v>
      </c>
      <c r="I91" s="1">
        <f>IFERROR(__xludf.DUMMYFUNCTION("""COMPUTED_VALUE"""),8.0)</f>
        <v>8</v>
      </c>
      <c r="J91" s="1">
        <f>IFERROR(__xludf.DUMMYFUNCTION("""COMPUTED_VALUE"""),2620.7)</f>
        <v>2620.7</v>
      </c>
      <c r="K91" s="1">
        <f>IFERROR(__xludf.DUMMYFUNCTION("""COMPUTED_VALUE"""),2620.7)</f>
        <v>2620.7</v>
      </c>
    </row>
    <row r="92">
      <c r="A92" s="1">
        <f>IFERROR(__xludf.DUMMYFUNCTION("""COMPUTED_VALUE"""),1000.0)</f>
        <v>1000</v>
      </c>
      <c r="B92" s="1">
        <f>IFERROR(__xludf.DUMMYFUNCTION("""COMPUTED_VALUE"""),183522.0)</f>
        <v>183522</v>
      </c>
      <c r="C92" s="1">
        <f>IFERROR(__xludf.DUMMYFUNCTION("""COMPUTED_VALUE"""),2026.0)</f>
        <v>2026</v>
      </c>
      <c r="D92" s="1">
        <f>IFERROR(__xludf.DUMMYFUNCTION("""COMPUTED_VALUE"""),46372.0)</f>
        <v>46372</v>
      </c>
      <c r="E92" s="1" t="str">
        <f>IFERROR(__xludf.DUMMYFUNCTION("""COMPUTED_VALUE"""),"VF")</f>
        <v>VF</v>
      </c>
      <c r="F92" s="1">
        <f>IFERROR(__xludf.DUMMYFUNCTION("""COMPUTED_VALUE"""),1.0)</f>
        <v>1</v>
      </c>
      <c r="G92" s="1" t="str">
        <f>IFERROR(__xludf.DUMMYFUNCTION("""COMPUTED_VALUE"""),"PR033")</f>
        <v>PR033</v>
      </c>
      <c r="H92" s="1" t="str">
        <f>IFERROR(__xludf.DUMMYFUNCTION("""COMPUTED_VALUE"""),"VD014")</f>
        <v>VD014</v>
      </c>
      <c r="I92" s="1">
        <f>IFERROR(__xludf.DUMMYFUNCTION("""COMPUTED_VALUE"""),12.0)</f>
        <v>12</v>
      </c>
      <c r="J92" s="1">
        <f>IFERROR(__xludf.DUMMYFUNCTION("""COMPUTED_VALUE"""),3649.0)</f>
        <v>3649</v>
      </c>
      <c r="K92" s="1">
        <f>IFERROR(__xludf.DUMMYFUNCTION("""COMPUTED_VALUE"""),3649.0)</f>
        <v>3649</v>
      </c>
    </row>
    <row r="93">
      <c r="A93" s="1">
        <f>IFERROR(__xludf.DUMMYFUNCTION("""COMPUTED_VALUE"""),1000.0)</f>
        <v>1000</v>
      </c>
      <c r="B93" s="1">
        <f>IFERROR(__xludf.DUMMYFUNCTION("""COMPUTED_VALUE"""),183523.0)</f>
        <v>183523</v>
      </c>
      <c r="C93" s="1">
        <f>IFERROR(__xludf.DUMMYFUNCTION("""COMPUTED_VALUE"""),2026.0)</f>
        <v>2026</v>
      </c>
      <c r="D93" s="1">
        <f>IFERROR(__xludf.DUMMYFUNCTION("""COMPUTED_VALUE"""),46372.0)</f>
        <v>46372</v>
      </c>
      <c r="E93" s="1" t="str">
        <f>IFERROR(__xludf.DUMMYFUNCTION("""COMPUTED_VALUE"""),"VF")</f>
        <v>VF</v>
      </c>
      <c r="F93" s="1">
        <f>IFERROR(__xludf.DUMMYFUNCTION("""COMPUTED_VALUE"""),1.0)</f>
        <v>1</v>
      </c>
      <c r="G93" s="1" t="str">
        <f>IFERROR(__xludf.DUMMYFUNCTION("""COMPUTED_VALUE"""),"PR041")</f>
        <v>PR041</v>
      </c>
      <c r="H93" s="1" t="str">
        <f>IFERROR(__xludf.DUMMYFUNCTION("""COMPUTED_VALUE"""),"VD035")</f>
        <v>VD035</v>
      </c>
      <c r="I93" s="1">
        <f>IFERROR(__xludf.DUMMYFUNCTION("""COMPUTED_VALUE"""),18.0)</f>
        <v>18</v>
      </c>
      <c r="J93" s="1">
        <f>IFERROR(__xludf.DUMMYFUNCTION("""COMPUTED_VALUE"""),1166.08)</f>
        <v>1166.08</v>
      </c>
      <c r="K93" s="1">
        <f>IFERROR(__xludf.DUMMYFUNCTION("""COMPUTED_VALUE"""),1166.08)</f>
        <v>1166.08</v>
      </c>
    </row>
    <row r="94">
      <c r="A94" s="1">
        <f>IFERROR(__xludf.DUMMYFUNCTION("""COMPUTED_VALUE"""),1000.0)</f>
        <v>1000</v>
      </c>
      <c r="B94" s="1">
        <f>IFERROR(__xludf.DUMMYFUNCTION("""COMPUTED_VALUE"""),183524.0)</f>
        <v>183524</v>
      </c>
      <c r="C94" s="1">
        <f>IFERROR(__xludf.DUMMYFUNCTION("""COMPUTED_VALUE"""),2026.0)</f>
        <v>2026</v>
      </c>
      <c r="D94" s="1">
        <f>IFERROR(__xludf.DUMMYFUNCTION("""COMPUTED_VALUE"""),46372.0)</f>
        <v>46372</v>
      </c>
      <c r="E94" s="1" t="str">
        <f>IFERROR(__xludf.DUMMYFUNCTION("""COMPUTED_VALUE"""),"VF")</f>
        <v>VF</v>
      </c>
      <c r="F94" s="1">
        <f>IFERROR(__xludf.DUMMYFUNCTION("""COMPUTED_VALUE"""),1.0)</f>
        <v>1</v>
      </c>
      <c r="G94" s="1" t="str">
        <f>IFERROR(__xludf.DUMMYFUNCTION("""COMPUTED_VALUE"""),"PR001")</f>
        <v>PR001</v>
      </c>
      <c r="H94" s="1" t="str">
        <f>IFERROR(__xludf.DUMMYFUNCTION("""COMPUTED_VALUE"""),"VD045")</f>
        <v>VD045</v>
      </c>
      <c r="I94" s="1">
        <f>IFERROR(__xludf.DUMMYFUNCTION("""COMPUTED_VALUE"""),12.0)</f>
        <v>12</v>
      </c>
      <c r="J94" s="1">
        <f>IFERROR(__xludf.DUMMYFUNCTION("""COMPUTED_VALUE"""),941.05)</f>
        <v>941.05</v>
      </c>
      <c r="K94" s="1">
        <f>IFERROR(__xludf.DUMMYFUNCTION("""COMPUTED_VALUE"""),941.05)</f>
        <v>941.05</v>
      </c>
    </row>
    <row r="95">
      <c r="A95" s="1">
        <f>IFERROR(__xludf.DUMMYFUNCTION("""COMPUTED_VALUE"""),1000.0)</f>
        <v>1000</v>
      </c>
      <c r="B95" s="1">
        <f>IFERROR(__xludf.DUMMYFUNCTION("""COMPUTED_VALUE"""),183525.0)</f>
        <v>183525</v>
      </c>
      <c r="C95" s="1">
        <f>IFERROR(__xludf.DUMMYFUNCTION("""COMPUTED_VALUE"""),2026.0)</f>
        <v>2026</v>
      </c>
      <c r="D95" s="1">
        <f>IFERROR(__xludf.DUMMYFUNCTION("""COMPUTED_VALUE"""),46372.0)</f>
        <v>46372</v>
      </c>
      <c r="E95" s="1" t="str">
        <f>IFERROR(__xludf.DUMMYFUNCTION("""COMPUTED_VALUE"""),"VF")</f>
        <v>VF</v>
      </c>
      <c r="F95" s="1">
        <f>IFERROR(__xludf.DUMMYFUNCTION("""COMPUTED_VALUE"""),1.0)</f>
        <v>1</v>
      </c>
      <c r="G95" s="1" t="str">
        <f>IFERROR(__xludf.DUMMYFUNCTION("""COMPUTED_VALUE"""),"PR006")</f>
        <v>PR006</v>
      </c>
      <c r="H95" s="1" t="str">
        <f>IFERROR(__xludf.DUMMYFUNCTION("""COMPUTED_VALUE"""),"VD035")</f>
        <v>VD035</v>
      </c>
      <c r="I95" s="1">
        <f>IFERROR(__xludf.DUMMYFUNCTION("""COMPUTED_VALUE"""),12.0)</f>
        <v>12</v>
      </c>
      <c r="J95" s="1">
        <f>IFERROR(__xludf.DUMMYFUNCTION("""COMPUTED_VALUE"""),541.04)</f>
        <v>541.04</v>
      </c>
      <c r="K95" s="1">
        <f>IFERROR(__xludf.DUMMYFUNCTION("""COMPUTED_VALUE"""),541.04)</f>
        <v>541.04</v>
      </c>
    </row>
    <row r="96">
      <c r="A96" s="1">
        <f>IFERROR(__xludf.DUMMYFUNCTION("""COMPUTED_VALUE"""),1000.0)</f>
        <v>1000</v>
      </c>
      <c r="B96" s="1">
        <f>IFERROR(__xludf.DUMMYFUNCTION("""COMPUTED_VALUE"""),183526.0)</f>
        <v>183526</v>
      </c>
      <c r="C96" s="1">
        <f>IFERROR(__xludf.DUMMYFUNCTION("""COMPUTED_VALUE"""),2026.0)</f>
        <v>2026</v>
      </c>
      <c r="D96" s="1">
        <f>IFERROR(__xludf.DUMMYFUNCTION("""COMPUTED_VALUE"""),46372.0)</f>
        <v>46372</v>
      </c>
      <c r="E96" s="1" t="str">
        <f>IFERROR(__xludf.DUMMYFUNCTION("""COMPUTED_VALUE"""),"VF")</f>
        <v>VF</v>
      </c>
      <c r="F96" s="1">
        <f>IFERROR(__xludf.DUMMYFUNCTION("""COMPUTED_VALUE"""),1.0)</f>
        <v>1</v>
      </c>
      <c r="G96" s="1" t="str">
        <f>IFERROR(__xludf.DUMMYFUNCTION("""COMPUTED_VALUE"""),"PR049")</f>
        <v>PR049</v>
      </c>
      <c r="H96" s="1" t="str">
        <f>IFERROR(__xludf.DUMMYFUNCTION("""COMPUTED_VALUE"""),"VD039")</f>
        <v>VD039</v>
      </c>
      <c r="I96" s="1">
        <f>IFERROR(__xludf.DUMMYFUNCTION("""COMPUTED_VALUE"""),10.0)</f>
        <v>10</v>
      </c>
      <c r="J96" s="1">
        <f>IFERROR(__xludf.DUMMYFUNCTION("""COMPUTED_VALUE"""),388.22)</f>
        <v>388.22</v>
      </c>
      <c r="K96" s="1">
        <f>IFERROR(__xludf.DUMMYFUNCTION("""COMPUTED_VALUE"""),388.22)</f>
        <v>388.22</v>
      </c>
    </row>
    <row r="97">
      <c r="A97" s="1">
        <f>IFERROR(__xludf.DUMMYFUNCTION("""COMPUTED_VALUE"""),1000.0)</f>
        <v>1000</v>
      </c>
      <c r="B97" s="1">
        <f>IFERROR(__xludf.DUMMYFUNCTION("""COMPUTED_VALUE"""),183527.0)</f>
        <v>183527</v>
      </c>
      <c r="C97" s="1">
        <f>IFERROR(__xludf.DUMMYFUNCTION("""COMPUTED_VALUE"""),2026.0)</f>
        <v>2026</v>
      </c>
      <c r="D97" s="1">
        <f>IFERROR(__xludf.DUMMYFUNCTION("""COMPUTED_VALUE"""),46372.0)</f>
        <v>46372</v>
      </c>
      <c r="E97" s="1" t="str">
        <f>IFERROR(__xludf.DUMMYFUNCTION("""COMPUTED_VALUE"""),"VF")</f>
        <v>VF</v>
      </c>
      <c r="F97" s="1">
        <f>IFERROR(__xludf.DUMMYFUNCTION("""COMPUTED_VALUE"""),1.0)</f>
        <v>1</v>
      </c>
      <c r="G97" s="1" t="str">
        <f>IFERROR(__xludf.DUMMYFUNCTION("""COMPUTED_VALUE"""),"PR012")</f>
        <v>PR012</v>
      </c>
      <c r="H97" s="1" t="str">
        <f>IFERROR(__xludf.DUMMYFUNCTION("""COMPUTED_VALUE"""),"VD034")</f>
        <v>VD034</v>
      </c>
      <c r="I97" s="1">
        <f>IFERROR(__xludf.DUMMYFUNCTION("""COMPUTED_VALUE"""),27.0)</f>
        <v>27</v>
      </c>
      <c r="J97" s="1">
        <f>IFERROR(__xludf.DUMMYFUNCTION("""COMPUTED_VALUE"""),1584.36)</f>
        <v>1584.36</v>
      </c>
      <c r="K97" s="1">
        <f>IFERROR(__xludf.DUMMYFUNCTION("""COMPUTED_VALUE"""),1584.36)</f>
        <v>1584.36</v>
      </c>
    </row>
    <row r="98">
      <c r="A98" s="1">
        <f>IFERROR(__xludf.DUMMYFUNCTION("""COMPUTED_VALUE"""),1000.0)</f>
        <v>1000</v>
      </c>
      <c r="B98" s="1">
        <f>IFERROR(__xludf.DUMMYFUNCTION("""COMPUTED_VALUE"""),183528.0)</f>
        <v>183528</v>
      </c>
      <c r="C98" s="1">
        <f>IFERROR(__xludf.DUMMYFUNCTION("""COMPUTED_VALUE"""),2026.0)</f>
        <v>2026</v>
      </c>
      <c r="D98" s="1">
        <f>IFERROR(__xludf.DUMMYFUNCTION("""COMPUTED_VALUE"""),46371.0)</f>
        <v>46371</v>
      </c>
      <c r="E98" s="1" t="str">
        <f>IFERROR(__xludf.DUMMYFUNCTION("""COMPUTED_VALUE"""),"VF")</f>
        <v>VF</v>
      </c>
      <c r="F98" s="1">
        <f>IFERROR(__xludf.DUMMYFUNCTION("""COMPUTED_VALUE"""),1.0)</f>
        <v>1</v>
      </c>
      <c r="G98" s="1" t="str">
        <f>IFERROR(__xludf.DUMMYFUNCTION("""COMPUTED_VALUE"""),"PR060")</f>
        <v>PR060</v>
      </c>
      <c r="H98" s="1" t="str">
        <f>IFERROR(__xludf.DUMMYFUNCTION("""COMPUTED_VALUE"""),"VD019")</f>
        <v>VD019</v>
      </c>
      <c r="I98" s="1">
        <f>IFERROR(__xludf.DUMMYFUNCTION("""COMPUTED_VALUE"""),18.0)</f>
        <v>18</v>
      </c>
      <c r="J98" s="1">
        <f>IFERROR(__xludf.DUMMYFUNCTION("""COMPUTED_VALUE"""),3628.8)</f>
        <v>3628.8</v>
      </c>
      <c r="K98" s="1">
        <f>IFERROR(__xludf.DUMMYFUNCTION("""COMPUTED_VALUE"""),3628.8)</f>
        <v>3628.8</v>
      </c>
    </row>
    <row r="99">
      <c r="A99" s="1">
        <f>IFERROR(__xludf.DUMMYFUNCTION("""COMPUTED_VALUE"""),1000.0)</f>
        <v>1000</v>
      </c>
      <c r="B99" s="1">
        <f>IFERROR(__xludf.DUMMYFUNCTION("""COMPUTED_VALUE"""),183529.0)</f>
        <v>183529</v>
      </c>
      <c r="C99" s="1">
        <f>IFERROR(__xludf.DUMMYFUNCTION("""COMPUTED_VALUE"""),2026.0)</f>
        <v>2026</v>
      </c>
      <c r="D99" s="1">
        <f>IFERROR(__xludf.DUMMYFUNCTION("""COMPUTED_VALUE"""),46371.0)</f>
        <v>46371</v>
      </c>
      <c r="E99" s="1" t="str">
        <f>IFERROR(__xludf.DUMMYFUNCTION("""COMPUTED_VALUE"""),"VF")</f>
        <v>VF</v>
      </c>
      <c r="F99" s="1">
        <f>IFERROR(__xludf.DUMMYFUNCTION("""COMPUTED_VALUE"""),1.0)</f>
        <v>1</v>
      </c>
      <c r="G99" s="1" t="str">
        <f>IFERROR(__xludf.DUMMYFUNCTION("""COMPUTED_VALUE"""),"PR060")</f>
        <v>PR060</v>
      </c>
      <c r="H99" s="1" t="str">
        <f>IFERROR(__xludf.DUMMYFUNCTION("""COMPUTED_VALUE"""),"VD042")</f>
        <v>VD042</v>
      </c>
      <c r="I99" s="1">
        <f>IFERROR(__xludf.DUMMYFUNCTION("""COMPUTED_VALUE"""),10.0)</f>
        <v>10</v>
      </c>
      <c r="J99" s="1">
        <f>IFERROR(__xludf.DUMMYFUNCTION("""COMPUTED_VALUE"""),1980.0)</f>
        <v>1980</v>
      </c>
      <c r="K99" s="1">
        <f>IFERROR(__xludf.DUMMYFUNCTION("""COMPUTED_VALUE"""),1980.0)</f>
        <v>1980</v>
      </c>
    </row>
    <row r="100">
      <c r="A100" s="1">
        <f>IFERROR(__xludf.DUMMYFUNCTION("""COMPUTED_VALUE"""),1000.0)</f>
        <v>1000</v>
      </c>
      <c r="B100" s="1">
        <f>IFERROR(__xludf.DUMMYFUNCTION("""COMPUTED_VALUE"""),183530.0)</f>
        <v>183530</v>
      </c>
      <c r="C100" s="1">
        <f>IFERROR(__xludf.DUMMYFUNCTION("""COMPUTED_VALUE"""),2026.0)</f>
        <v>2026</v>
      </c>
      <c r="D100" s="1">
        <f>IFERROR(__xludf.DUMMYFUNCTION("""COMPUTED_VALUE"""),46371.0)</f>
        <v>46371</v>
      </c>
      <c r="E100" s="1" t="str">
        <f>IFERROR(__xludf.DUMMYFUNCTION("""COMPUTED_VALUE"""),"VF")</f>
        <v>VF</v>
      </c>
      <c r="F100" s="1">
        <f>IFERROR(__xludf.DUMMYFUNCTION("""COMPUTED_VALUE"""),1.0)</f>
        <v>1</v>
      </c>
      <c r="G100" s="1" t="str">
        <f>IFERROR(__xludf.DUMMYFUNCTION("""COMPUTED_VALUE"""),"PR014")</f>
        <v>PR014</v>
      </c>
      <c r="H100" s="1" t="str">
        <f>IFERROR(__xludf.DUMMYFUNCTION("""COMPUTED_VALUE"""),"VD010")</f>
        <v>VD010</v>
      </c>
      <c r="I100" s="1">
        <f>IFERROR(__xludf.DUMMYFUNCTION("""COMPUTED_VALUE"""),18.0)</f>
        <v>18</v>
      </c>
      <c r="J100" s="1">
        <f>IFERROR(__xludf.DUMMYFUNCTION("""COMPUTED_VALUE"""),790.02)</f>
        <v>790.02</v>
      </c>
      <c r="K100" s="1">
        <f>IFERROR(__xludf.DUMMYFUNCTION("""COMPUTED_VALUE"""),790.02)</f>
        <v>790.02</v>
      </c>
    </row>
    <row r="101">
      <c r="A101" s="1">
        <f>IFERROR(__xludf.DUMMYFUNCTION("""COMPUTED_VALUE"""),1000.0)</f>
        <v>1000</v>
      </c>
      <c r="B101" s="1">
        <f>IFERROR(__xludf.DUMMYFUNCTION("""COMPUTED_VALUE"""),183530.0)</f>
        <v>183530</v>
      </c>
      <c r="C101" s="1">
        <f>IFERROR(__xludf.DUMMYFUNCTION("""COMPUTED_VALUE"""),2026.0)</f>
        <v>2026</v>
      </c>
      <c r="D101" s="1">
        <f>IFERROR(__xludf.DUMMYFUNCTION("""COMPUTED_VALUE"""),46370.0)</f>
        <v>46370</v>
      </c>
      <c r="E101" s="1" t="str">
        <f>IFERROR(__xludf.DUMMYFUNCTION("""COMPUTED_VALUE"""),"VF")</f>
        <v>VF</v>
      </c>
      <c r="F101" s="1">
        <f>IFERROR(__xludf.DUMMYFUNCTION("""COMPUTED_VALUE"""),2.0)</f>
        <v>2</v>
      </c>
      <c r="G101" s="1" t="str">
        <f>IFERROR(__xludf.DUMMYFUNCTION("""COMPUTED_VALUE"""),"PR036")</f>
        <v>PR036</v>
      </c>
      <c r="H101" s="1" t="str">
        <f>IFERROR(__xludf.DUMMYFUNCTION("""COMPUTED_VALUE"""),"VD019")</f>
        <v>VD019</v>
      </c>
      <c r="I101" s="1">
        <f>IFERROR(__xludf.DUMMYFUNCTION("""COMPUTED_VALUE"""),27.0)</f>
        <v>27</v>
      </c>
      <c r="J101" s="1">
        <f>IFERROR(__xludf.DUMMYFUNCTION("""COMPUTED_VALUE"""),2953.67)</f>
        <v>2953.67</v>
      </c>
      <c r="K101" s="1">
        <f>IFERROR(__xludf.DUMMYFUNCTION("""COMPUTED_VALUE"""),2953.67)</f>
        <v>2953.67</v>
      </c>
    </row>
    <row r="102">
      <c r="A102" s="1">
        <f>IFERROR(__xludf.DUMMYFUNCTION("""COMPUTED_VALUE"""),1000.0)</f>
        <v>1000</v>
      </c>
      <c r="B102" s="1">
        <f>IFERROR(__xludf.DUMMYFUNCTION("""COMPUTED_VALUE"""),183531.0)</f>
        <v>183531</v>
      </c>
      <c r="C102" s="1">
        <f>IFERROR(__xludf.DUMMYFUNCTION("""COMPUTED_VALUE"""),2026.0)</f>
        <v>2026</v>
      </c>
      <c r="D102" s="1">
        <f>IFERROR(__xludf.DUMMYFUNCTION("""COMPUTED_VALUE"""),46370.0)</f>
        <v>46370</v>
      </c>
      <c r="E102" s="1" t="str">
        <f>IFERROR(__xludf.DUMMYFUNCTION("""COMPUTED_VALUE"""),"VF")</f>
        <v>VF</v>
      </c>
      <c r="F102" s="1">
        <f>IFERROR(__xludf.DUMMYFUNCTION("""COMPUTED_VALUE"""),1.0)</f>
        <v>1</v>
      </c>
      <c r="G102" s="1" t="str">
        <f>IFERROR(__xludf.DUMMYFUNCTION("""COMPUTED_VALUE"""),"PR035")</f>
        <v>PR035</v>
      </c>
      <c r="H102" s="1" t="str">
        <f>IFERROR(__xludf.DUMMYFUNCTION("""COMPUTED_VALUE"""),"VD012")</f>
        <v>VD012</v>
      </c>
      <c r="I102" s="1">
        <f>IFERROR(__xludf.DUMMYFUNCTION("""COMPUTED_VALUE"""),8.0)</f>
        <v>8</v>
      </c>
      <c r="J102" s="1">
        <f>IFERROR(__xludf.DUMMYFUNCTION("""COMPUTED_VALUE"""),862.82)</f>
        <v>862.82</v>
      </c>
      <c r="K102" s="1">
        <f>IFERROR(__xludf.DUMMYFUNCTION("""COMPUTED_VALUE"""),862.82)</f>
        <v>862.82</v>
      </c>
    </row>
    <row r="103">
      <c r="A103" s="1">
        <f>IFERROR(__xludf.DUMMYFUNCTION("""COMPUTED_VALUE"""),1000.0)</f>
        <v>1000</v>
      </c>
      <c r="B103" s="1">
        <f>IFERROR(__xludf.DUMMYFUNCTION("""COMPUTED_VALUE"""),183532.0)</f>
        <v>183532</v>
      </c>
      <c r="C103" s="1">
        <f>IFERROR(__xludf.DUMMYFUNCTION("""COMPUTED_VALUE"""),2026.0)</f>
        <v>2026</v>
      </c>
      <c r="D103" s="1">
        <f>IFERROR(__xludf.DUMMYFUNCTION("""COMPUTED_VALUE"""),46369.0)</f>
        <v>46369</v>
      </c>
      <c r="E103" s="1" t="str">
        <f>IFERROR(__xludf.DUMMYFUNCTION("""COMPUTED_VALUE"""),"VF")</f>
        <v>VF</v>
      </c>
      <c r="F103" s="1">
        <f>IFERROR(__xludf.DUMMYFUNCTION("""COMPUTED_VALUE"""),1.0)</f>
        <v>1</v>
      </c>
      <c r="G103" s="1" t="str">
        <f>IFERROR(__xludf.DUMMYFUNCTION("""COMPUTED_VALUE"""),"PR006")</f>
        <v>PR006</v>
      </c>
      <c r="H103" s="1" t="str">
        <f>IFERROR(__xludf.DUMMYFUNCTION("""COMPUTED_VALUE"""),"VD044")</f>
        <v>VD044</v>
      </c>
      <c r="I103" s="1">
        <f>IFERROR(__xludf.DUMMYFUNCTION("""COMPUTED_VALUE"""),16.0)</f>
        <v>16</v>
      </c>
      <c r="J103" s="1">
        <f>IFERROR(__xludf.DUMMYFUNCTION("""COMPUTED_VALUE"""),746.93)</f>
        <v>746.93</v>
      </c>
      <c r="K103" s="1">
        <f>IFERROR(__xludf.DUMMYFUNCTION("""COMPUTED_VALUE"""),746.93)</f>
        <v>746.93</v>
      </c>
    </row>
    <row r="104">
      <c r="A104" s="1">
        <f>IFERROR(__xludf.DUMMYFUNCTION("""COMPUTED_VALUE"""),2000.0)</f>
        <v>2000</v>
      </c>
      <c r="B104" s="1">
        <f>IFERROR(__xludf.DUMMYFUNCTION("""COMPUTED_VALUE"""),183533.0)</f>
        <v>183533</v>
      </c>
      <c r="C104" s="1">
        <f>IFERROR(__xludf.DUMMYFUNCTION("""COMPUTED_VALUE"""),2026.0)</f>
        <v>2026</v>
      </c>
      <c r="D104" s="1">
        <f>IFERROR(__xludf.DUMMYFUNCTION("""COMPUTED_VALUE"""),46369.0)</f>
        <v>46369</v>
      </c>
      <c r="E104" s="1" t="str">
        <f>IFERROR(__xludf.DUMMYFUNCTION("""COMPUTED_VALUE"""),"VF")</f>
        <v>VF</v>
      </c>
      <c r="F104" s="1">
        <f>IFERROR(__xludf.DUMMYFUNCTION("""COMPUTED_VALUE"""),1.0)</f>
        <v>1</v>
      </c>
      <c r="G104" s="1" t="str">
        <f>IFERROR(__xludf.DUMMYFUNCTION("""COMPUTED_VALUE"""),"PR010")</f>
        <v>PR010</v>
      </c>
      <c r="H104" s="1" t="str">
        <f>IFERROR(__xludf.DUMMYFUNCTION("""COMPUTED_VALUE"""),"VD049")</f>
        <v>VD049</v>
      </c>
      <c r="I104" s="1">
        <f>IFERROR(__xludf.DUMMYFUNCTION("""COMPUTED_VALUE"""),20.0)</f>
        <v>20</v>
      </c>
      <c r="J104" s="1">
        <f>IFERROR(__xludf.DUMMYFUNCTION("""COMPUTED_VALUE"""),1077.6)</f>
        <v>1077.6</v>
      </c>
      <c r="K104" s="1">
        <f>IFERROR(__xludf.DUMMYFUNCTION("""COMPUTED_VALUE"""),1077.6)</f>
        <v>1077.6</v>
      </c>
    </row>
    <row r="105">
      <c r="A105" s="1">
        <f>IFERROR(__xludf.DUMMYFUNCTION("""COMPUTED_VALUE"""),1000.0)</f>
        <v>1000</v>
      </c>
      <c r="B105" s="1">
        <f>IFERROR(__xludf.DUMMYFUNCTION("""COMPUTED_VALUE"""),183534.0)</f>
        <v>183534</v>
      </c>
      <c r="C105" s="1">
        <f>IFERROR(__xludf.DUMMYFUNCTION("""COMPUTED_VALUE"""),2026.0)</f>
        <v>2026</v>
      </c>
      <c r="D105" s="1">
        <f>IFERROR(__xludf.DUMMYFUNCTION("""COMPUTED_VALUE"""),46369.0)</f>
        <v>46369</v>
      </c>
      <c r="E105" s="1" t="str">
        <f>IFERROR(__xludf.DUMMYFUNCTION("""COMPUTED_VALUE"""),"VF")</f>
        <v>VF</v>
      </c>
      <c r="F105" s="1">
        <f>IFERROR(__xludf.DUMMYFUNCTION("""COMPUTED_VALUE"""),1.0)</f>
        <v>1</v>
      </c>
      <c r="G105" s="1" t="str">
        <f>IFERROR(__xludf.DUMMYFUNCTION("""COMPUTED_VALUE"""),"PR024")</f>
        <v>PR024</v>
      </c>
      <c r="H105" s="1" t="str">
        <f>IFERROR(__xludf.DUMMYFUNCTION("""COMPUTED_VALUE"""),"VD041")</f>
        <v>VD041</v>
      </c>
      <c r="I105" s="1">
        <f>IFERROR(__xludf.DUMMYFUNCTION("""COMPUTED_VALUE"""),27.0)</f>
        <v>27</v>
      </c>
      <c r="J105" s="1">
        <f>IFERROR(__xludf.DUMMYFUNCTION("""COMPUTED_VALUE"""),8350.59)</f>
        <v>8350.59</v>
      </c>
      <c r="K105" s="1">
        <f>IFERROR(__xludf.DUMMYFUNCTION("""COMPUTED_VALUE"""),8350.59)</f>
        <v>8350.59</v>
      </c>
    </row>
    <row r="106">
      <c r="A106" s="1">
        <f>IFERROR(__xludf.DUMMYFUNCTION("""COMPUTED_VALUE"""),1000.0)</f>
        <v>1000</v>
      </c>
      <c r="B106" s="1">
        <f>IFERROR(__xludf.DUMMYFUNCTION("""COMPUTED_VALUE"""),183535.0)</f>
        <v>183535</v>
      </c>
      <c r="C106" s="1">
        <f>IFERROR(__xludf.DUMMYFUNCTION("""COMPUTED_VALUE"""),2026.0)</f>
        <v>2026</v>
      </c>
      <c r="D106" s="1">
        <f>IFERROR(__xludf.DUMMYFUNCTION("""COMPUTED_VALUE"""),46369.0)</f>
        <v>46369</v>
      </c>
      <c r="E106" s="1" t="str">
        <f>IFERROR(__xludf.DUMMYFUNCTION("""COMPUTED_VALUE"""),"VF")</f>
        <v>VF</v>
      </c>
      <c r="F106" s="1">
        <f>IFERROR(__xludf.DUMMYFUNCTION("""COMPUTED_VALUE"""),1.0)</f>
        <v>1</v>
      </c>
      <c r="G106" s="1" t="str">
        <f>IFERROR(__xludf.DUMMYFUNCTION("""COMPUTED_VALUE"""),"PR023")</f>
        <v>PR023</v>
      </c>
      <c r="H106" s="1" t="str">
        <f>IFERROR(__xludf.DUMMYFUNCTION("""COMPUTED_VALUE"""),"VD038")</f>
        <v>VD038</v>
      </c>
      <c r="I106" s="1">
        <f>IFERROR(__xludf.DUMMYFUNCTION("""COMPUTED_VALUE"""),30.0)</f>
        <v>30</v>
      </c>
      <c r="J106" s="1">
        <f>IFERROR(__xludf.DUMMYFUNCTION("""COMPUTED_VALUE"""),8846.46)</f>
        <v>8846.46</v>
      </c>
      <c r="K106" s="1">
        <f>IFERROR(__xludf.DUMMYFUNCTION("""COMPUTED_VALUE"""),8846.46)</f>
        <v>8846.46</v>
      </c>
    </row>
    <row r="107">
      <c r="A107" s="1">
        <f>IFERROR(__xludf.DUMMYFUNCTION("""COMPUTED_VALUE"""),1000.0)</f>
        <v>1000</v>
      </c>
      <c r="B107" s="1">
        <f>IFERROR(__xludf.DUMMYFUNCTION("""COMPUTED_VALUE"""),183536.0)</f>
        <v>183536</v>
      </c>
      <c r="C107" s="1">
        <f>IFERROR(__xludf.DUMMYFUNCTION("""COMPUTED_VALUE"""),2026.0)</f>
        <v>2026</v>
      </c>
      <c r="D107" s="1">
        <f>IFERROR(__xludf.DUMMYFUNCTION("""COMPUTED_VALUE"""),46368.0)</f>
        <v>46368</v>
      </c>
      <c r="E107" s="1" t="str">
        <f>IFERROR(__xludf.DUMMYFUNCTION("""COMPUTED_VALUE"""),"VF")</f>
        <v>VF</v>
      </c>
      <c r="F107" s="1">
        <f>IFERROR(__xludf.DUMMYFUNCTION("""COMPUTED_VALUE"""),1.0)</f>
        <v>1</v>
      </c>
      <c r="G107" s="1" t="str">
        <f>IFERROR(__xludf.DUMMYFUNCTION("""COMPUTED_VALUE"""),"PR022")</f>
        <v>PR022</v>
      </c>
      <c r="H107" s="1" t="str">
        <f>IFERROR(__xludf.DUMMYFUNCTION("""COMPUTED_VALUE"""),"VD044")</f>
        <v>VD044</v>
      </c>
      <c r="I107" s="1">
        <f>IFERROR(__xludf.DUMMYFUNCTION("""COMPUTED_VALUE"""),12.0)</f>
        <v>12</v>
      </c>
      <c r="J107" s="1">
        <f>IFERROR(__xludf.DUMMYFUNCTION("""COMPUTED_VALUE"""),4032.0)</f>
        <v>4032</v>
      </c>
      <c r="K107" s="1">
        <f>IFERROR(__xludf.DUMMYFUNCTION("""COMPUTED_VALUE"""),4032.0)</f>
        <v>4032</v>
      </c>
    </row>
    <row r="108">
      <c r="A108" s="1">
        <f>IFERROR(__xludf.DUMMYFUNCTION("""COMPUTED_VALUE"""),1000.0)</f>
        <v>1000</v>
      </c>
      <c r="B108" s="1">
        <f>IFERROR(__xludf.DUMMYFUNCTION("""COMPUTED_VALUE"""),183536.0)</f>
        <v>183536</v>
      </c>
      <c r="C108" s="1">
        <f>IFERROR(__xludf.DUMMYFUNCTION("""COMPUTED_VALUE"""),2026.0)</f>
        <v>2026</v>
      </c>
      <c r="D108" s="1">
        <f>IFERROR(__xludf.DUMMYFUNCTION("""COMPUTED_VALUE"""),46368.0)</f>
        <v>46368</v>
      </c>
      <c r="E108" s="1" t="str">
        <f>IFERROR(__xludf.DUMMYFUNCTION("""COMPUTED_VALUE"""),"VF")</f>
        <v>VF</v>
      </c>
      <c r="F108" s="1">
        <f>IFERROR(__xludf.DUMMYFUNCTION("""COMPUTED_VALUE"""),2.0)</f>
        <v>2</v>
      </c>
      <c r="G108" s="1" t="str">
        <f>IFERROR(__xludf.DUMMYFUNCTION("""COMPUTED_VALUE"""),"PR053")</f>
        <v>PR053</v>
      </c>
      <c r="H108" s="1" t="str">
        <f>IFERROR(__xludf.DUMMYFUNCTION("""COMPUTED_VALUE"""),"VD010")</f>
        <v>VD010</v>
      </c>
      <c r="I108" s="1">
        <f>IFERROR(__xludf.DUMMYFUNCTION("""COMPUTED_VALUE"""),14.0)</f>
        <v>14</v>
      </c>
      <c r="J108" s="1">
        <f>IFERROR(__xludf.DUMMYFUNCTION("""COMPUTED_VALUE"""),810.38)</f>
        <v>810.38</v>
      </c>
      <c r="K108" s="1">
        <f>IFERROR(__xludf.DUMMYFUNCTION("""COMPUTED_VALUE"""),810.38)</f>
        <v>810.38</v>
      </c>
    </row>
    <row r="109">
      <c r="A109" s="1">
        <f>IFERROR(__xludf.DUMMYFUNCTION("""COMPUTED_VALUE"""),2000.0)</f>
        <v>2000</v>
      </c>
      <c r="B109" s="1">
        <f>IFERROR(__xludf.DUMMYFUNCTION("""COMPUTED_VALUE"""),183537.0)</f>
        <v>183537</v>
      </c>
      <c r="C109" s="1">
        <f>IFERROR(__xludf.DUMMYFUNCTION("""COMPUTED_VALUE"""),2026.0)</f>
        <v>2026</v>
      </c>
      <c r="D109" s="1">
        <f>IFERROR(__xludf.DUMMYFUNCTION("""COMPUTED_VALUE"""),46367.0)</f>
        <v>46367</v>
      </c>
      <c r="E109" s="1" t="str">
        <f>IFERROR(__xludf.DUMMYFUNCTION("""COMPUTED_VALUE"""),"VF")</f>
        <v>VF</v>
      </c>
      <c r="F109" s="1">
        <f>IFERROR(__xludf.DUMMYFUNCTION("""COMPUTED_VALUE"""),1.0)</f>
        <v>1</v>
      </c>
      <c r="G109" s="1" t="str">
        <f>IFERROR(__xludf.DUMMYFUNCTION("""COMPUTED_VALUE"""),"PR054")</f>
        <v>PR054</v>
      </c>
      <c r="H109" s="1" t="str">
        <f>IFERROR(__xludf.DUMMYFUNCTION("""COMPUTED_VALUE"""),"VD034")</f>
        <v>VD034</v>
      </c>
      <c r="I109" s="1">
        <f>IFERROR(__xludf.DUMMYFUNCTION("""COMPUTED_VALUE"""),21.0)</f>
        <v>21</v>
      </c>
      <c r="J109" s="1">
        <f>IFERROR(__xludf.DUMMYFUNCTION("""COMPUTED_VALUE"""),1236.52)</f>
        <v>1236.52</v>
      </c>
      <c r="K109" s="1">
        <f>IFERROR(__xludf.DUMMYFUNCTION("""COMPUTED_VALUE"""),1236.52)</f>
        <v>1236.52</v>
      </c>
    </row>
    <row r="110">
      <c r="A110" s="1">
        <f>IFERROR(__xludf.DUMMYFUNCTION("""COMPUTED_VALUE"""),1000.0)</f>
        <v>1000</v>
      </c>
      <c r="B110" s="1">
        <f>IFERROR(__xludf.DUMMYFUNCTION("""COMPUTED_VALUE"""),183538.0)</f>
        <v>183538</v>
      </c>
      <c r="C110" s="1">
        <f>IFERROR(__xludf.DUMMYFUNCTION("""COMPUTED_VALUE"""),2026.0)</f>
        <v>2026</v>
      </c>
      <c r="D110" s="1">
        <f>IFERROR(__xludf.DUMMYFUNCTION("""COMPUTED_VALUE"""),46367.0)</f>
        <v>46367</v>
      </c>
      <c r="E110" s="1" t="str">
        <f>IFERROR(__xludf.DUMMYFUNCTION("""COMPUTED_VALUE"""),"VF")</f>
        <v>VF</v>
      </c>
      <c r="F110" s="1">
        <f>IFERROR(__xludf.DUMMYFUNCTION("""COMPUTED_VALUE"""),1.0)</f>
        <v>1</v>
      </c>
      <c r="G110" s="1" t="str">
        <f>IFERROR(__xludf.DUMMYFUNCTION("""COMPUTED_VALUE"""),"PR058")</f>
        <v>PR058</v>
      </c>
      <c r="H110" s="1" t="str">
        <f>IFERROR(__xludf.DUMMYFUNCTION("""COMPUTED_VALUE"""),"VD044")</f>
        <v>VD044</v>
      </c>
      <c r="I110" s="1">
        <f>IFERROR(__xludf.DUMMYFUNCTION("""COMPUTED_VALUE"""),15.0)</f>
        <v>15</v>
      </c>
      <c r="J110" s="1">
        <f>IFERROR(__xludf.DUMMYFUNCTION("""COMPUTED_VALUE"""),3240.0)</f>
        <v>3240</v>
      </c>
      <c r="K110" s="1">
        <f>IFERROR(__xludf.DUMMYFUNCTION("""COMPUTED_VALUE"""),3240.0)</f>
        <v>3240</v>
      </c>
    </row>
    <row r="111">
      <c r="A111" s="1">
        <f>IFERROR(__xludf.DUMMYFUNCTION("""COMPUTED_VALUE"""),1000.0)</f>
        <v>1000</v>
      </c>
      <c r="B111" s="1">
        <f>IFERROR(__xludf.DUMMYFUNCTION("""COMPUTED_VALUE"""),183539.0)</f>
        <v>183539</v>
      </c>
      <c r="C111" s="1">
        <f>IFERROR(__xludf.DUMMYFUNCTION("""COMPUTED_VALUE"""),2026.0)</f>
        <v>2026</v>
      </c>
      <c r="D111" s="1">
        <f>IFERROR(__xludf.DUMMYFUNCTION("""COMPUTED_VALUE"""),46366.0)</f>
        <v>46366</v>
      </c>
      <c r="E111" s="1" t="str">
        <f>IFERROR(__xludf.DUMMYFUNCTION("""COMPUTED_VALUE"""),"VF")</f>
        <v>VF</v>
      </c>
      <c r="F111" s="1">
        <f>IFERROR(__xludf.DUMMYFUNCTION("""COMPUTED_VALUE"""),1.0)</f>
        <v>1</v>
      </c>
      <c r="G111" s="1" t="str">
        <f>IFERROR(__xludf.DUMMYFUNCTION("""COMPUTED_VALUE"""),"PR040")</f>
        <v>PR040</v>
      </c>
      <c r="H111" s="1" t="str">
        <f>IFERROR(__xludf.DUMMYFUNCTION("""COMPUTED_VALUE"""),"VD037")</f>
        <v>VD037</v>
      </c>
      <c r="I111" s="1">
        <f>IFERROR(__xludf.DUMMYFUNCTION("""COMPUTED_VALUE"""),12.0)</f>
        <v>12</v>
      </c>
      <c r="J111" s="1">
        <f>IFERROR(__xludf.DUMMYFUNCTION("""COMPUTED_VALUE"""),974.4)</f>
        <v>974.4</v>
      </c>
      <c r="K111" s="1">
        <f>IFERROR(__xludf.DUMMYFUNCTION("""COMPUTED_VALUE"""),974.4)</f>
        <v>974.4</v>
      </c>
    </row>
    <row r="112">
      <c r="A112" s="1">
        <f>IFERROR(__xludf.DUMMYFUNCTION("""COMPUTED_VALUE"""),1000.0)</f>
        <v>1000</v>
      </c>
      <c r="B112" s="1">
        <f>IFERROR(__xludf.DUMMYFUNCTION("""COMPUTED_VALUE"""),183540.0)</f>
        <v>183540</v>
      </c>
      <c r="C112" s="1">
        <f>IFERROR(__xludf.DUMMYFUNCTION("""COMPUTED_VALUE"""),2026.0)</f>
        <v>2026</v>
      </c>
      <c r="D112" s="1">
        <f>IFERROR(__xludf.DUMMYFUNCTION("""COMPUTED_VALUE"""),46366.0)</f>
        <v>46366</v>
      </c>
      <c r="E112" s="1" t="str">
        <f>IFERROR(__xludf.DUMMYFUNCTION("""COMPUTED_VALUE"""),"VF")</f>
        <v>VF</v>
      </c>
      <c r="F112" s="1">
        <f>IFERROR(__xludf.DUMMYFUNCTION("""COMPUTED_VALUE"""),1.0)</f>
        <v>1</v>
      </c>
      <c r="G112" s="1" t="str">
        <f>IFERROR(__xludf.DUMMYFUNCTION("""COMPUTED_VALUE"""),"PR031")</f>
        <v>PR031</v>
      </c>
      <c r="H112" s="1" t="str">
        <f>IFERROR(__xludf.DUMMYFUNCTION("""COMPUTED_VALUE"""),"VD037")</f>
        <v>VD037</v>
      </c>
      <c r="I112" s="1">
        <f>IFERROR(__xludf.DUMMYFUNCTION("""COMPUTED_VALUE"""),24.0)</f>
        <v>24</v>
      </c>
      <c r="J112" s="1">
        <f>IFERROR(__xludf.DUMMYFUNCTION("""COMPUTED_VALUE"""),6997.2)</f>
        <v>6997.2</v>
      </c>
      <c r="K112" s="1">
        <f>IFERROR(__xludf.DUMMYFUNCTION("""COMPUTED_VALUE"""),6997.2)</f>
        <v>6997.2</v>
      </c>
    </row>
    <row r="113">
      <c r="A113" s="1">
        <f>IFERROR(__xludf.DUMMYFUNCTION("""COMPUTED_VALUE"""),2000.0)</f>
        <v>2000</v>
      </c>
      <c r="B113" s="1">
        <f>IFERROR(__xludf.DUMMYFUNCTION("""COMPUTED_VALUE"""),183541.0)</f>
        <v>183541</v>
      </c>
      <c r="C113" s="1">
        <f>IFERROR(__xludf.DUMMYFUNCTION("""COMPUTED_VALUE"""),2026.0)</f>
        <v>2026</v>
      </c>
      <c r="D113" s="1">
        <f>IFERROR(__xludf.DUMMYFUNCTION("""COMPUTED_VALUE"""),46366.0)</f>
        <v>46366</v>
      </c>
      <c r="E113" s="1" t="str">
        <f>IFERROR(__xludf.DUMMYFUNCTION("""COMPUTED_VALUE"""),"VF")</f>
        <v>VF</v>
      </c>
      <c r="F113" s="1">
        <f>IFERROR(__xludf.DUMMYFUNCTION("""COMPUTED_VALUE"""),1.0)</f>
        <v>1</v>
      </c>
      <c r="G113" s="1" t="str">
        <f>IFERROR(__xludf.DUMMYFUNCTION("""COMPUTED_VALUE"""),"PR009")</f>
        <v>PR009</v>
      </c>
      <c r="H113" s="1" t="str">
        <f>IFERROR(__xludf.DUMMYFUNCTION("""COMPUTED_VALUE"""),"VD011")</f>
        <v>VD011</v>
      </c>
      <c r="I113" s="1">
        <f>IFERROR(__xludf.DUMMYFUNCTION("""COMPUTED_VALUE"""),21.0)</f>
        <v>21</v>
      </c>
      <c r="J113" s="1">
        <f>IFERROR(__xludf.DUMMYFUNCTION("""COMPUTED_VALUE"""),2185.01)</f>
        <v>2185.01</v>
      </c>
      <c r="K113" s="1">
        <f>IFERROR(__xludf.DUMMYFUNCTION("""COMPUTED_VALUE"""),2185.01)</f>
        <v>2185.01</v>
      </c>
    </row>
    <row r="114">
      <c r="A114" s="1">
        <f>IFERROR(__xludf.DUMMYFUNCTION("""COMPUTED_VALUE"""),1000.0)</f>
        <v>1000</v>
      </c>
      <c r="B114" s="1">
        <f>IFERROR(__xludf.DUMMYFUNCTION("""COMPUTED_VALUE"""),183542.0)</f>
        <v>183542</v>
      </c>
      <c r="C114" s="1">
        <f>IFERROR(__xludf.DUMMYFUNCTION("""COMPUTED_VALUE"""),2026.0)</f>
        <v>2026</v>
      </c>
      <c r="D114" s="1">
        <f>IFERROR(__xludf.DUMMYFUNCTION("""COMPUTED_VALUE"""),46366.0)</f>
        <v>46366</v>
      </c>
      <c r="E114" s="1" t="str">
        <f>IFERROR(__xludf.DUMMYFUNCTION("""COMPUTED_VALUE"""),"VF")</f>
        <v>VF</v>
      </c>
      <c r="F114" s="1">
        <f>IFERROR(__xludf.DUMMYFUNCTION("""COMPUTED_VALUE"""),1.0)</f>
        <v>1</v>
      </c>
      <c r="G114" s="1" t="str">
        <f>IFERROR(__xludf.DUMMYFUNCTION("""COMPUTED_VALUE"""),"PR029")</f>
        <v>PR029</v>
      </c>
      <c r="H114" s="1" t="str">
        <f>IFERROR(__xludf.DUMMYFUNCTION("""COMPUTED_VALUE"""),"VD047")</f>
        <v>VD047</v>
      </c>
      <c r="I114" s="1">
        <f>IFERROR(__xludf.DUMMYFUNCTION("""COMPUTED_VALUE"""),24.0)</f>
        <v>24</v>
      </c>
      <c r="J114" s="1">
        <f>IFERROR(__xludf.DUMMYFUNCTION("""COMPUTED_VALUE"""),6793.2)</f>
        <v>6793.2</v>
      </c>
      <c r="K114" s="1">
        <f>IFERROR(__xludf.DUMMYFUNCTION("""COMPUTED_VALUE"""),6793.2)</f>
        <v>6793.2</v>
      </c>
    </row>
    <row r="115">
      <c r="A115" s="1">
        <f>IFERROR(__xludf.DUMMYFUNCTION("""COMPUTED_VALUE"""),1000.0)</f>
        <v>1000</v>
      </c>
      <c r="B115" s="1">
        <f>IFERROR(__xludf.DUMMYFUNCTION("""COMPUTED_VALUE"""),183543.0)</f>
        <v>183543</v>
      </c>
      <c r="C115" s="1">
        <f>IFERROR(__xludf.DUMMYFUNCTION("""COMPUTED_VALUE"""),2026.0)</f>
        <v>2026</v>
      </c>
      <c r="D115" s="1">
        <f>IFERROR(__xludf.DUMMYFUNCTION("""COMPUTED_VALUE"""),46365.0)</f>
        <v>46365</v>
      </c>
      <c r="E115" s="1" t="str">
        <f>IFERROR(__xludf.DUMMYFUNCTION("""COMPUTED_VALUE"""),"VF")</f>
        <v>VF</v>
      </c>
      <c r="F115" s="1">
        <f>IFERROR(__xludf.DUMMYFUNCTION("""COMPUTED_VALUE"""),1.0)</f>
        <v>1</v>
      </c>
      <c r="G115" s="1" t="str">
        <f>IFERROR(__xludf.DUMMYFUNCTION("""COMPUTED_VALUE"""),"PR017")</f>
        <v>PR017</v>
      </c>
      <c r="H115" s="1" t="str">
        <f>IFERROR(__xludf.DUMMYFUNCTION("""COMPUTED_VALUE"""),"VD042")</f>
        <v>VD042</v>
      </c>
      <c r="I115" s="1">
        <f>IFERROR(__xludf.DUMMYFUNCTION("""COMPUTED_VALUE"""),27.0)</f>
        <v>27</v>
      </c>
      <c r="J115" s="1">
        <f>IFERROR(__xludf.DUMMYFUNCTION("""COMPUTED_VALUE"""),912.25)</f>
        <v>912.25</v>
      </c>
      <c r="K115" s="1">
        <f>IFERROR(__xludf.DUMMYFUNCTION("""COMPUTED_VALUE"""),912.25)</f>
        <v>912.25</v>
      </c>
    </row>
    <row r="116">
      <c r="A116" s="1">
        <f>IFERROR(__xludf.DUMMYFUNCTION("""COMPUTED_VALUE"""),1000.0)</f>
        <v>1000</v>
      </c>
      <c r="B116" s="1">
        <f>IFERROR(__xludf.DUMMYFUNCTION("""COMPUTED_VALUE"""),183544.0)</f>
        <v>183544</v>
      </c>
      <c r="C116" s="1">
        <f>IFERROR(__xludf.DUMMYFUNCTION("""COMPUTED_VALUE"""),2026.0)</f>
        <v>2026</v>
      </c>
      <c r="D116" s="1">
        <f>IFERROR(__xludf.DUMMYFUNCTION("""COMPUTED_VALUE"""),46365.0)</f>
        <v>46365</v>
      </c>
      <c r="E116" s="1" t="str">
        <f>IFERROR(__xludf.DUMMYFUNCTION("""COMPUTED_VALUE"""),"VF")</f>
        <v>VF</v>
      </c>
      <c r="F116" s="1">
        <f>IFERROR(__xludf.DUMMYFUNCTION("""COMPUTED_VALUE"""),1.0)</f>
        <v>1</v>
      </c>
      <c r="G116" s="1" t="str">
        <f>IFERROR(__xludf.DUMMYFUNCTION("""COMPUTED_VALUE"""),"PR003")</f>
        <v>PR003</v>
      </c>
      <c r="H116" s="1" t="str">
        <f>IFERROR(__xludf.DUMMYFUNCTION("""COMPUTED_VALUE"""),"VD032")</f>
        <v>VD032</v>
      </c>
      <c r="I116" s="1">
        <f>IFERROR(__xludf.DUMMYFUNCTION("""COMPUTED_VALUE"""),24.0)</f>
        <v>24</v>
      </c>
      <c r="J116" s="1">
        <f>IFERROR(__xludf.DUMMYFUNCTION("""COMPUTED_VALUE"""),2041.92)</f>
        <v>2041.92</v>
      </c>
      <c r="K116" s="1">
        <f>IFERROR(__xludf.DUMMYFUNCTION("""COMPUTED_VALUE"""),2041.92)</f>
        <v>2041.92</v>
      </c>
    </row>
    <row r="117">
      <c r="A117" s="1">
        <f>IFERROR(__xludf.DUMMYFUNCTION("""COMPUTED_VALUE"""),1000.0)</f>
        <v>1000</v>
      </c>
      <c r="B117" s="1">
        <f>IFERROR(__xludf.DUMMYFUNCTION("""COMPUTED_VALUE"""),183545.0)</f>
        <v>183545</v>
      </c>
      <c r="C117" s="1">
        <f>IFERROR(__xludf.DUMMYFUNCTION("""COMPUTED_VALUE"""),2026.0)</f>
        <v>2026</v>
      </c>
      <c r="D117" s="1">
        <f>IFERROR(__xludf.DUMMYFUNCTION("""COMPUTED_VALUE"""),46365.0)</f>
        <v>46365</v>
      </c>
      <c r="E117" s="1" t="str">
        <f>IFERROR(__xludf.DUMMYFUNCTION("""COMPUTED_VALUE"""),"VF")</f>
        <v>VF</v>
      </c>
      <c r="F117" s="1">
        <f>IFERROR(__xludf.DUMMYFUNCTION("""COMPUTED_VALUE"""),1.0)</f>
        <v>1</v>
      </c>
      <c r="G117" s="1" t="str">
        <f>IFERROR(__xludf.DUMMYFUNCTION("""COMPUTED_VALUE"""),"PR041")</f>
        <v>PR041</v>
      </c>
      <c r="H117" s="1" t="str">
        <f>IFERROR(__xludf.DUMMYFUNCTION("""COMPUTED_VALUE"""),"VD023")</f>
        <v>VD023</v>
      </c>
      <c r="I117" s="1">
        <f>IFERROR(__xludf.DUMMYFUNCTION("""COMPUTED_VALUE"""),18.0)</f>
        <v>18</v>
      </c>
      <c r="J117" s="1">
        <f>IFERROR(__xludf.DUMMYFUNCTION("""COMPUTED_VALUE"""),1136.43)</f>
        <v>1136.43</v>
      </c>
      <c r="K117" s="1">
        <f>IFERROR(__xludf.DUMMYFUNCTION("""COMPUTED_VALUE"""),1136.43)</f>
        <v>1136.43</v>
      </c>
    </row>
    <row r="118">
      <c r="A118" s="1">
        <f>IFERROR(__xludf.DUMMYFUNCTION("""COMPUTED_VALUE"""),1000.0)</f>
        <v>1000</v>
      </c>
      <c r="B118" s="1">
        <f>IFERROR(__xludf.DUMMYFUNCTION("""COMPUTED_VALUE"""),183546.0)</f>
        <v>183546</v>
      </c>
      <c r="C118" s="1">
        <f>IFERROR(__xludf.DUMMYFUNCTION("""COMPUTED_VALUE"""),2026.0)</f>
        <v>2026</v>
      </c>
      <c r="D118" s="1">
        <f>IFERROR(__xludf.DUMMYFUNCTION("""COMPUTED_VALUE"""),46365.0)</f>
        <v>46365</v>
      </c>
      <c r="E118" s="1" t="str">
        <f>IFERROR(__xludf.DUMMYFUNCTION("""COMPUTED_VALUE"""),"VF")</f>
        <v>VF</v>
      </c>
      <c r="F118" s="1">
        <f>IFERROR(__xludf.DUMMYFUNCTION("""COMPUTED_VALUE"""),1.0)</f>
        <v>1</v>
      </c>
      <c r="G118" s="1" t="str">
        <f>IFERROR(__xludf.DUMMYFUNCTION("""COMPUTED_VALUE"""),"PR029")</f>
        <v>PR029</v>
      </c>
      <c r="H118" s="1" t="str">
        <f>IFERROR(__xludf.DUMMYFUNCTION("""COMPUTED_VALUE"""),"VD036")</f>
        <v>VD036</v>
      </c>
      <c r="I118" s="1">
        <f>IFERROR(__xludf.DUMMYFUNCTION("""COMPUTED_VALUE"""),24.0)</f>
        <v>24</v>
      </c>
      <c r="J118" s="1">
        <f>IFERROR(__xludf.DUMMYFUNCTION("""COMPUTED_VALUE"""),6976.8)</f>
        <v>6976.8</v>
      </c>
      <c r="K118" s="1">
        <f>IFERROR(__xludf.DUMMYFUNCTION("""COMPUTED_VALUE"""),6976.8)</f>
        <v>6976.8</v>
      </c>
    </row>
    <row r="119">
      <c r="A119" s="1">
        <f>IFERROR(__xludf.DUMMYFUNCTION("""COMPUTED_VALUE"""),1000.0)</f>
        <v>1000</v>
      </c>
      <c r="B119" s="1">
        <f>IFERROR(__xludf.DUMMYFUNCTION("""COMPUTED_VALUE"""),183547.0)</f>
        <v>183547</v>
      </c>
      <c r="C119" s="1">
        <f>IFERROR(__xludf.DUMMYFUNCTION("""COMPUTED_VALUE"""),2026.0)</f>
        <v>2026</v>
      </c>
      <c r="D119" s="1">
        <f>IFERROR(__xludf.DUMMYFUNCTION("""COMPUTED_VALUE"""),46365.0)</f>
        <v>46365</v>
      </c>
      <c r="E119" s="1" t="str">
        <f>IFERROR(__xludf.DUMMYFUNCTION("""COMPUTED_VALUE"""),"VF")</f>
        <v>VF</v>
      </c>
      <c r="F119" s="1">
        <f>IFERROR(__xludf.DUMMYFUNCTION("""COMPUTED_VALUE"""),1.0)</f>
        <v>1</v>
      </c>
      <c r="G119" s="1" t="str">
        <f>IFERROR(__xludf.DUMMYFUNCTION("""COMPUTED_VALUE"""),"PR054")</f>
        <v>PR054</v>
      </c>
      <c r="H119" s="1" t="str">
        <f>IFERROR(__xludf.DUMMYFUNCTION("""COMPUTED_VALUE"""),"VD034")</f>
        <v>VD034</v>
      </c>
      <c r="I119" s="1">
        <f>IFERROR(__xludf.DUMMYFUNCTION("""COMPUTED_VALUE"""),18.0)</f>
        <v>18</v>
      </c>
      <c r="J119" s="1">
        <f>IFERROR(__xludf.DUMMYFUNCTION("""COMPUTED_VALUE"""),1059.88)</f>
        <v>1059.88</v>
      </c>
      <c r="K119" s="1">
        <f>IFERROR(__xludf.DUMMYFUNCTION("""COMPUTED_VALUE"""),1059.88)</f>
        <v>1059.88</v>
      </c>
    </row>
    <row r="120">
      <c r="A120" s="1">
        <f>IFERROR(__xludf.DUMMYFUNCTION("""COMPUTED_VALUE"""),1000.0)</f>
        <v>1000</v>
      </c>
      <c r="B120" s="1">
        <f>IFERROR(__xludf.DUMMYFUNCTION("""COMPUTED_VALUE"""),183548.0)</f>
        <v>183548</v>
      </c>
      <c r="C120" s="1">
        <f>IFERROR(__xludf.DUMMYFUNCTION("""COMPUTED_VALUE"""),2026.0)</f>
        <v>2026</v>
      </c>
      <c r="D120" s="1">
        <f>IFERROR(__xludf.DUMMYFUNCTION("""COMPUTED_VALUE"""),46364.0)</f>
        <v>46364</v>
      </c>
      <c r="E120" s="1" t="str">
        <f>IFERROR(__xludf.DUMMYFUNCTION("""COMPUTED_VALUE"""),"VF")</f>
        <v>VF</v>
      </c>
      <c r="F120" s="1">
        <f>IFERROR(__xludf.DUMMYFUNCTION("""COMPUTED_VALUE"""),1.0)</f>
        <v>1</v>
      </c>
      <c r="G120" s="1" t="str">
        <f>IFERROR(__xludf.DUMMYFUNCTION("""COMPUTED_VALUE"""),"PR047")</f>
        <v>PR047</v>
      </c>
      <c r="H120" s="1" t="str">
        <f>IFERROR(__xludf.DUMMYFUNCTION("""COMPUTED_VALUE"""),"VD034")</f>
        <v>VD034</v>
      </c>
      <c r="I120" s="1">
        <f>IFERROR(__xludf.DUMMYFUNCTION("""COMPUTED_VALUE"""),21.0)</f>
        <v>21</v>
      </c>
      <c r="J120" s="1">
        <f>IFERROR(__xludf.DUMMYFUNCTION("""COMPUTED_VALUE"""),7122.84)</f>
        <v>7122.84</v>
      </c>
      <c r="K120" s="1">
        <f>IFERROR(__xludf.DUMMYFUNCTION("""COMPUTED_VALUE"""),7122.84)</f>
        <v>7122.84</v>
      </c>
    </row>
    <row r="121">
      <c r="A121" s="1">
        <f>IFERROR(__xludf.DUMMYFUNCTION("""COMPUTED_VALUE"""),1000.0)</f>
        <v>1000</v>
      </c>
      <c r="B121" s="1">
        <f>IFERROR(__xludf.DUMMYFUNCTION("""COMPUTED_VALUE"""),183549.0)</f>
        <v>183549</v>
      </c>
      <c r="C121" s="1">
        <f>IFERROR(__xludf.DUMMYFUNCTION("""COMPUTED_VALUE"""),2026.0)</f>
        <v>2026</v>
      </c>
      <c r="D121" s="1">
        <f>IFERROR(__xludf.DUMMYFUNCTION("""COMPUTED_VALUE"""),46364.0)</f>
        <v>46364</v>
      </c>
      <c r="E121" s="1" t="str">
        <f>IFERROR(__xludf.DUMMYFUNCTION("""COMPUTED_VALUE"""),"VF")</f>
        <v>VF</v>
      </c>
      <c r="F121" s="1">
        <f>IFERROR(__xludf.DUMMYFUNCTION("""COMPUTED_VALUE"""),1.0)</f>
        <v>1</v>
      </c>
      <c r="G121" s="1" t="str">
        <f>IFERROR(__xludf.DUMMYFUNCTION("""COMPUTED_VALUE"""),"PR023")</f>
        <v>PR023</v>
      </c>
      <c r="H121" s="1" t="str">
        <f>IFERROR(__xludf.DUMMYFUNCTION("""COMPUTED_VALUE"""),"VD018")</f>
        <v>VD018</v>
      </c>
      <c r="I121" s="1">
        <f>IFERROR(__xludf.DUMMYFUNCTION("""COMPUTED_VALUE"""),12.0)</f>
        <v>12</v>
      </c>
      <c r="J121" s="1">
        <f>IFERROR(__xludf.DUMMYFUNCTION("""COMPUTED_VALUE"""),3598.56)</f>
        <v>3598.56</v>
      </c>
      <c r="K121" s="1">
        <f>IFERROR(__xludf.DUMMYFUNCTION("""COMPUTED_VALUE"""),3598.56)</f>
        <v>3598.56</v>
      </c>
    </row>
    <row r="122">
      <c r="A122" s="1">
        <f>IFERROR(__xludf.DUMMYFUNCTION("""COMPUTED_VALUE"""),1000.0)</f>
        <v>1000</v>
      </c>
      <c r="B122" s="1">
        <f>IFERROR(__xludf.DUMMYFUNCTION("""COMPUTED_VALUE"""),183550.0)</f>
        <v>183550</v>
      </c>
      <c r="C122" s="1">
        <f>IFERROR(__xludf.DUMMYFUNCTION("""COMPUTED_VALUE"""),2026.0)</f>
        <v>2026</v>
      </c>
      <c r="D122" s="1">
        <f>IFERROR(__xludf.DUMMYFUNCTION("""COMPUTED_VALUE"""),46364.0)</f>
        <v>46364</v>
      </c>
      <c r="E122" s="1" t="str">
        <f>IFERROR(__xludf.DUMMYFUNCTION("""COMPUTED_VALUE"""),"VF")</f>
        <v>VF</v>
      </c>
      <c r="F122" s="1">
        <f>IFERROR(__xludf.DUMMYFUNCTION("""COMPUTED_VALUE"""),1.0)</f>
        <v>1</v>
      </c>
      <c r="G122" s="1" t="str">
        <f>IFERROR(__xludf.DUMMYFUNCTION("""COMPUTED_VALUE"""),"PR017")</f>
        <v>PR017</v>
      </c>
      <c r="H122" s="1" t="str">
        <f>IFERROR(__xludf.DUMMYFUNCTION("""COMPUTED_VALUE"""),"VD043")</f>
        <v>VD043</v>
      </c>
      <c r="I122" s="1">
        <f>IFERROR(__xludf.DUMMYFUNCTION("""COMPUTED_VALUE"""),18.0)</f>
        <v>18</v>
      </c>
      <c r="J122" s="1">
        <f>IFERROR(__xludf.DUMMYFUNCTION("""COMPUTED_VALUE"""),592.02)</f>
        <v>592.02</v>
      </c>
      <c r="K122" s="1">
        <f>IFERROR(__xludf.DUMMYFUNCTION("""COMPUTED_VALUE"""),592.02)</f>
        <v>592.02</v>
      </c>
    </row>
    <row r="123">
      <c r="A123" s="1">
        <f>IFERROR(__xludf.DUMMYFUNCTION("""COMPUTED_VALUE"""),1000.0)</f>
        <v>1000</v>
      </c>
      <c r="B123" s="1">
        <f>IFERROR(__xludf.DUMMYFUNCTION("""COMPUTED_VALUE"""),183551.0)</f>
        <v>183551</v>
      </c>
      <c r="C123" s="1">
        <f>IFERROR(__xludf.DUMMYFUNCTION("""COMPUTED_VALUE"""),2026.0)</f>
        <v>2026</v>
      </c>
      <c r="D123" s="1">
        <f>IFERROR(__xludf.DUMMYFUNCTION("""COMPUTED_VALUE"""),46363.0)</f>
        <v>46363</v>
      </c>
      <c r="E123" s="1" t="str">
        <f>IFERROR(__xludf.DUMMYFUNCTION("""COMPUTED_VALUE"""),"VF")</f>
        <v>VF</v>
      </c>
      <c r="F123" s="1">
        <f>IFERROR(__xludf.DUMMYFUNCTION("""COMPUTED_VALUE"""),1.0)</f>
        <v>1</v>
      </c>
      <c r="G123" s="1" t="str">
        <f>IFERROR(__xludf.DUMMYFUNCTION("""COMPUTED_VALUE"""),"PR058")</f>
        <v>PR058</v>
      </c>
      <c r="H123" s="1" t="str">
        <f>IFERROR(__xludf.DUMMYFUNCTION("""COMPUTED_VALUE"""),"VD021")</f>
        <v>VD021</v>
      </c>
      <c r="I123" s="1">
        <f>IFERROR(__xludf.DUMMYFUNCTION("""COMPUTED_VALUE"""),10.0)</f>
        <v>10</v>
      </c>
      <c r="J123" s="1">
        <f>IFERROR(__xludf.DUMMYFUNCTION("""COMPUTED_VALUE"""),2070.0)</f>
        <v>2070</v>
      </c>
      <c r="K123" s="1">
        <f>IFERROR(__xludf.DUMMYFUNCTION("""COMPUTED_VALUE"""),2070.0)</f>
        <v>2070</v>
      </c>
    </row>
    <row r="124">
      <c r="A124" s="1">
        <f>IFERROR(__xludf.DUMMYFUNCTION("""COMPUTED_VALUE"""),1000.0)</f>
        <v>1000</v>
      </c>
      <c r="B124" s="1">
        <f>IFERROR(__xludf.DUMMYFUNCTION("""COMPUTED_VALUE"""),183552.0)</f>
        <v>183552</v>
      </c>
      <c r="C124" s="1">
        <f>IFERROR(__xludf.DUMMYFUNCTION("""COMPUTED_VALUE"""),2026.0)</f>
        <v>2026</v>
      </c>
      <c r="D124" s="1">
        <f>IFERROR(__xludf.DUMMYFUNCTION("""COMPUTED_VALUE"""),46363.0)</f>
        <v>46363</v>
      </c>
      <c r="E124" s="1" t="str">
        <f>IFERROR(__xludf.DUMMYFUNCTION("""COMPUTED_VALUE"""),"VF")</f>
        <v>VF</v>
      </c>
      <c r="F124" s="1">
        <f>IFERROR(__xludf.DUMMYFUNCTION("""COMPUTED_VALUE"""),1.0)</f>
        <v>1</v>
      </c>
      <c r="G124" s="1" t="str">
        <f>IFERROR(__xludf.DUMMYFUNCTION("""COMPUTED_VALUE"""),"PR012")</f>
        <v>PR012</v>
      </c>
      <c r="H124" s="1" t="str">
        <f>IFERROR(__xludf.DUMMYFUNCTION("""COMPUTED_VALUE"""),"VD031")</f>
        <v>VD031</v>
      </c>
      <c r="I124" s="1">
        <f>IFERROR(__xludf.DUMMYFUNCTION("""COMPUTED_VALUE"""),9.0)</f>
        <v>9</v>
      </c>
      <c r="J124" s="1">
        <f>IFERROR(__xludf.DUMMYFUNCTION("""COMPUTED_VALUE"""),523.72)</f>
        <v>523.72</v>
      </c>
      <c r="K124" s="1">
        <f>IFERROR(__xludf.DUMMYFUNCTION("""COMPUTED_VALUE"""),523.72)</f>
        <v>523.72</v>
      </c>
    </row>
    <row r="125">
      <c r="A125" s="1">
        <f>IFERROR(__xludf.DUMMYFUNCTION("""COMPUTED_VALUE"""),1000.0)</f>
        <v>1000</v>
      </c>
      <c r="B125" s="1">
        <f>IFERROR(__xludf.DUMMYFUNCTION("""COMPUTED_VALUE"""),183553.0)</f>
        <v>183553</v>
      </c>
      <c r="C125" s="1">
        <f>IFERROR(__xludf.DUMMYFUNCTION("""COMPUTED_VALUE"""),2026.0)</f>
        <v>2026</v>
      </c>
      <c r="D125" s="1">
        <f>IFERROR(__xludf.DUMMYFUNCTION("""COMPUTED_VALUE"""),46363.0)</f>
        <v>46363</v>
      </c>
      <c r="E125" s="1" t="str">
        <f>IFERROR(__xludf.DUMMYFUNCTION("""COMPUTED_VALUE"""),"VF")</f>
        <v>VF</v>
      </c>
      <c r="F125" s="1">
        <f>IFERROR(__xludf.DUMMYFUNCTION("""COMPUTED_VALUE"""),1.0)</f>
        <v>1</v>
      </c>
      <c r="G125" s="1" t="str">
        <f>IFERROR(__xludf.DUMMYFUNCTION("""COMPUTED_VALUE"""),"PR010")</f>
        <v>PR010</v>
      </c>
      <c r="H125" s="1" t="str">
        <f>IFERROR(__xludf.DUMMYFUNCTION("""COMPUTED_VALUE"""),"VD020")</f>
        <v>VD020</v>
      </c>
      <c r="I125" s="1">
        <f>IFERROR(__xludf.DUMMYFUNCTION("""COMPUTED_VALUE"""),27.0)</f>
        <v>27</v>
      </c>
      <c r="J125" s="1">
        <f>IFERROR(__xludf.DUMMYFUNCTION("""COMPUTED_VALUE"""),1357.78)</f>
        <v>1357.78</v>
      </c>
      <c r="K125" s="1">
        <f>IFERROR(__xludf.DUMMYFUNCTION("""COMPUTED_VALUE"""),1357.78)</f>
        <v>1357.78</v>
      </c>
    </row>
    <row r="126">
      <c r="A126" s="1">
        <f>IFERROR(__xludf.DUMMYFUNCTION("""COMPUTED_VALUE"""),1000.0)</f>
        <v>1000</v>
      </c>
      <c r="B126" s="1">
        <f>IFERROR(__xludf.DUMMYFUNCTION("""COMPUTED_VALUE"""),183553.0)</f>
        <v>183553</v>
      </c>
      <c r="C126" s="1">
        <f>IFERROR(__xludf.DUMMYFUNCTION("""COMPUTED_VALUE"""),2026.0)</f>
        <v>2026</v>
      </c>
      <c r="D126" s="1">
        <f>IFERROR(__xludf.DUMMYFUNCTION("""COMPUTED_VALUE"""),46362.0)</f>
        <v>46362</v>
      </c>
      <c r="E126" s="1" t="str">
        <f>IFERROR(__xludf.DUMMYFUNCTION("""COMPUTED_VALUE"""),"VF")</f>
        <v>VF</v>
      </c>
      <c r="F126" s="1">
        <f>IFERROR(__xludf.DUMMYFUNCTION("""COMPUTED_VALUE"""),2.0)</f>
        <v>2</v>
      </c>
      <c r="G126" s="1" t="str">
        <f>IFERROR(__xludf.DUMMYFUNCTION("""COMPUTED_VALUE"""),"PR038")</f>
        <v>PR038</v>
      </c>
      <c r="H126" s="1" t="str">
        <f>IFERROR(__xludf.DUMMYFUNCTION("""COMPUTED_VALUE"""),"VD024")</f>
        <v>VD024</v>
      </c>
      <c r="I126" s="1">
        <f>IFERROR(__xludf.DUMMYFUNCTION("""COMPUTED_VALUE"""),24.0)</f>
        <v>24</v>
      </c>
      <c r="J126" s="1">
        <f>IFERROR(__xludf.DUMMYFUNCTION("""COMPUTED_VALUE"""),4081.22)</f>
        <v>4081.22</v>
      </c>
      <c r="K126" s="1">
        <f>IFERROR(__xludf.DUMMYFUNCTION("""COMPUTED_VALUE"""),4081.22)</f>
        <v>4081.22</v>
      </c>
    </row>
    <row r="127">
      <c r="A127" s="1">
        <f>IFERROR(__xludf.DUMMYFUNCTION("""COMPUTED_VALUE"""),1000.0)</f>
        <v>1000</v>
      </c>
      <c r="B127" s="1">
        <f>IFERROR(__xludf.DUMMYFUNCTION("""COMPUTED_VALUE"""),183553.0)</f>
        <v>183553</v>
      </c>
      <c r="C127" s="1">
        <f>IFERROR(__xludf.DUMMYFUNCTION("""COMPUTED_VALUE"""),2026.0)</f>
        <v>2026</v>
      </c>
      <c r="D127" s="1">
        <f>IFERROR(__xludf.DUMMYFUNCTION("""COMPUTED_VALUE"""),46362.0)</f>
        <v>46362</v>
      </c>
      <c r="E127" s="1" t="str">
        <f>IFERROR(__xludf.DUMMYFUNCTION("""COMPUTED_VALUE"""),"VF")</f>
        <v>VF</v>
      </c>
      <c r="F127" s="1">
        <f>IFERROR(__xludf.DUMMYFUNCTION("""COMPUTED_VALUE"""),3.0)</f>
        <v>3</v>
      </c>
      <c r="G127" s="1" t="str">
        <f>IFERROR(__xludf.DUMMYFUNCTION("""COMPUTED_VALUE"""),"PR024")</f>
        <v>PR024</v>
      </c>
      <c r="H127" s="1" t="str">
        <f>IFERROR(__xludf.DUMMYFUNCTION("""COMPUTED_VALUE"""),"VD038")</f>
        <v>VD038</v>
      </c>
      <c r="I127" s="1">
        <f>IFERROR(__xludf.DUMMYFUNCTION("""COMPUTED_VALUE"""),18.0)</f>
        <v>18</v>
      </c>
      <c r="J127" s="1">
        <f>IFERROR(__xludf.DUMMYFUNCTION("""COMPUTED_VALUE"""),5567.06)</f>
        <v>5567.06</v>
      </c>
      <c r="K127" s="1">
        <f>IFERROR(__xludf.DUMMYFUNCTION("""COMPUTED_VALUE"""),5567.06)</f>
        <v>5567.06</v>
      </c>
    </row>
    <row r="128">
      <c r="A128" s="1">
        <f>IFERROR(__xludf.DUMMYFUNCTION("""COMPUTED_VALUE"""),1000.0)</f>
        <v>1000</v>
      </c>
      <c r="B128" s="1">
        <f>IFERROR(__xludf.DUMMYFUNCTION("""COMPUTED_VALUE"""),183554.0)</f>
        <v>183554</v>
      </c>
      <c r="C128" s="1">
        <f>IFERROR(__xludf.DUMMYFUNCTION("""COMPUTED_VALUE"""),2026.0)</f>
        <v>2026</v>
      </c>
      <c r="D128" s="1">
        <f>IFERROR(__xludf.DUMMYFUNCTION("""COMPUTED_VALUE"""),46362.0)</f>
        <v>46362</v>
      </c>
      <c r="E128" s="1" t="str">
        <f>IFERROR(__xludf.DUMMYFUNCTION("""COMPUTED_VALUE"""),"VF")</f>
        <v>VF</v>
      </c>
      <c r="F128" s="1">
        <f>IFERROR(__xludf.DUMMYFUNCTION("""COMPUTED_VALUE"""),1.0)</f>
        <v>1</v>
      </c>
      <c r="G128" s="1" t="str">
        <f>IFERROR(__xludf.DUMMYFUNCTION("""COMPUTED_VALUE"""),"PR029")</f>
        <v>PR029</v>
      </c>
      <c r="H128" s="1" t="str">
        <f>IFERROR(__xludf.DUMMYFUNCTION("""COMPUTED_VALUE"""),"VD048")</f>
        <v>VD048</v>
      </c>
      <c r="I128" s="1">
        <f>IFERROR(__xludf.DUMMYFUNCTION("""COMPUTED_VALUE"""),8.0)</f>
        <v>8</v>
      </c>
      <c r="J128" s="1">
        <f>IFERROR(__xludf.DUMMYFUNCTION("""COMPUTED_VALUE"""),2325.6)</f>
        <v>2325.6</v>
      </c>
      <c r="K128" s="1">
        <f>IFERROR(__xludf.DUMMYFUNCTION("""COMPUTED_VALUE"""),2325.6)</f>
        <v>2325.6</v>
      </c>
    </row>
    <row r="129">
      <c r="A129" s="1">
        <f>IFERROR(__xludf.DUMMYFUNCTION("""COMPUTED_VALUE"""),1000.0)</f>
        <v>1000</v>
      </c>
      <c r="B129" s="1">
        <f>IFERROR(__xludf.DUMMYFUNCTION("""COMPUTED_VALUE"""),183555.0)</f>
        <v>183555</v>
      </c>
      <c r="C129" s="1">
        <f>IFERROR(__xludf.DUMMYFUNCTION("""COMPUTED_VALUE"""),2026.0)</f>
        <v>2026</v>
      </c>
      <c r="D129" s="1">
        <f>IFERROR(__xludf.DUMMYFUNCTION("""COMPUTED_VALUE"""),46362.0)</f>
        <v>46362</v>
      </c>
      <c r="E129" s="1" t="str">
        <f>IFERROR(__xludf.DUMMYFUNCTION("""COMPUTED_VALUE"""),"VF")</f>
        <v>VF</v>
      </c>
      <c r="F129" s="1">
        <f>IFERROR(__xludf.DUMMYFUNCTION("""COMPUTED_VALUE"""),1.0)</f>
        <v>1</v>
      </c>
      <c r="G129" s="1" t="str">
        <f>IFERROR(__xludf.DUMMYFUNCTION("""COMPUTED_VALUE"""),"PR040")</f>
        <v>PR040</v>
      </c>
      <c r="H129" s="1" t="str">
        <f>IFERROR(__xludf.DUMMYFUNCTION("""COMPUTED_VALUE"""),"VD022")</f>
        <v>VD022</v>
      </c>
      <c r="I129" s="1">
        <f>IFERROR(__xludf.DUMMYFUNCTION("""COMPUTED_VALUE"""),18.0)</f>
        <v>18</v>
      </c>
      <c r="J129" s="1">
        <f>IFERROR(__xludf.DUMMYFUNCTION("""COMPUTED_VALUE"""),1423.8)</f>
        <v>1423.8</v>
      </c>
      <c r="K129" s="1">
        <f>IFERROR(__xludf.DUMMYFUNCTION("""COMPUTED_VALUE"""),1423.8)</f>
        <v>1423.8</v>
      </c>
    </row>
    <row r="130">
      <c r="A130" s="1">
        <f>IFERROR(__xludf.DUMMYFUNCTION("""COMPUTED_VALUE"""),1000.0)</f>
        <v>1000</v>
      </c>
      <c r="B130" s="1">
        <f>IFERROR(__xludf.DUMMYFUNCTION("""COMPUTED_VALUE"""),183555.0)</f>
        <v>183555</v>
      </c>
      <c r="C130" s="1">
        <f>IFERROR(__xludf.DUMMYFUNCTION("""COMPUTED_VALUE"""),2026.0)</f>
        <v>2026</v>
      </c>
      <c r="D130" s="1">
        <f>IFERROR(__xludf.DUMMYFUNCTION("""COMPUTED_VALUE"""),46362.0)</f>
        <v>46362</v>
      </c>
      <c r="E130" s="1" t="str">
        <f>IFERROR(__xludf.DUMMYFUNCTION("""COMPUTED_VALUE"""),"VF")</f>
        <v>VF</v>
      </c>
      <c r="F130" s="1">
        <f>IFERROR(__xludf.DUMMYFUNCTION("""COMPUTED_VALUE"""),2.0)</f>
        <v>2</v>
      </c>
      <c r="G130" s="1" t="str">
        <f>IFERROR(__xludf.DUMMYFUNCTION("""COMPUTED_VALUE"""),"PR045")</f>
        <v>PR045</v>
      </c>
      <c r="H130" s="1" t="str">
        <f>IFERROR(__xludf.DUMMYFUNCTION("""COMPUTED_VALUE"""),"VD023")</f>
        <v>VD023</v>
      </c>
      <c r="I130" s="1">
        <f>IFERROR(__xludf.DUMMYFUNCTION("""COMPUTED_VALUE"""),16.0)</f>
        <v>16</v>
      </c>
      <c r="J130" s="1">
        <f>IFERROR(__xludf.DUMMYFUNCTION("""COMPUTED_VALUE"""),1345.6)</f>
        <v>1345.6</v>
      </c>
      <c r="K130" s="1">
        <f>IFERROR(__xludf.DUMMYFUNCTION("""COMPUTED_VALUE"""),1345.6)</f>
        <v>1345.6</v>
      </c>
    </row>
    <row r="131">
      <c r="A131" s="1">
        <f>IFERROR(__xludf.DUMMYFUNCTION("""COMPUTED_VALUE"""),1000.0)</f>
        <v>1000</v>
      </c>
      <c r="B131" s="1">
        <f>IFERROR(__xludf.DUMMYFUNCTION("""COMPUTED_VALUE"""),183556.0)</f>
        <v>183556</v>
      </c>
      <c r="C131" s="1">
        <f>IFERROR(__xludf.DUMMYFUNCTION("""COMPUTED_VALUE"""),2026.0)</f>
        <v>2026</v>
      </c>
      <c r="D131" s="1">
        <f>IFERROR(__xludf.DUMMYFUNCTION("""COMPUTED_VALUE"""),46362.0)</f>
        <v>46362</v>
      </c>
      <c r="E131" s="1" t="str">
        <f>IFERROR(__xludf.DUMMYFUNCTION("""COMPUTED_VALUE"""),"VF")</f>
        <v>VF</v>
      </c>
      <c r="F131" s="1">
        <f>IFERROR(__xludf.DUMMYFUNCTION("""COMPUTED_VALUE"""),1.0)</f>
        <v>1</v>
      </c>
      <c r="G131" s="1" t="str">
        <f>IFERROR(__xludf.DUMMYFUNCTION("""COMPUTED_VALUE"""),"PR059")</f>
        <v>PR059</v>
      </c>
      <c r="H131" s="1" t="str">
        <f>IFERROR(__xludf.DUMMYFUNCTION("""COMPUTED_VALUE"""),"VD034")</f>
        <v>VD034</v>
      </c>
      <c r="I131" s="1">
        <f>IFERROR(__xludf.DUMMYFUNCTION("""COMPUTED_VALUE"""),18.0)</f>
        <v>18</v>
      </c>
      <c r="J131" s="1">
        <f>IFERROR(__xludf.DUMMYFUNCTION("""COMPUTED_VALUE"""),3888.0)</f>
        <v>3888</v>
      </c>
      <c r="K131" s="1">
        <f>IFERROR(__xludf.DUMMYFUNCTION("""COMPUTED_VALUE"""),3888.0)</f>
        <v>3888</v>
      </c>
    </row>
    <row r="132">
      <c r="A132" s="1">
        <f>IFERROR(__xludf.DUMMYFUNCTION("""COMPUTED_VALUE"""),1000.0)</f>
        <v>1000</v>
      </c>
      <c r="B132" s="1">
        <f>IFERROR(__xludf.DUMMYFUNCTION("""COMPUTED_VALUE"""),183556.0)</f>
        <v>183556</v>
      </c>
      <c r="C132" s="1">
        <f>IFERROR(__xludf.DUMMYFUNCTION("""COMPUTED_VALUE"""),2026.0)</f>
        <v>2026</v>
      </c>
      <c r="D132" s="1">
        <f>IFERROR(__xludf.DUMMYFUNCTION("""COMPUTED_VALUE"""),46361.0)</f>
        <v>46361</v>
      </c>
      <c r="E132" s="1" t="str">
        <f>IFERROR(__xludf.DUMMYFUNCTION("""COMPUTED_VALUE"""),"VF")</f>
        <v>VF</v>
      </c>
      <c r="F132" s="1">
        <f>IFERROR(__xludf.DUMMYFUNCTION("""COMPUTED_VALUE"""),2.0)</f>
        <v>2</v>
      </c>
      <c r="G132" s="1" t="str">
        <f>IFERROR(__xludf.DUMMYFUNCTION("""COMPUTED_VALUE"""),"PR031")</f>
        <v>PR031</v>
      </c>
      <c r="H132" s="1" t="str">
        <f>IFERROR(__xludf.DUMMYFUNCTION("""COMPUTED_VALUE"""),"VD039")</f>
        <v>VD039</v>
      </c>
      <c r="I132" s="1">
        <f>IFERROR(__xludf.DUMMYFUNCTION("""COMPUTED_VALUE"""),9.0)</f>
        <v>9</v>
      </c>
      <c r="J132" s="1">
        <f>IFERROR(__xludf.DUMMYFUNCTION("""COMPUTED_VALUE"""),2557.8)</f>
        <v>2557.8</v>
      </c>
      <c r="K132" s="1">
        <f>IFERROR(__xludf.DUMMYFUNCTION("""COMPUTED_VALUE"""),2557.8)</f>
        <v>2557.8</v>
      </c>
    </row>
    <row r="133">
      <c r="A133" s="1">
        <f>IFERROR(__xludf.DUMMYFUNCTION("""COMPUTED_VALUE"""),1000.0)</f>
        <v>1000</v>
      </c>
      <c r="B133" s="1">
        <f>IFERROR(__xludf.DUMMYFUNCTION("""COMPUTED_VALUE"""),183557.0)</f>
        <v>183557</v>
      </c>
      <c r="C133" s="1">
        <f>IFERROR(__xludf.DUMMYFUNCTION("""COMPUTED_VALUE"""),2026.0)</f>
        <v>2026</v>
      </c>
      <c r="D133" s="1">
        <f>IFERROR(__xludf.DUMMYFUNCTION("""COMPUTED_VALUE"""),46361.0)</f>
        <v>46361</v>
      </c>
      <c r="E133" s="1" t="str">
        <f>IFERROR(__xludf.DUMMYFUNCTION("""COMPUTED_VALUE"""),"VF")</f>
        <v>VF</v>
      </c>
      <c r="F133" s="1">
        <f>IFERROR(__xludf.DUMMYFUNCTION("""COMPUTED_VALUE"""),1.0)</f>
        <v>1</v>
      </c>
      <c r="G133" s="1" t="str">
        <f>IFERROR(__xludf.DUMMYFUNCTION("""COMPUTED_VALUE"""),"PR059")</f>
        <v>PR059</v>
      </c>
      <c r="H133" s="1" t="str">
        <f>IFERROR(__xludf.DUMMYFUNCTION("""COMPUTED_VALUE"""),"VD036")</f>
        <v>VD036</v>
      </c>
      <c r="I133" s="1">
        <f>IFERROR(__xludf.DUMMYFUNCTION("""COMPUTED_VALUE"""),15.0)</f>
        <v>15</v>
      </c>
      <c r="J133" s="1">
        <f>IFERROR(__xludf.DUMMYFUNCTION("""COMPUTED_VALUE"""),2997.0)</f>
        <v>2997</v>
      </c>
      <c r="K133" s="1">
        <f>IFERROR(__xludf.DUMMYFUNCTION("""COMPUTED_VALUE"""),2997.0)</f>
        <v>2997</v>
      </c>
    </row>
    <row r="134">
      <c r="A134" s="1">
        <f>IFERROR(__xludf.DUMMYFUNCTION("""COMPUTED_VALUE"""),1000.0)</f>
        <v>1000</v>
      </c>
      <c r="B134" s="1">
        <f>IFERROR(__xludf.DUMMYFUNCTION("""COMPUTED_VALUE"""),183558.0)</f>
        <v>183558</v>
      </c>
      <c r="C134" s="1">
        <f>IFERROR(__xludf.DUMMYFUNCTION("""COMPUTED_VALUE"""),2026.0)</f>
        <v>2026</v>
      </c>
      <c r="D134" s="1">
        <f>IFERROR(__xludf.DUMMYFUNCTION("""COMPUTED_VALUE"""),46361.0)</f>
        <v>46361</v>
      </c>
      <c r="E134" s="1" t="str">
        <f>IFERROR(__xludf.DUMMYFUNCTION("""COMPUTED_VALUE"""),"VF")</f>
        <v>VF</v>
      </c>
      <c r="F134" s="1">
        <f>IFERROR(__xludf.DUMMYFUNCTION("""COMPUTED_VALUE"""),1.0)</f>
        <v>1</v>
      </c>
      <c r="G134" s="1" t="str">
        <f>IFERROR(__xludf.DUMMYFUNCTION("""COMPUTED_VALUE"""),"PR058")</f>
        <v>PR058</v>
      </c>
      <c r="H134" s="1" t="str">
        <f>IFERROR(__xludf.DUMMYFUNCTION("""COMPUTED_VALUE"""),"VD027")</f>
        <v>VD027</v>
      </c>
      <c r="I134" s="1">
        <f>IFERROR(__xludf.DUMMYFUNCTION("""COMPUTED_VALUE"""),15.0)</f>
        <v>15</v>
      </c>
      <c r="J134" s="1">
        <f>IFERROR(__xludf.DUMMYFUNCTION("""COMPUTED_VALUE"""),3186.0)</f>
        <v>3186</v>
      </c>
      <c r="K134" s="1">
        <f>IFERROR(__xludf.DUMMYFUNCTION("""COMPUTED_VALUE"""),3186.0)</f>
        <v>3186</v>
      </c>
    </row>
    <row r="135">
      <c r="A135" s="1">
        <f>IFERROR(__xludf.DUMMYFUNCTION("""COMPUTED_VALUE"""),1000.0)</f>
        <v>1000</v>
      </c>
      <c r="B135" s="1">
        <f>IFERROR(__xludf.DUMMYFUNCTION("""COMPUTED_VALUE"""),183559.0)</f>
        <v>183559</v>
      </c>
      <c r="C135" s="1">
        <f>IFERROR(__xludf.DUMMYFUNCTION("""COMPUTED_VALUE"""),2026.0)</f>
        <v>2026</v>
      </c>
      <c r="D135" s="1">
        <f>IFERROR(__xludf.DUMMYFUNCTION("""COMPUTED_VALUE"""),46360.0)</f>
        <v>46360</v>
      </c>
      <c r="E135" s="1" t="str">
        <f>IFERROR(__xludf.DUMMYFUNCTION("""COMPUTED_VALUE"""),"VF")</f>
        <v>VF</v>
      </c>
      <c r="F135" s="1">
        <f>IFERROR(__xludf.DUMMYFUNCTION("""COMPUTED_VALUE"""),1.0)</f>
        <v>1</v>
      </c>
      <c r="G135" s="1" t="str">
        <f>IFERROR(__xludf.DUMMYFUNCTION("""COMPUTED_VALUE"""),"PR005")</f>
        <v>PR005</v>
      </c>
      <c r="H135" s="1" t="str">
        <f>IFERROR(__xludf.DUMMYFUNCTION("""COMPUTED_VALUE"""),"VD036")</f>
        <v>VD036</v>
      </c>
      <c r="I135" s="1">
        <f>IFERROR(__xludf.DUMMYFUNCTION("""COMPUTED_VALUE"""),27.0)</f>
        <v>27</v>
      </c>
      <c r="J135" s="1">
        <f>IFERROR(__xludf.DUMMYFUNCTION("""COMPUTED_VALUE"""),7929.55)</f>
        <v>7929.55</v>
      </c>
      <c r="K135" s="1">
        <f>IFERROR(__xludf.DUMMYFUNCTION("""COMPUTED_VALUE"""),7929.55)</f>
        <v>7929.55</v>
      </c>
    </row>
    <row r="136">
      <c r="A136" s="1">
        <f>IFERROR(__xludf.DUMMYFUNCTION("""COMPUTED_VALUE"""),1000.0)</f>
        <v>1000</v>
      </c>
      <c r="B136" s="1">
        <f>IFERROR(__xludf.DUMMYFUNCTION("""COMPUTED_VALUE"""),183559.0)</f>
        <v>183559</v>
      </c>
      <c r="C136" s="1">
        <f>IFERROR(__xludf.DUMMYFUNCTION("""COMPUTED_VALUE"""),2026.0)</f>
        <v>2026</v>
      </c>
      <c r="D136" s="1">
        <f>IFERROR(__xludf.DUMMYFUNCTION("""COMPUTED_VALUE"""),46360.0)</f>
        <v>46360</v>
      </c>
      <c r="E136" s="1" t="str">
        <f>IFERROR(__xludf.DUMMYFUNCTION("""COMPUTED_VALUE"""),"VF")</f>
        <v>VF</v>
      </c>
      <c r="F136" s="1">
        <f>IFERROR(__xludf.DUMMYFUNCTION("""COMPUTED_VALUE"""),2.0)</f>
        <v>2</v>
      </c>
      <c r="G136" s="1" t="str">
        <f>IFERROR(__xludf.DUMMYFUNCTION("""COMPUTED_VALUE"""),"PR017")</f>
        <v>PR017</v>
      </c>
      <c r="H136" s="1" t="str">
        <f>IFERROR(__xludf.DUMMYFUNCTION("""COMPUTED_VALUE"""),"VD022")</f>
        <v>VD022</v>
      </c>
      <c r="I136" s="1">
        <f>IFERROR(__xludf.DUMMYFUNCTION("""COMPUTED_VALUE"""),18.0)</f>
        <v>18</v>
      </c>
      <c r="J136" s="1">
        <f>IFERROR(__xludf.DUMMYFUNCTION("""COMPUTED_VALUE"""),592.02)</f>
        <v>592.02</v>
      </c>
      <c r="K136" s="1">
        <f>IFERROR(__xludf.DUMMYFUNCTION("""COMPUTED_VALUE"""),592.02)</f>
        <v>592.02</v>
      </c>
    </row>
    <row r="137">
      <c r="A137" s="1">
        <f>IFERROR(__xludf.DUMMYFUNCTION("""COMPUTED_VALUE"""),1000.0)</f>
        <v>1000</v>
      </c>
      <c r="B137" s="1">
        <f>IFERROR(__xludf.DUMMYFUNCTION("""COMPUTED_VALUE"""),183560.0)</f>
        <v>183560</v>
      </c>
      <c r="C137" s="1">
        <f>IFERROR(__xludf.DUMMYFUNCTION("""COMPUTED_VALUE"""),2026.0)</f>
        <v>2026</v>
      </c>
      <c r="D137" s="1">
        <f>IFERROR(__xludf.DUMMYFUNCTION("""COMPUTED_VALUE"""),46360.0)</f>
        <v>46360</v>
      </c>
      <c r="E137" s="1" t="str">
        <f>IFERROR(__xludf.DUMMYFUNCTION("""COMPUTED_VALUE"""),"VF")</f>
        <v>VF</v>
      </c>
      <c r="F137" s="1">
        <f>IFERROR(__xludf.DUMMYFUNCTION("""COMPUTED_VALUE"""),1.0)</f>
        <v>1</v>
      </c>
      <c r="G137" s="1" t="str">
        <f>IFERROR(__xludf.DUMMYFUNCTION("""COMPUTED_VALUE"""),"PR005")</f>
        <v>PR005</v>
      </c>
      <c r="H137" s="1" t="str">
        <f>IFERROR(__xludf.DUMMYFUNCTION("""COMPUTED_VALUE"""),"VD047")</f>
        <v>VD047</v>
      </c>
      <c r="I137" s="1">
        <f>IFERROR(__xludf.DUMMYFUNCTION("""COMPUTED_VALUE"""),15.0)</f>
        <v>15</v>
      </c>
      <c r="J137" s="1">
        <f>IFERROR(__xludf.DUMMYFUNCTION("""COMPUTED_VALUE"""),4561.25)</f>
        <v>4561.25</v>
      </c>
      <c r="K137" s="1">
        <f>IFERROR(__xludf.DUMMYFUNCTION("""COMPUTED_VALUE"""),4561.25)</f>
        <v>4561.25</v>
      </c>
    </row>
    <row r="138">
      <c r="A138" s="1">
        <f>IFERROR(__xludf.DUMMYFUNCTION("""COMPUTED_VALUE"""),1000.0)</f>
        <v>1000</v>
      </c>
      <c r="B138" s="1">
        <f>IFERROR(__xludf.DUMMYFUNCTION("""COMPUTED_VALUE"""),183561.0)</f>
        <v>183561</v>
      </c>
      <c r="C138" s="1">
        <f>IFERROR(__xludf.DUMMYFUNCTION("""COMPUTED_VALUE"""),2026.0)</f>
        <v>2026</v>
      </c>
      <c r="D138" s="1">
        <f>IFERROR(__xludf.DUMMYFUNCTION("""COMPUTED_VALUE"""),46360.0)</f>
        <v>46360</v>
      </c>
      <c r="E138" s="1" t="str">
        <f>IFERROR(__xludf.DUMMYFUNCTION("""COMPUTED_VALUE"""),"VF")</f>
        <v>VF</v>
      </c>
      <c r="F138" s="1">
        <f>IFERROR(__xludf.DUMMYFUNCTION("""COMPUTED_VALUE"""),1.0)</f>
        <v>1</v>
      </c>
      <c r="G138" s="1" t="str">
        <f>IFERROR(__xludf.DUMMYFUNCTION("""COMPUTED_VALUE"""),"PR015")</f>
        <v>PR015</v>
      </c>
      <c r="H138" s="1" t="str">
        <f>IFERROR(__xludf.DUMMYFUNCTION("""COMPUTED_VALUE"""),"VD022")</f>
        <v>VD022</v>
      </c>
      <c r="I138" s="1">
        <f>IFERROR(__xludf.DUMMYFUNCTION("""COMPUTED_VALUE"""),6.0)</f>
        <v>6</v>
      </c>
      <c r="J138" s="1">
        <f>IFERROR(__xludf.DUMMYFUNCTION("""COMPUTED_VALUE"""),306.0)</f>
        <v>306</v>
      </c>
      <c r="K138" s="1">
        <f>IFERROR(__xludf.DUMMYFUNCTION("""COMPUTED_VALUE"""),306.0)</f>
        <v>306</v>
      </c>
    </row>
    <row r="139">
      <c r="A139" s="1">
        <f>IFERROR(__xludf.DUMMYFUNCTION("""COMPUTED_VALUE"""),1000.0)</f>
        <v>1000</v>
      </c>
      <c r="B139" s="1">
        <f>IFERROR(__xludf.DUMMYFUNCTION("""COMPUTED_VALUE"""),183562.0)</f>
        <v>183562</v>
      </c>
      <c r="C139" s="1">
        <f>IFERROR(__xludf.DUMMYFUNCTION("""COMPUTED_VALUE"""),2026.0)</f>
        <v>2026</v>
      </c>
      <c r="D139" s="1">
        <f>IFERROR(__xludf.DUMMYFUNCTION("""COMPUTED_VALUE"""),46360.0)</f>
        <v>46360</v>
      </c>
      <c r="E139" s="1" t="str">
        <f>IFERROR(__xludf.DUMMYFUNCTION("""COMPUTED_VALUE"""),"VF")</f>
        <v>VF</v>
      </c>
      <c r="F139" s="1">
        <f>IFERROR(__xludf.DUMMYFUNCTION("""COMPUTED_VALUE"""),1.0)</f>
        <v>1</v>
      </c>
      <c r="G139" s="1" t="str">
        <f>IFERROR(__xludf.DUMMYFUNCTION("""COMPUTED_VALUE"""),"PR010")</f>
        <v>PR010</v>
      </c>
      <c r="H139" s="1" t="str">
        <f>IFERROR(__xludf.DUMMYFUNCTION("""COMPUTED_VALUE"""),"VD013")</f>
        <v>VD013</v>
      </c>
      <c r="I139" s="1">
        <f>IFERROR(__xludf.DUMMYFUNCTION("""COMPUTED_VALUE"""),8.0)</f>
        <v>8</v>
      </c>
      <c r="J139" s="1">
        <f>IFERROR(__xludf.DUMMYFUNCTION("""COMPUTED_VALUE"""),423.86)</f>
        <v>423.86</v>
      </c>
      <c r="K139" s="1">
        <f>IFERROR(__xludf.DUMMYFUNCTION("""COMPUTED_VALUE"""),423.86)</f>
        <v>423.86</v>
      </c>
    </row>
    <row r="140">
      <c r="A140" s="1">
        <f>IFERROR(__xludf.DUMMYFUNCTION("""COMPUTED_VALUE"""),1000.0)</f>
        <v>1000</v>
      </c>
      <c r="B140" s="1">
        <f>IFERROR(__xludf.DUMMYFUNCTION("""COMPUTED_VALUE"""),183563.0)</f>
        <v>183563</v>
      </c>
      <c r="C140" s="1">
        <f>IFERROR(__xludf.DUMMYFUNCTION("""COMPUTED_VALUE"""),2026.0)</f>
        <v>2026</v>
      </c>
      <c r="D140" s="1">
        <f>IFERROR(__xludf.DUMMYFUNCTION("""COMPUTED_VALUE"""),46360.0)</f>
        <v>46360</v>
      </c>
      <c r="E140" s="1" t="str">
        <f>IFERROR(__xludf.DUMMYFUNCTION("""COMPUTED_VALUE"""),"VF")</f>
        <v>VF</v>
      </c>
      <c r="F140" s="1">
        <f>IFERROR(__xludf.DUMMYFUNCTION("""COMPUTED_VALUE"""),1.0)</f>
        <v>1</v>
      </c>
      <c r="G140" s="1" t="str">
        <f>IFERROR(__xludf.DUMMYFUNCTION("""COMPUTED_VALUE"""),"PR057")</f>
        <v>PR057</v>
      </c>
      <c r="H140" s="1" t="str">
        <f>IFERROR(__xludf.DUMMYFUNCTION("""COMPUTED_VALUE"""),"VD023")</f>
        <v>VD023</v>
      </c>
      <c r="I140" s="1">
        <f>IFERROR(__xludf.DUMMYFUNCTION("""COMPUTED_VALUE"""),27.0)</f>
        <v>27</v>
      </c>
      <c r="J140" s="1">
        <f>IFERROR(__xludf.DUMMYFUNCTION("""COMPUTED_VALUE"""),2670.03)</f>
        <v>2670.03</v>
      </c>
      <c r="K140" s="1">
        <f>IFERROR(__xludf.DUMMYFUNCTION("""COMPUTED_VALUE"""),2670.03)</f>
        <v>2670.03</v>
      </c>
    </row>
    <row r="141">
      <c r="A141" s="1">
        <f>IFERROR(__xludf.DUMMYFUNCTION("""COMPUTED_VALUE"""),1000.0)</f>
        <v>1000</v>
      </c>
      <c r="B141" s="1">
        <f>IFERROR(__xludf.DUMMYFUNCTION("""COMPUTED_VALUE"""),183563.0)</f>
        <v>183563</v>
      </c>
      <c r="C141" s="1">
        <f>IFERROR(__xludf.DUMMYFUNCTION("""COMPUTED_VALUE"""),2026.0)</f>
        <v>2026</v>
      </c>
      <c r="D141" s="1">
        <f>IFERROR(__xludf.DUMMYFUNCTION("""COMPUTED_VALUE"""),46359.0)</f>
        <v>46359</v>
      </c>
      <c r="E141" s="1" t="str">
        <f>IFERROR(__xludf.DUMMYFUNCTION("""COMPUTED_VALUE"""),"VF")</f>
        <v>VF</v>
      </c>
      <c r="F141" s="1">
        <f>IFERROR(__xludf.DUMMYFUNCTION("""COMPUTED_VALUE"""),2.0)</f>
        <v>2</v>
      </c>
      <c r="G141" s="1" t="str">
        <f>IFERROR(__xludf.DUMMYFUNCTION("""COMPUTED_VALUE"""),"PR024")</f>
        <v>PR024</v>
      </c>
      <c r="H141" s="1" t="str">
        <f>IFERROR(__xludf.DUMMYFUNCTION("""COMPUTED_VALUE"""),"VD048")</f>
        <v>VD048</v>
      </c>
      <c r="I141" s="1">
        <f>IFERROR(__xludf.DUMMYFUNCTION("""COMPUTED_VALUE"""),16.0)</f>
        <v>16</v>
      </c>
      <c r="J141" s="1">
        <f>IFERROR(__xludf.DUMMYFUNCTION("""COMPUTED_VALUE"""),4823.74)</f>
        <v>4823.74</v>
      </c>
      <c r="K141" s="1">
        <f>IFERROR(__xludf.DUMMYFUNCTION("""COMPUTED_VALUE"""),4823.74)</f>
        <v>4823.74</v>
      </c>
    </row>
    <row r="142">
      <c r="A142" s="1">
        <f>IFERROR(__xludf.DUMMYFUNCTION("""COMPUTED_VALUE"""),1000.0)</f>
        <v>1000</v>
      </c>
      <c r="B142" s="1">
        <f>IFERROR(__xludf.DUMMYFUNCTION("""COMPUTED_VALUE"""),183564.0)</f>
        <v>183564</v>
      </c>
      <c r="C142" s="1">
        <f>IFERROR(__xludf.DUMMYFUNCTION("""COMPUTED_VALUE"""),2026.0)</f>
        <v>2026</v>
      </c>
      <c r="D142" s="1">
        <f>IFERROR(__xludf.DUMMYFUNCTION("""COMPUTED_VALUE"""),46359.0)</f>
        <v>46359</v>
      </c>
      <c r="E142" s="1" t="str">
        <f>IFERROR(__xludf.DUMMYFUNCTION("""COMPUTED_VALUE"""),"VF")</f>
        <v>VF</v>
      </c>
      <c r="F142" s="1">
        <f>IFERROR(__xludf.DUMMYFUNCTION("""COMPUTED_VALUE"""),1.0)</f>
        <v>1</v>
      </c>
      <c r="G142" s="1" t="str">
        <f>IFERROR(__xludf.DUMMYFUNCTION("""COMPUTED_VALUE"""),"PR050")</f>
        <v>PR050</v>
      </c>
      <c r="H142" s="1" t="str">
        <f>IFERROR(__xludf.DUMMYFUNCTION("""COMPUTED_VALUE"""),"VD019")</f>
        <v>VD019</v>
      </c>
      <c r="I142" s="1">
        <f>IFERROR(__xludf.DUMMYFUNCTION("""COMPUTED_VALUE"""),18.0)</f>
        <v>18</v>
      </c>
      <c r="J142" s="1">
        <f>IFERROR(__xludf.DUMMYFUNCTION("""COMPUTED_VALUE"""),681.03)</f>
        <v>681.03</v>
      </c>
      <c r="K142" s="1">
        <f>IFERROR(__xludf.DUMMYFUNCTION("""COMPUTED_VALUE"""),681.03)</f>
        <v>681.03</v>
      </c>
    </row>
    <row r="143">
      <c r="A143" s="1">
        <f>IFERROR(__xludf.DUMMYFUNCTION("""COMPUTED_VALUE"""),2000.0)</f>
        <v>2000</v>
      </c>
      <c r="B143" s="1">
        <f>IFERROR(__xludf.DUMMYFUNCTION("""COMPUTED_VALUE"""),183565.0)</f>
        <v>183565</v>
      </c>
      <c r="C143" s="1">
        <f>IFERROR(__xludf.DUMMYFUNCTION("""COMPUTED_VALUE"""),2026.0)</f>
        <v>2026</v>
      </c>
      <c r="D143" s="1">
        <f>IFERROR(__xludf.DUMMYFUNCTION("""COMPUTED_VALUE"""),46358.0)</f>
        <v>46358</v>
      </c>
      <c r="E143" s="1" t="str">
        <f>IFERROR(__xludf.DUMMYFUNCTION("""COMPUTED_VALUE"""),"VF")</f>
        <v>VF</v>
      </c>
      <c r="F143" s="1">
        <f>IFERROR(__xludf.DUMMYFUNCTION("""COMPUTED_VALUE"""),1.0)</f>
        <v>1</v>
      </c>
      <c r="G143" s="1" t="str">
        <f>IFERROR(__xludf.DUMMYFUNCTION("""COMPUTED_VALUE"""),"PR012")</f>
        <v>PR012</v>
      </c>
      <c r="H143" s="1" t="str">
        <f>IFERROR(__xludf.DUMMYFUNCTION("""COMPUTED_VALUE"""),"VD028")</f>
        <v>VD028</v>
      </c>
      <c r="I143" s="1">
        <f>IFERROR(__xludf.DUMMYFUNCTION("""COMPUTED_VALUE"""),12.0)</f>
        <v>12</v>
      </c>
      <c r="J143" s="1">
        <f>IFERROR(__xludf.DUMMYFUNCTION("""COMPUTED_VALUE"""),692.42)</f>
        <v>692.42</v>
      </c>
      <c r="K143" s="1">
        <f>IFERROR(__xludf.DUMMYFUNCTION("""COMPUTED_VALUE"""),692.42)</f>
        <v>692.42</v>
      </c>
    </row>
    <row r="144">
      <c r="A144" s="1">
        <f>IFERROR(__xludf.DUMMYFUNCTION("""COMPUTED_VALUE"""),1000.0)</f>
        <v>1000</v>
      </c>
      <c r="B144" s="1">
        <f>IFERROR(__xludf.DUMMYFUNCTION("""COMPUTED_VALUE"""),183566.0)</f>
        <v>183566</v>
      </c>
      <c r="C144" s="1">
        <f>IFERROR(__xludf.DUMMYFUNCTION("""COMPUTED_VALUE"""),2026.0)</f>
        <v>2026</v>
      </c>
      <c r="D144" s="1">
        <f>IFERROR(__xludf.DUMMYFUNCTION("""COMPUTED_VALUE"""),46358.0)</f>
        <v>46358</v>
      </c>
      <c r="E144" s="1" t="str">
        <f>IFERROR(__xludf.DUMMYFUNCTION("""COMPUTED_VALUE"""),"VF")</f>
        <v>VF</v>
      </c>
      <c r="F144" s="1">
        <f>IFERROR(__xludf.DUMMYFUNCTION("""COMPUTED_VALUE"""),1.0)</f>
        <v>1</v>
      </c>
      <c r="G144" s="1" t="str">
        <f>IFERROR(__xludf.DUMMYFUNCTION("""COMPUTED_VALUE"""),"PR010")</f>
        <v>PR010</v>
      </c>
      <c r="H144" s="1" t="str">
        <f>IFERROR(__xludf.DUMMYFUNCTION("""COMPUTED_VALUE"""),"VD011")</f>
        <v>VD011</v>
      </c>
      <c r="I144" s="1">
        <f>IFERROR(__xludf.DUMMYFUNCTION("""COMPUTED_VALUE"""),12.0)</f>
        <v>12</v>
      </c>
      <c r="J144" s="1">
        <f>IFERROR(__xludf.DUMMYFUNCTION("""COMPUTED_VALUE"""),646.56)</f>
        <v>646.56</v>
      </c>
      <c r="K144" s="1">
        <f>IFERROR(__xludf.DUMMYFUNCTION("""COMPUTED_VALUE"""),646.56)</f>
        <v>646.56</v>
      </c>
    </row>
    <row r="145">
      <c r="A145" s="1">
        <f>IFERROR(__xludf.DUMMYFUNCTION("""COMPUTED_VALUE"""),2000.0)</f>
        <v>2000</v>
      </c>
      <c r="B145" s="1">
        <f>IFERROR(__xludf.DUMMYFUNCTION("""COMPUTED_VALUE"""),183567.0)</f>
        <v>183567</v>
      </c>
      <c r="C145" s="1">
        <f>IFERROR(__xludf.DUMMYFUNCTION("""COMPUTED_VALUE"""),2026.0)</f>
        <v>2026</v>
      </c>
      <c r="D145" s="1">
        <f>IFERROR(__xludf.DUMMYFUNCTION("""COMPUTED_VALUE"""),46358.0)</f>
        <v>46358</v>
      </c>
      <c r="E145" s="1" t="str">
        <f>IFERROR(__xludf.DUMMYFUNCTION("""COMPUTED_VALUE"""),"VF")</f>
        <v>VF</v>
      </c>
      <c r="F145" s="1">
        <f>IFERROR(__xludf.DUMMYFUNCTION("""COMPUTED_VALUE"""),1.0)</f>
        <v>1</v>
      </c>
      <c r="G145" s="1" t="str">
        <f>IFERROR(__xludf.DUMMYFUNCTION("""COMPUTED_VALUE"""),"PR054")</f>
        <v>PR054</v>
      </c>
      <c r="H145" s="1" t="str">
        <f>IFERROR(__xludf.DUMMYFUNCTION("""COMPUTED_VALUE"""),"VD033")</f>
        <v>VD033</v>
      </c>
      <c r="I145" s="1">
        <f>IFERROR(__xludf.DUMMYFUNCTION("""COMPUTED_VALUE"""),20.0)</f>
        <v>20</v>
      </c>
      <c r="J145" s="1">
        <f>IFERROR(__xludf.DUMMYFUNCTION("""COMPUTED_VALUE"""),1147.7)</f>
        <v>1147.7</v>
      </c>
      <c r="K145" s="1">
        <f>IFERROR(__xludf.DUMMYFUNCTION("""COMPUTED_VALUE"""),1147.7)</f>
        <v>1147.7</v>
      </c>
    </row>
    <row r="146">
      <c r="A146" s="1">
        <f>IFERROR(__xludf.DUMMYFUNCTION("""COMPUTED_VALUE"""),1000.0)</f>
        <v>1000</v>
      </c>
      <c r="B146" s="1">
        <f>IFERROR(__xludf.DUMMYFUNCTION("""COMPUTED_VALUE"""),183568.0)</f>
        <v>183568</v>
      </c>
      <c r="C146" s="1">
        <f>IFERROR(__xludf.DUMMYFUNCTION("""COMPUTED_VALUE"""),2026.0)</f>
        <v>2026</v>
      </c>
      <c r="D146" s="1">
        <f>IFERROR(__xludf.DUMMYFUNCTION("""COMPUTED_VALUE"""),46358.0)</f>
        <v>46358</v>
      </c>
      <c r="E146" s="1" t="str">
        <f>IFERROR(__xludf.DUMMYFUNCTION("""COMPUTED_VALUE"""),"VF")</f>
        <v>VF</v>
      </c>
      <c r="F146" s="1">
        <f>IFERROR(__xludf.DUMMYFUNCTION("""COMPUTED_VALUE"""),1.0)</f>
        <v>1</v>
      </c>
      <c r="G146" s="1" t="str">
        <f>IFERROR(__xludf.DUMMYFUNCTION("""COMPUTED_VALUE"""),"PR007")</f>
        <v>PR007</v>
      </c>
      <c r="H146" s="1" t="str">
        <f>IFERROR(__xludf.DUMMYFUNCTION("""COMPUTED_VALUE"""),"VD031")</f>
        <v>VD031</v>
      </c>
      <c r="I146" s="1">
        <f>IFERROR(__xludf.DUMMYFUNCTION("""COMPUTED_VALUE"""),20.0)</f>
        <v>20</v>
      </c>
      <c r="J146" s="1">
        <f>IFERROR(__xludf.DUMMYFUNCTION("""COMPUTED_VALUE"""),1924.16)</f>
        <v>1924.16</v>
      </c>
      <c r="K146" s="1">
        <f>IFERROR(__xludf.DUMMYFUNCTION("""COMPUTED_VALUE"""),1924.16)</f>
        <v>1924.16</v>
      </c>
    </row>
    <row r="147">
      <c r="A147" s="1">
        <f>IFERROR(__xludf.DUMMYFUNCTION("""COMPUTED_VALUE"""),1000.0)</f>
        <v>1000</v>
      </c>
      <c r="B147" s="1">
        <f>IFERROR(__xludf.DUMMYFUNCTION("""COMPUTED_VALUE"""),183569.0)</f>
        <v>183569</v>
      </c>
      <c r="C147" s="1">
        <f>IFERROR(__xludf.DUMMYFUNCTION("""COMPUTED_VALUE"""),2026.0)</f>
        <v>2026</v>
      </c>
      <c r="D147" s="1">
        <f>IFERROR(__xludf.DUMMYFUNCTION("""COMPUTED_VALUE"""),46357.0)</f>
        <v>46357</v>
      </c>
      <c r="E147" s="1" t="str">
        <f>IFERROR(__xludf.DUMMYFUNCTION("""COMPUTED_VALUE"""),"VF")</f>
        <v>VF</v>
      </c>
      <c r="F147" s="1">
        <f>IFERROR(__xludf.DUMMYFUNCTION("""COMPUTED_VALUE"""),1.0)</f>
        <v>1</v>
      </c>
      <c r="G147" s="1" t="str">
        <f>IFERROR(__xludf.DUMMYFUNCTION("""COMPUTED_VALUE"""),"PR057")</f>
        <v>PR057</v>
      </c>
      <c r="H147" s="1" t="str">
        <f>IFERROR(__xludf.DUMMYFUNCTION("""COMPUTED_VALUE"""),"VD031")</f>
        <v>VD031</v>
      </c>
      <c r="I147" s="1">
        <f>IFERROR(__xludf.DUMMYFUNCTION("""COMPUTED_VALUE"""),30.0)</f>
        <v>30</v>
      </c>
      <c r="J147" s="1">
        <f>IFERROR(__xludf.DUMMYFUNCTION("""COMPUTED_VALUE"""),3020.64)</f>
        <v>3020.64</v>
      </c>
      <c r="K147" s="1">
        <f>IFERROR(__xludf.DUMMYFUNCTION("""COMPUTED_VALUE"""),3020.64)</f>
        <v>3020.64</v>
      </c>
    </row>
    <row r="148">
      <c r="A148" s="1">
        <f>IFERROR(__xludf.DUMMYFUNCTION("""COMPUTED_VALUE"""),2000.0)</f>
        <v>2000</v>
      </c>
      <c r="B148" s="1">
        <f>IFERROR(__xludf.DUMMYFUNCTION("""COMPUTED_VALUE"""),183570.0)</f>
        <v>183570</v>
      </c>
      <c r="C148" s="1">
        <f>IFERROR(__xludf.DUMMYFUNCTION("""COMPUTED_VALUE"""),2026.0)</f>
        <v>2026</v>
      </c>
      <c r="D148" s="1">
        <f>IFERROR(__xludf.DUMMYFUNCTION("""COMPUTED_VALUE"""),46357.0)</f>
        <v>46357</v>
      </c>
      <c r="E148" s="1" t="str">
        <f>IFERROR(__xludf.DUMMYFUNCTION("""COMPUTED_VALUE"""),"VF")</f>
        <v>VF</v>
      </c>
      <c r="F148" s="1">
        <f>IFERROR(__xludf.DUMMYFUNCTION("""COMPUTED_VALUE"""),1.0)</f>
        <v>1</v>
      </c>
      <c r="G148" s="1" t="str">
        <f>IFERROR(__xludf.DUMMYFUNCTION("""COMPUTED_VALUE"""),"PR020")</f>
        <v>PR020</v>
      </c>
      <c r="H148" s="1" t="str">
        <f>IFERROR(__xludf.DUMMYFUNCTION("""COMPUTED_VALUE"""),"VD040")</f>
        <v>VD040</v>
      </c>
      <c r="I148" s="1">
        <f>IFERROR(__xludf.DUMMYFUNCTION("""COMPUTED_VALUE"""),18.0)</f>
        <v>18</v>
      </c>
      <c r="J148" s="1">
        <f>IFERROR(__xludf.DUMMYFUNCTION("""COMPUTED_VALUE"""),5938.02)</f>
        <v>5938.02</v>
      </c>
      <c r="K148" s="1">
        <f>IFERROR(__xludf.DUMMYFUNCTION("""COMPUTED_VALUE"""),5938.02)</f>
        <v>5938.02</v>
      </c>
    </row>
    <row r="149">
      <c r="A149" s="1">
        <f>IFERROR(__xludf.DUMMYFUNCTION("""COMPUTED_VALUE"""),1000.0)</f>
        <v>1000</v>
      </c>
      <c r="B149" s="1">
        <f>IFERROR(__xludf.DUMMYFUNCTION("""COMPUTED_VALUE"""),183571.0)</f>
        <v>183571</v>
      </c>
      <c r="C149" s="1">
        <f>IFERROR(__xludf.DUMMYFUNCTION("""COMPUTED_VALUE"""),2026.0)</f>
        <v>2026</v>
      </c>
      <c r="D149" s="1">
        <f>IFERROR(__xludf.DUMMYFUNCTION("""COMPUTED_VALUE"""),46357.0)</f>
        <v>46357</v>
      </c>
      <c r="E149" s="1" t="str">
        <f>IFERROR(__xludf.DUMMYFUNCTION("""COMPUTED_VALUE"""),"VF")</f>
        <v>VF</v>
      </c>
      <c r="F149" s="1">
        <f>IFERROR(__xludf.DUMMYFUNCTION("""COMPUTED_VALUE"""),1.0)</f>
        <v>1</v>
      </c>
      <c r="G149" s="1" t="str">
        <f>IFERROR(__xludf.DUMMYFUNCTION("""COMPUTED_VALUE"""),"PR053")</f>
        <v>PR053</v>
      </c>
      <c r="H149" s="1" t="str">
        <f>IFERROR(__xludf.DUMMYFUNCTION("""COMPUTED_VALUE"""),"VD019")</f>
        <v>VD019</v>
      </c>
      <c r="I149" s="1">
        <f>IFERROR(__xludf.DUMMYFUNCTION("""COMPUTED_VALUE"""),12.0)</f>
        <v>12</v>
      </c>
      <c r="J149" s="1">
        <f>IFERROR(__xludf.DUMMYFUNCTION("""COMPUTED_VALUE"""),670.66)</f>
        <v>670.66</v>
      </c>
      <c r="K149" s="1">
        <f>IFERROR(__xludf.DUMMYFUNCTION("""COMPUTED_VALUE"""),670.66)</f>
        <v>670.66</v>
      </c>
    </row>
    <row r="150">
      <c r="A150" s="1">
        <f>IFERROR(__xludf.DUMMYFUNCTION("""COMPUTED_VALUE"""),2000.0)</f>
        <v>2000</v>
      </c>
      <c r="B150" s="1">
        <f>IFERROR(__xludf.DUMMYFUNCTION("""COMPUTED_VALUE"""),183572.0)</f>
        <v>183572</v>
      </c>
      <c r="C150" s="1">
        <f>IFERROR(__xludf.DUMMYFUNCTION("""COMPUTED_VALUE"""),2026.0)</f>
        <v>2026</v>
      </c>
      <c r="D150" s="1">
        <f>IFERROR(__xludf.DUMMYFUNCTION("""COMPUTED_VALUE"""),46356.0)</f>
        <v>46356</v>
      </c>
      <c r="E150" s="1" t="str">
        <f>IFERROR(__xludf.DUMMYFUNCTION("""COMPUTED_VALUE"""),"VF")</f>
        <v>VF</v>
      </c>
      <c r="F150" s="1">
        <f>IFERROR(__xludf.DUMMYFUNCTION("""COMPUTED_VALUE"""),1.0)</f>
        <v>1</v>
      </c>
      <c r="G150" s="1" t="str">
        <f>IFERROR(__xludf.DUMMYFUNCTION("""COMPUTED_VALUE"""),"PR049")</f>
        <v>PR049</v>
      </c>
      <c r="H150" s="1" t="str">
        <f>IFERROR(__xludf.DUMMYFUNCTION("""COMPUTED_VALUE"""),"VD016")</f>
        <v>VD016</v>
      </c>
      <c r="I150" s="1">
        <f>IFERROR(__xludf.DUMMYFUNCTION("""COMPUTED_VALUE"""),21.0)</f>
        <v>21</v>
      </c>
      <c r="J150" s="1">
        <f>IFERROR(__xludf.DUMMYFUNCTION("""COMPUTED_VALUE"""),766.9)</f>
        <v>766.9</v>
      </c>
      <c r="K150" s="1">
        <f>IFERROR(__xludf.DUMMYFUNCTION("""COMPUTED_VALUE"""),766.9)</f>
        <v>766.9</v>
      </c>
    </row>
    <row r="151">
      <c r="A151" s="1">
        <f>IFERROR(__xludf.DUMMYFUNCTION("""COMPUTED_VALUE"""),1000.0)</f>
        <v>1000</v>
      </c>
      <c r="B151" s="1">
        <f>IFERROR(__xludf.DUMMYFUNCTION("""COMPUTED_VALUE"""),183572.0)</f>
        <v>183572</v>
      </c>
      <c r="C151" s="1">
        <f>IFERROR(__xludf.DUMMYFUNCTION("""COMPUTED_VALUE"""),2026.0)</f>
        <v>2026</v>
      </c>
      <c r="D151" s="1">
        <f>IFERROR(__xludf.DUMMYFUNCTION("""COMPUTED_VALUE"""),46356.0)</f>
        <v>46356</v>
      </c>
      <c r="E151" s="1" t="str">
        <f>IFERROR(__xludf.DUMMYFUNCTION("""COMPUTED_VALUE"""),"VF")</f>
        <v>VF</v>
      </c>
      <c r="F151" s="1">
        <f>IFERROR(__xludf.DUMMYFUNCTION("""COMPUTED_VALUE"""),2.0)</f>
        <v>2</v>
      </c>
      <c r="G151" s="1" t="str">
        <f>IFERROR(__xludf.DUMMYFUNCTION("""COMPUTED_VALUE"""),"PR026")</f>
        <v>PR026</v>
      </c>
      <c r="H151" s="1" t="str">
        <f>IFERROR(__xludf.DUMMYFUNCTION("""COMPUTED_VALUE"""),"VD018")</f>
        <v>VD018</v>
      </c>
      <c r="I151" s="1">
        <f>IFERROR(__xludf.DUMMYFUNCTION("""COMPUTED_VALUE"""),9.0)</f>
        <v>9</v>
      </c>
      <c r="J151" s="1">
        <f>IFERROR(__xludf.DUMMYFUNCTION("""COMPUTED_VALUE"""),3589.97)</f>
        <v>3589.97</v>
      </c>
      <c r="K151" s="1">
        <f>IFERROR(__xludf.DUMMYFUNCTION("""COMPUTED_VALUE"""),3589.97)</f>
        <v>3589.97</v>
      </c>
    </row>
    <row r="152">
      <c r="A152" s="1">
        <f>IFERROR(__xludf.DUMMYFUNCTION("""COMPUTED_VALUE"""),1000.0)</f>
        <v>1000</v>
      </c>
      <c r="B152" s="1">
        <f>IFERROR(__xludf.DUMMYFUNCTION("""COMPUTED_VALUE"""),183573.0)</f>
        <v>183573</v>
      </c>
      <c r="C152" s="1">
        <f>IFERROR(__xludf.DUMMYFUNCTION("""COMPUTED_VALUE"""),2026.0)</f>
        <v>2026</v>
      </c>
      <c r="D152" s="1">
        <f>IFERROR(__xludf.DUMMYFUNCTION("""COMPUTED_VALUE"""),46356.0)</f>
        <v>46356</v>
      </c>
      <c r="E152" s="1" t="str">
        <f>IFERROR(__xludf.DUMMYFUNCTION("""COMPUTED_VALUE"""),"VF")</f>
        <v>VF</v>
      </c>
      <c r="F152" s="1">
        <f>IFERROR(__xludf.DUMMYFUNCTION("""COMPUTED_VALUE"""),1.0)</f>
        <v>1</v>
      </c>
      <c r="G152" s="1" t="str">
        <f>IFERROR(__xludf.DUMMYFUNCTION("""COMPUTED_VALUE"""),"PR055")</f>
        <v>PR055</v>
      </c>
      <c r="H152" s="1" t="str">
        <f>IFERROR(__xludf.DUMMYFUNCTION("""COMPUTED_VALUE"""),"VD045")</f>
        <v>VD045</v>
      </c>
      <c r="I152" s="1">
        <f>IFERROR(__xludf.DUMMYFUNCTION("""COMPUTED_VALUE"""),27.0)</f>
        <v>27</v>
      </c>
      <c r="J152" s="1">
        <f>IFERROR(__xludf.DUMMYFUNCTION("""COMPUTED_VALUE"""),2815.67)</f>
        <v>2815.67</v>
      </c>
      <c r="K152" s="1">
        <f>IFERROR(__xludf.DUMMYFUNCTION("""COMPUTED_VALUE"""),2815.67)</f>
        <v>2815.67</v>
      </c>
    </row>
    <row r="153">
      <c r="A153" s="1">
        <f>IFERROR(__xludf.DUMMYFUNCTION("""COMPUTED_VALUE"""),1000.0)</f>
        <v>1000</v>
      </c>
      <c r="B153" s="1">
        <f>IFERROR(__xludf.DUMMYFUNCTION("""COMPUTED_VALUE"""),183573.0)</f>
        <v>183573</v>
      </c>
      <c r="C153" s="1">
        <f>IFERROR(__xludf.DUMMYFUNCTION("""COMPUTED_VALUE"""),2026.0)</f>
        <v>2026</v>
      </c>
      <c r="D153" s="1">
        <f>IFERROR(__xludf.DUMMYFUNCTION("""COMPUTED_VALUE"""),46356.0)</f>
        <v>46356</v>
      </c>
      <c r="E153" s="1" t="str">
        <f>IFERROR(__xludf.DUMMYFUNCTION("""COMPUTED_VALUE"""),"VF")</f>
        <v>VF</v>
      </c>
      <c r="F153" s="1">
        <f>IFERROR(__xludf.DUMMYFUNCTION("""COMPUTED_VALUE"""),2.0)</f>
        <v>2</v>
      </c>
      <c r="G153" s="1" t="str">
        <f>IFERROR(__xludf.DUMMYFUNCTION("""COMPUTED_VALUE"""),"PR016")</f>
        <v>PR016</v>
      </c>
      <c r="H153" s="1" t="str">
        <f>IFERROR(__xludf.DUMMYFUNCTION("""COMPUTED_VALUE"""),"VD041")</f>
        <v>VD041</v>
      </c>
      <c r="I153" s="1">
        <f>IFERROR(__xludf.DUMMYFUNCTION("""COMPUTED_VALUE"""),30.0)</f>
        <v>30</v>
      </c>
      <c r="J153" s="1">
        <f>IFERROR(__xludf.DUMMYFUNCTION("""COMPUTED_VALUE"""),901.32)</f>
        <v>901.32</v>
      </c>
      <c r="K153" s="1">
        <f>IFERROR(__xludf.DUMMYFUNCTION("""COMPUTED_VALUE"""),901.32)</f>
        <v>901.32</v>
      </c>
    </row>
    <row r="154">
      <c r="A154" s="1">
        <f>IFERROR(__xludf.DUMMYFUNCTION("""COMPUTED_VALUE"""),1000.0)</f>
        <v>1000</v>
      </c>
      <c r="B154" s="1">
        <f>IFERROR(__xludf.DUMMYFUNCTION("""COMPUTED_VALUE"""),183574.0)</f>
        <v>183574</v>
      </c>
      <c r="C154" s="1">
        <f>IFERROR(__xludf.DUMMYFUNCTION("""COMPUTED_VALUE"""),2026.0)</f>
        <v>2026</v>
      </c>
      <c r="D154" s="1">
        <f>IFERROR(__xludf.DUMMYFUNCTION("""COMPUTED_VALUE"""),46356.0)</f>
        <v>46356</v>
      </c>
      <c r="E154" s="1" t="str">
        <f>IFERROR(__xludf.DUMMYFUNCTION("""COMPUTED_VALUE"""),"VF")</f>
        <v>VF</v>
      </c>
      <c r="F154" s="1">
        <f>IFERROR(__xludf.DUMMYFUNCTION("""COMPUTED_VALUE"""),1.0)</f>
        <v>1</v>
      </c>
      <c r="G154" s="1" t="str">
        <f>IFERROR(__xludf.DUMMYFUNCTION("""COMPUTED_VALUE"""),"PR002")</f>
        <v>PR002</v>
      </c>
      <c r="H154" s="1" t="str">
        <f>IFERROR(__xludf.DUMMYFUNCTION("""COMPUTED_VALUE"""),"VD018")</f>
        <v>VD018</v>
      </c>
      <c r="I154" s="1">
        <f>IFERROR(__xludf.DUMMYFUNCTION("""COMPUTED_VALUE"""),18.0)</f>
        <v>18</v>
      </c>
      <c r="J154" s="1">
        <f>IFERROR(__xludf.DUMMYFUNCTION("""COMPUTED_VALUE"""),1421.77)</f>
        <v>1421.77</v>
      </c>
      <c r="K154" s="1">
        <f>IFERROR(__xludf.DUMMYFUNCTION("""COMPUTED_VALUE"""),1421.77)</f>
        <v>1421.77</v>
      </c>
    </row>
    <row r="155">
      <c r="A155" s="1">
        <f>IFERROR(__xludf.DUMMYFUNCTION("""COMPUTED_VALUE"""),1000.0)</f>
        <v>1000</v>
      </c>
      <c r="B155" s="1">
        <f>IFERROR(__xludf.DUMMYFUNCTION("""COMPUTED_VALUE"""),183575.0)</f>
        <v>183575</v>
      </c>
      <c r="C155" s="1">
        <f>IFERROR(__xludf.DUMMYFUNCTION("""COMPUTED_VALUE"""),2026.0)</f>
        <v>2026</v>
      </c>
      <c r="D155" s="1">
        <f>IFERROR(__xludf.DUMMYFUNCTION("""COMPUTED_VALUE"""),46356.0)</f>
        <v>46356</v>
      </c>
      <c r="E155" s="1" t="str">
        <f>IFERROR(__xludf.DUMMYFUNCTION("""COMPUTED_VALUE"""),"VF")</f>
        <v>VF</v>
      </c>
      <c r="F155" s="1">
        <f>IFERROR(__xludf.DUMMYFUNCTION("""COMPUTED_VALUE"""),1.0)</f>
        <v>1</v>
      </c>
      <c r="G155" s="1" t="str">
        <f>IFERROR(__xludf.DUMMYFUNCTION("""COMPUTED_VALUE"""),"PR021")</f>
        <v>PR021</v>
      </c>
      <c r="H155" s="1" t="str">
        <f>IFERROR(__xludf.DUMMYFUNCTION("""COMPUTED_VALUE"""),"VD013")</f>
        <v>VD013</v>
      </c>
      <c r="I155" s="1">
        <f>IFERROR(__xludf.DUMMYFUNCTION("""COMPUTED_VALUE"""),20.0)</f>
        <v>20</v>
      </c>
      <c r="J155" s="1">
        <f>IFERROR(__xludf.DUMMYFUNCTION("""COMPUTED_VALUE"""),7209.02)</f>
        <v>7209.02</v>
      </c>
      <c r="K155" s="1">
        <f>IFERROR(__xludf.DUMMYFUNCTION("""COMPUTED_VALUE"""),7209.02)</f>
        <v>7209.02</v>
      </c>
    </row>
    <row r="156">
      <c r="A156" s="1">
        <f>IFERROR(__xludf.DUMMYFUNCTION("""COMPUTED_VALUE"""),1000.0)</f>
        <v>1000</v>
      </c>
      <c r="B156" s="1">
        <f>IFERROR(__xludf.DUMMYFUNCTION("""COMPUTED_VALUE"""),183576.0)</f>
        <v>183576</v>
      </c>
      <c r="C156" s="1">
        <f>IFERROR(__xludf.DUMMYFUNCTION("""COMPUTED_VALUE"""),2026.0)</f>
        <v>2026</v>
      </c>
      <c r="D156" s="1">
        <f>IFERROR(__xludf.DUMMYFUNCTION("""COMPUTED_VALUE"""),46355.0)</f>
        <v>46355</v>
      </c>
      <c r="E156" s="1" t="str">
        <f>IFERROR(__xludf.DUMMYFUNCTION("""COMPUTED_VALUE"""),"VF")</f>
        <v>VF</v>
      </c>
      <c r="F156" s="1">
        <f>IFERROR(__xludf.DUMMYFUNCTION("""COMPUTED_VALUE"""),1.0)</f>
        <v>1</v>
      </c>
      <c r="G156" s="1" t="str">
        <f>IFERROR(__xludf.DUMMYFUNCTION("""COMPUTED_VALUE"""),"PR042")</f>
        <v>PR042</v>
      </c>
      <c r="H156" s="1" t="str">
        <f>IFERROR(__xludf.DUMMYFUNCTION("""COMPUTED_VALUE"""),"VD046")</f>
        <v>VD046</v>
      </c>
      <c r="I156" s="1">
        <f>IFERROR(__xludf.DUMMYFUNCTION("""COMPUTED_VALUE"""),30.0)</f>
        <v>30</v>
      </c>
      <c r="J156" s="1">
        <f>IFERROR(__xludf.DUMMYFUNCTION("""COMPUTED_VALUE"""),1811.7)</f>
        <v>1811.7</v>
      </c>
      <c r="K156" s="1">
        <f>IFERROR(__xludf.DUMMYFUNCTION("""COMPUTED_VALUE"""),1811.7)</f>
        <v>1811.7</v>
      </c>
    </row>
    <row r="157">
      <c r="A157" s="1">
        <f>IFERROR(__xludf.DUMMYFUNCTION("""COMPUTED_VALUE"""),1000.0)</f>
        <v>1000</v>
      </c>
      <c r="B157" s="1">
        <f>IFERROR(__xludf.DUMMYFUNCTION("""COMPUTED_VALUE"""),183576.0)</f>
        <v>183576</v>
      </c>
      <c r="C157" s="1">
        <f>IFERROR(__xludf.DUMMYFUNCTION("""COMPUTED_VALUE"""),2026.0)</f>
        <v>2026</v>
      </c>
      <c r="D157" s="1">
        <f>IFERROR(__xludf.DUMMYFUNCTION("""COMPUTED_VALUE"""),46355.0)</f>
        <v>46355</v>
      </c>
      <c r="E157" s="1" t="str">
        <f>IFERROR(__xludf.DUMMYFUNCTION("""COMPUTED_VALUE"""),"VF")</f>
        <v>VF</v>
      </c>
      <c r="F157" s="1">
        <f>IFERROR(__xludf.DUMMYFUNCTION("""COMPUTED_VALUE"""),2.0)</f>
        <v>2</v>
      </c>
      <c r="G157" s="1" t="str">
        <f>IFERROR(__xludf.DUMMYFUNCTION("""COMPUTED_VALUE"""),"PR015")</f>
        <v>PR015</v>
      </c>
      <c r="H157" s="1" t="str">
        <f>IFERROR(__xludf.DUMMYFUNCTION("""COMPUTED_VALUE"""),"VD026")</f>
        <v>VD026</v>
      </c>
      <c r="I157" s="1">
        <f>IFERROR(__xludf.DUMMYFUNCTION("""COMPUTED_VALUE"""),24.0)</f>
        <v>24</v>
      </c>
      <c r="J157" s="1">
        <f>IFERROR(__xludf.DUMMYFUNCTION("""COMPUTED_VALUE"""),1183.2)</f>
        <v>1183.2</v>
      </c>
      <c r="K157" s="1">
        <f>IFERROR(__xludf.DUMMYFUNCTION("""COMPUTED_VALUE"""),1183.2)</f>
        <v>1183.2</v>
      </c>
    </row>
    <row r="158">
      <c r="A158" s="1">
        <f>IFERROR(__xludf.DUMMYFUNCTION("""COMPUTED_VALUE"""),1000.0)</f>
        <v>1000</v>
      </c>
      <c r="B158" s="1">
        <f>IFERROR(__xludf.DUMMYFUNCTION("""COMPUTED_VALUE"""),183577.0)</f>
        <v>183577</v>
      </c>
      <c r="C158" s="1">
        <f>IFERROR(__xludf.DUMMYFUNCTION("""COMPUTED_VALUE"""),2026.0)</f>
        <v>2026</v>
      </c>
      <c r="D158" s="1">
        <f>IFERROR(__xludf.DUMMYFUNCTION("""COMPUTED_VALUE"""),46355.0)</f>
        <v>46355</v>
      </c>
      <c r="E158" s="1" t="str">
        <f>IFERROR(__xludf.DUMMYFUNCTION("""COMPUTED_VALUE"""),"VF")</f>
        <v>VF</v>
      </c>
      <c r="F158" s="1">
        <f>IFERROR(__xludf.DUMMYFUNCTION("""COMPUTED_VALUE"""),1.0)</f>
        <v>1</v>
      </c>
      <c r="G158" s="1" t="str">
        <f>IFERROR(__xludf.DUMMYFUNCTION("""COMPUTED_VALUE"""),"PR015")</f>
        <v>PR015</v>
      </c>
      <c r="H158" s="1" t="str">
        <f>IFERROR(__xludf.DUMMYFUNCTION("""COMPUTED_VALUE"""),"VD044")</f>
        <v>VD044</v>
      </c>
      <c r="I158" s="1">
        <f>IFERROR(__xludf.DUMMYFUNCTION("""COMPUTED_VALUE"""),18.0)</f>
        <v>18</v>
      </c>
      <c r="J158" s="1">
        <f>IFERROR(__xludf.DUMMYFUNCTION("""COMPUTED_VALUE"""),918.0)</f>
        <v>918</v>
      </c>
      <c r="K158" s="1">
        <f>IFERROR(__xludf.DUMMYFUNCTION("""COMPUTED_VALUE"""),918.0)</f>
        <v>918</v>
      </c>
    </row>
    <row r="159">
      <c r="A159" s="1">
        <f>IFERROR(__xludf.DUMMYFUNCTION("""COMPUTED_VALUE"""),1000.0)</f>
        <v>1000</v>
      </c>
      <c r="B159" s="1">
        <f>IFERROR(__xludf.DUMMYFUNCTION("""COMPUTED_VALUE"""),183578.0)</f>
        <v>183578</v>
      </c>
      <c r="C159" s="1">
        <f>IFERROR(__xludf.DUMMYFUNCTION("""COMPUTED_VALUE"""),2026.0)</f>
        <v>2026</v>
      </c>
      <c r="D159" s="1">
        <f>IFERROR(__xludf.DUMMYFUNCTION("""COMPUTED_VALUE"""),46354.0)</f>
        <v>46354</v>
      </c>
      <c r="E159" s="1" t="str">
        <f>IFERROR(__xludf.DUMMYFUNCTION("""COMPUTED_VALUE"""),"VF")</f>
        <v>VF</v>
      </c>
      <c r="F159" s="1">
        <f>IFERROR(__xludf.DUMMYFUNCTION("""COMPUTED_VALUE"""),1.0)</f>
        <v>1</v>
      </c>
      <c r="G159" s="1" t="str">
        <f>IFERROR(__xludf.DUMMYFUNCTION("""COMPUTED_VALUE"""),"PR036")</f>
        <v>PR036</v>
      </c>
      <c r="H159" s="1" t="str">
        <f>IFERROR(__xludf.DUMMYFUNCTION("""COMPUTED_VALUE"""),"VD035")</f>
        <v>VD035</v>
      </c>
      <c r="I159" s="1">
        <f>IFERROR(__xludf.DUMMYFUNCTION("""COMPUTED_VALUE"""),20.0)</f>
        <v>20</v>
      </c>
      <c r="J159" s="1">
        <f>IFERROR(__xludf.DUMMYFUNCTION("""COMPUTED_VALUE"""),2187.9)</f>
        <v>2187.9</v>
      </c>
      <c r="K159" s="1">
        <f>IFERROR(__xludf.DUMMYFUNCTION("""COMPUTED_VALUE"""),2187.9)</f>
        <v>2187.9</v>
      </c>
    </row>
    <row r="160">
      <c r="A160" s="1">
        <f>IFERROR(__xludf.DUMMYFUNCTION("""COMPUTED_VALUE"""),1000.0)</f>
        <v>1000</v>
      </c>
      <c r="B160" s="1">
        <f>IFERROR(__xludf.DUMMYFUNCTION("""COMPUTED_VALUE"""),183579.0)</f>
        <v>183579</v>
      </c>
      <c r="C160" s="1">
        <f>IFERROR(__xludf.DUMMYFUNCTION("""COMPUTED_VALUE"""),2026.0)</f>
        <v>2026</v>
      </c>
      <c r="D160" s="1">
        <f>IFERROR(__xludf.DUMMYFUNCTION("""COMPUTED_VALUE"""),46354.0)</f>
        <v>46354</v>
      </c>
      <c r="E160" s="1" t="str">
        <f>IFERROR(__xludf.DUMMYFUNCTION("""COMPUTED_VALUE"""),"VF")</f>
        <v>VF</v>
      </c>
      <c r="F160" s="1">
        <f>IFERROR(__xludf.DUMMYFUNCTION("""COMPUTED_VALUE"""),1.0)</f>
        <v>1</v>
      </c>
      <c r="G160" s="1" t="str">
        <f>IFERROR(__xludf.DUMMYFUNCTION("""COMPUTED_VALUE"""),"PR029")</f>
        <v>PR029</v>
      </c>
      <c r="H160" s="1" t="str">
        <f>IFERROR(__xludf.DUMMYFUNCTION("""COMPUTED_VALUE"""),"VD040")</f>
        <v>VD040</v>
      </c>
      <c r="I160" s="1">
        <f>IFERROR(__xludf.DUMMYFUNCTION("""COMPUTED_VALUE"""),12.0)</f>
        <v>12</v>
      </c>
      <c r="J160" s="1">
        <f>IFERROR(__xludf.DUMMYFUNCTION("""COMPUTED_VALUE"""),3610.8)</f>
        <v>3610.8</v>
      </c>
      <c r="K160" s="1">
        <f>IFERROR(__xludf.DUMMYFUNCTION("""COMPUTED_VALUE"""),3610.8)</f>
        <v>3610.8</v>
      </c>
    </row>
    <row r="161">
      <c r="A161" s="1">
        <f>IFERROR(__xludf.DUMMYFUNCTION("""COMPUTED_VALUE"""),1000.0)</f>
        <v>1000</v>
      </c>
      <c r="B161" s="1">
        <f>IFERROR(__xludf.DUMMYFUNCTION("""COMPUTED_VALUE"""),183579.0)</f>
        <v>183579</v>
      </c>
      <c r="C161" s="1">
        <f>IFERROR(__xludf.DUMMYFUNCTION("""COMPUTED_VALUE"""),2026.0)</f>
        <v>2026</v>
      </c>
      <c r="D161" s="1">
        <f>IFERROR(__xludf.DUMMYFUNCTION("""COMPUTED_VALUE"""),46354.0)</f>
        <v>46354</v>
      </c>
      <c r="E161" s="1" t="str">
        <f>IFERROR(__xludf.DUMMYFUNCTION("""COMPUTED_VALUE"""),"VF")</f>
        <v>VF</v>
      </c>
      <c r="F161" s="1">
        <f>IFERROR(__xludf.DUMMYFUNCTION("""COMPUTED_VALUE"""),2.0)</f>
        <v>2</v>
      </c>
      <c r="G161" s="1" t="str">
        <f>IFERROR(__xludf.DUMMYFUNCTION("""COMPUTED_VALUE"""),"PR050")</f>
        <v>PR050</v>
      </c>
      <c r="H161" s="1" t="str">
        <f>IFERROR(__xludf.DUMMYFUNCTION("""COMPUTED_VALUE"""),"VD011")</f>
        <v>VD011</v>
      </c>
      <c r="I161" s="1">
        <f>IFERROR(__xludf.DUMMYFUNCTION("""COMPUTED_VALUE"""),18.0)</f>
        <v>18</v>
      </c>
      <c r="J161" s="1">
        <f>IFERROR(__xludf.DUMMYFUNCTION("""COMPUTED_VALUE"""),651.42)</f>
        <v>651.42</v>
      </c>
      <c r="K161" s="1">
        <f>IFERROR(__xludf.DUMMYFUNCTION("""COMPUTED_VALUE"""),651.42)</f>
        <v>651.42</v>
      </c>
    </row>
    <row r="162">
      <c r="A162" s="1">
        <f>IFERROR(__xludf.DUMMYFUNCTION("""COMPUTED_VALUE"""),2000.0)</f>
        <v>2000</v>
      </c>
      <c r="B162" s="1">
        <f>IFERROR(__xludf.DUMMYFUNCTION("""COMPUTED_VALUE"""),183580.0)</f>
        <v>183580</v>
      </c>
      <c r="C162" s="1">
        <f>IFERROR(__xludf.DUMMYFUNCTION("""COMPUTED_VALUE"""),2026.0)</f>
        <v>2026</v>
      </c>
      <c r="D162" s="1">
        <f>IFERROR(__xludf.DUMMYFUNCTION("""COMPUTED_VALUE"""),46354.0)</f>
        <v>46354</v>
      </c>
      <c r="E162" s="1" t="str">
        <f>IFERROR(__xludf.DUMMYFUNCTION("""COMPUTED_VALUE"""),"VF")</f>
        <v>VF</v>
      </c>
      <c r="F162" s="1">
        <f>IFERROR(__xludf.DUMMYFUNCTION("""COMPUTED_VALUE"""),1.0)</f>
        <v>1</v>
      </c>
      <c r="G162" s="1" t="str">
        <f>IFERROR(__xludf.DUMMYFUNCTION("""COMPUTED_VALUE"""),"PR034")</f>
        <v>PR034</v>
      </c>
      <c r="H162" s="1" t="str">
        <f>IFERROR(__xludf.DUMMYFUNCTION("""COMPUTED_VALUE"""),"VD018")</f>
        <v>VD018</v>
      </c>
      <c r="I162" s="1">
        <f>IFERROR(__xludf.DUMMYFUNCTION("""COMPUTED_VALUE"""),9.0)</f>
        <v>9</v>
      </c>
      <c r="J162" s="1">
        <f>IFERROR(__xludf.DUMMYFUNCTION("""COMPUTED_VALUE"""),954.74)</f>
        <v>954.74</v>
      </c>
      <c r="K162" s="1">
        <f>IFERROR(__xludf.DUMMYFUNCTION("""COMPUTED_VALUE"""),954.74)</f>
        <v>954.74</v>
      </c>
    </row>
    <row r="163">
      <c r="A163" s="1">
        <f>IFERROR(__xludf.DUMMYFUNCTION("""COMPUTED_VALUE"""),2000.0)</f>
        <v>2000</v>
      </c>
      <c r="B163" s="1">
        <f>IFERROR(__xludf.DUMMYFUNCTION("""COMPUTED_VALUE"""),183580.0)</f>
        <v>183580</v>
      </c>
      <c r="C163" s="1">
        <f>IFERROR(__xludf.DUMMYFUNCTION("""COMPUTED_VALUE"""),2026.0)</f>
        <v>2026</v>
      </c>
      <c r="D163" s="1">
        <f>IFERROR(__xludf.DUMMYFUNCTION("""COMPUTED_VALUE"""),46354.0)</f>
        <v>46354</v>
      </c>
      <c r="E163" s="1" t="str">
        <f>IFERROR(__xludf.DUMMYFUNCTION("""COMPUTED_VALUE"""),"VF")</f>
        <v>VF</v>
      </c>
      <c r="F163" s="1">
        <f>IFERROR(__xludf.DUMMYFUNCTION("""COMPUTED_VALUE"""),2.0)</f>
        <v>2</v>
      </c>
      <c r="G163" s="1" t="str">
        <f>IFERROR(__xludf.DUMMYFUNCTION("""COMPUTED_VALUE"""),"PR027")</f>
        <v>PR027</v>
      </c>
      <c r="H163" s="1" t="str">
        <f>IFERROR(__xludf.DUMMYFUNCTION("""COMPUTED_VALUE"""),"VD016")</f>
        <v>VD016</v>
      </c>
      <c r="I163" s="1">
        <f>IFERROR(__xludf.DUMMYFUNCTION("""COMPUTED_VALUE"""),10.0)</f>
        <v>10</v>
      </c>
      <c r="J163" s="1">
        <f>IFERROR(__xludf.DUMMYFUNCTION("""COMPUTED_VALUE"""),1428.0)</f>
        <v>1428</v>
      </c>
      <c r="K163" s="1">
        <f>IFERROR(__xludf.DUMMYFUNCTION("""COMPUTED_VALUE"""),1428.0)</f>
        <v>1428</v>
      </c>
    </row>
    <row r="164">
      <c r="A164" s="1">
        <f>IFERROR(__xludf.DUMMYFUNCTION("""COMPUTED_VALUE"""),1000.0)</f>
        <v>1000</v>
      </c>
      <c r="B164" s="1">
        <f>IFERROR(__xludf.DUMMYFUNCTION("""COMPUTED_VALUE"""),183581.0)</f>
        <v>183581</v>
      </c>
      <c r="C164" s="1">
        <f>IFERROR(__xludf.DUMMYFUNCTION("""COMPUTED_VALUE"""),2026.0)</f>
        <v>2026</v>
      </c>
      <c r="D164" s="1">
        <f>IFERROR(__xludf.DUMMYFUNCTION("""COMPUTED_VALUE"""),46354.0)</f>
        <v>46354</v>
      </c>
      <c r="E164" s="1" t="str">
        <f>IFERROR(__xludf.DUMMYFUNCTION("""COMPUTED_VALUE"""),"VF")</f>
        <v>VF</v>
      </c>
      <c r="F164" s="1">
        <f>IFERROR(__xludf.DUMMYFUNCTION("""COMPUTED_VALUE"""),1.0)</f>
        <v>1</v>
      </c>
      <c r="G164" s="1" t="str">
        <f>IFERROR(__xludf.DUMMYFUNCTION("""COMPUTED_VALUE"""),"PR015")</f>
        <v>PR015</v>
      </c>
      <c r="H164" s="1" t="str">
        <f>IFERROR(__xludf.DUMMYFUNCTION("""COMPUTED_VALUE"""),"VD043")</f>
        <v>VD043</v>
      </c>
      <c r="I164" s="1">
        <f>IFERROR(__xludf.DUMMYFUNCTION("""COMPUTED_VALUE"""),18.0)</f>
        <v>18</v>
      </c>
      <c r="J164" s="1">
        <f>IFERROR(__xludf.DUMMYFUNCTION("""COMPUTED_VALUE"""),872.1)</f>
        <v>872.1</v>
      </c>
      <c r="K164" s="1">
        <f>IFERROR(__xludf.DUMMYFUNCTION("""COMPUTED_VALUE"""),872.1)</f>
        <v>872.1</v>
      </c>
    </row>
    <row r="165">
      <c r="A165" s="1">
        <f>IFERROR(__xludf.DUMMYFUNCTION("""COMPUTED_VALUE"""),1000.0)</f>
        <v>1000</v>
      </c>
      <c r="B165" s="1">
        <f>IFERROR(__xludf.DUMMYFUNCTION("""COMPUTED_VALUE"""),183582.0)</f>
        <v>183582</v>
      </c>
      <c r="C165" s="1">
        <f>IFERROR(__xludf.DUMMYFUNCTION("""COMPUTED_VALUE"""),2026.0)</f>
        <v>2026</v>
      </c>
      <c r="D165" s="1">
        <f>IFERROR(__xludf.DUMMYFUNCTION("""COMPUTED_VALUE"""),46354.0)</f>
        <v>46354</v>
      </c>
      <c r="E165" s="1" t="str">
        <f>IFERROR(__xludf.DUMMYFUNCTION("""COMPUTED_VALUE"""),"VF")</f>
        <v>VF</v>
      </c>
      <c r="F165" s="1">
        <f>IFERROR(__xludf.DUMMYFUNCTION("""COMPUTED_VALUE"""),1.0)</f>
        <v>1</v>
      </c>
      <c r="G165" s="1" t="str">
        <f>IFERROR(__xludf.DUMMYFUNCTION("""COMPUTED_VALUE"""),"PR003")</f>
        <v>PR003</v>
      </c>
      <c r="H165" s="1" t="str">
        <f>IFERROR(__xludf.DUMMYFUNCTION("""COMPUTED_VALUE"""),"VD031")</f>
        <v>VD031</v>
      </c>
      <c r="I165" s="1">
        <f>IFERROR(__xludf.DUMMYFUNCTION("""COMPUTED_VALUE"""),9.0)</f>
        <v>9</v>
      </c>
      <c r="J165" s="1">
        <f>IFERROR(__xludf.DUMMYFUNCTION("""COMPUTED_VALUE"""),708.29)</f>
        <v>708.29</v>
      </c>
      <c r="K165" s="1">
        <f>IFERROR(__xludf.DUMMYFUNCTION("""COMPUTED_VALUE"""),708.29)</f>
        <v>708.29</v>
      </c>
    </row>
    <row r="166">
      <c r="A166" s="1">
        <f>IFERROR(__xludf.DUMMYFUNCTION("""COMPUTED_VALUE"""),1000.0)</f>
        <v>1000</v>
      </c>
      <c r="B166" s="1">
        <f>IFERROR(__xludf.DUMMYFUNCTION("""COMPUTED_VALUE"""),183583.0)</f>
        <v>183583</v>
      </c>
      <c r="C166" s="1">
        <f>IFERROR(__xludf.DUMMYFUNCTION("""COMPUTED_VALUE"""),2026.0)</f>
        <v>2026</v>
      </c>
      <c r="D166" s="1">
        <f>IFERROR(__xludf.DUMMYFUNCTION("""COMPUTED_VALUE"""),46354.0)</f>
        <v>46354</v>
      </c>
      <c r="E166" s="1" t="str">
        <f>IFERROR(__xludf.DUMMYFUNCTION("""COMPUTED_VALUE"""),"VF")</f>
        <v>VF</v>
      </c>
      <c r="F166" s="1">
        <f>IFERROR(__xludf.DUMMYFUNCTION("""COMPUTED_VALUE"""),1.0)</f>
        <v>1</v>
      </c>
      <c r="G166" s="1" t="str">
        <f>IFERROR(__xludf.DUMMYFUNCTION("""COMPUTED_VALUE"""),"PR026")</f>
        <v>PR026</v>
      </c>
      <c r="H166" s="1" t="str">
        <f>IFERROR(__xludf.DUMMYFUNCTION("""COMPUTED_VALUE"""),"VD032")</f>
        <v>VD032</v>
      </c>
      <c r="I166" s="1">
        <f>IFERROR(__xludf.DUMMYFUNCTION("""COMPUTED_VALUE"""),10.0)</f>
        <v>10</v>
      </c>
      <c r="J166" s="1">
        <f>IFERROR(__xludf.DUMMYFUNCTION("""COMPUTED_VALUE"""),4128.82)</f>
        <v>4128.82</v>
      </c>
      <c r="K166" s="1">
        <f>IFERROR(__xludf.DUMMYFUNCTION("""COMPUTED_VALUE"""),4128.82)</f>
        <v>4128.82</v>
      </c>
    </row>
    <row r="167">
      <c r="A167" s="1">
        <f>IFERROR(__xludf.DUMMYFUNCTION("""COMPUTED_VALUE"""),1000.0)</f>
        <v>1000</v>
      </c>
      <c r="B167" s="1">
        <f>IFERROR(__xludf.DUMMYFUNCTION("""COMPUTED_VALUE"""),183583.0)</f>
        <v>183583</v>
      </c>
      <c r="C167" s="1">
        <f>IFERROR(__xludf.DUMMYFUNCTION("""COMPUTED_VALUE"""),2026.0)</f>
        <v>2026</v>
      </c>
      <c r="D167" s="1">
        <f>IFERROR(__xludf.DUMMYFUNCTION("""COMPUTED_VALUE"""),46354.0)</f>
        <v>46354</v>
      </c>
      <c r="E167" s="1" t="str">
        <f>IFERROR(__xludf.DUMMYFUNCTION("""COMPUTED_VALUE"""),"VF")</f>
        <v>VF</v>
      </c>
      <c r="F167" s="1">
        <f>IFERROR(__xludf.DUMMYFUNCTION("""COMPUTED_VALUE"""),2.0)</f>
        <v>2</v>
      </c>
      <c r="G167" s="1" t="str">
        <f>IFERROR(__xludf.DUMMYFUNCTION("""COMPUTED_VALUE"""),"PR006")</f>
        <v>PR006</v>
      </c>
      <c r="H167" s="1" t="str">
        <f>IFERROR(__xludf.DUMMYFUNCTION("""COMPUTED_VALUE"""),"VD017")</f>
        <v>VD017</v>
      </c>
      <c r="I167" s="1">
        <f>IFERROR(__xludf.DUMMYFUNCTION("""COMPUTED_VALUE"""),16.0)</f>
        <v>16</v>
      </c>
      <c r="J167" s="1">
        <f>IFERROR(__xludf.DUMMYFUNCTION("""COMPUTED_VALUE"""),766.08)</f>
        <v>766.08</v>
      </c>
      <c r="K167" s="1">
        <f>IFERROR(__xludf.DUMMYFUNCTION("""COMPUTED_VALUE"""),766.08)</f>
        <v>766.08</v>
      </c>
    </row>
    <row r="168">
      <c r="A168" s="1">
        <f>IFERROR(__xludf.DUMMYFUNCTION("""COMPUTED_VALUE"""),2000.0)</f>
        <v>2000</v>
      </c>
      <c r="B168" s="1">
        <f>IFERROR(__xludf.DUMMYFUNCTION("""COMPUTED_VALUE"""),183584.0)</f>
        <v>183584</v>
      </c>
      <c r="C168" s="1">
        <f>IFERROR(__xludf.DUMMYFUNCTION("""COMPUTED_VALUE"""),2026.0)</f>
        <v>2026</v>
      </c>
      <c r="D168" s="1">
        <f>IFERROR(__xludf.DUMMYFUNCTION("""COMPUTED_VALUE"""),46354.0)</f>
        <v>46354</v>
      </c>
      <c r="E168" s="1" t="str">
        <f>IFERROR(__xludf.DUMMYFUNCTION("""COMPUTED_VALUE"""),"VF")</f>
        <v>VF</v>
      </c>
      <c r="F168" s="1">
        <f>IFERROR(__xludf.DUMMYFUNCTION("""COMPUTED_VALUE"""),1.0)</f>
        <v>1</v>
      </c>
      <c r="G168" s="1" t="str">
        <f>IFERROR(__xludf.DUMMYFUNCTION("""COMPUTED_VALUE"""),"PR050")</f>
        <v>PR050</v>
      </c>
      <c r="H168" s="1" t="str">
        <f>IFERROR(__xludf.DUMMYFUNCTION("""COMPUTED_VALUE"""),"VD015")</f>
        <v>VD015</v>
      </c>
      <c r="I168" s="1">
        <f>IFERROR(__xludf.DUMMYFUNCTION("""COMPUTED_VALUE"""),27.0)</f>
        <v>27</v>
      </c>
      <c r="J168" s="1">
        <f>IFERROR(__xludf.DUMMYFUNCTION("""COMPUTED_VALUE"""),1012.66)</f>
        <v>1012.66</v>
      </c>
      <c r="K168" s="1">
        <f>IFERROR(__xludf.DUMMYFUNCTION("""COMPUTED_VALUE"""),1012.66)</f>
        <v>1012.66</v>
      </c>
    </row>
    <row r="169">
      <c r="A169" s="1">
        <f>IFERROR(__xludf.DUMMYFUNCTION("""COMPUTED_VALUE"""),1000.0)</f>
        <v>1000</v>
      </c>
      <c r="B169" s="1">
        <f>IFERROR(__xludf.DUMMYFUNCTION("""COMPUTED_VALUE"""),183584.0)</f>
        <v>183584</v>
      </c>
      <c r="C169" s="1">
        <f>IFERROR(__xludf.DUMMYFUNCTION("""COMPUTED_VALUE"""),2026.0)</f>
        <v>2026</v>
      </c>
      <c r="D169" s="1">
        <f>IFERROR(__xludf.DUMMYFUNCTION("""COMPUTED_VALUE"""),46353.0)</f>
        <v>46353</v>
      </c>
      <c r="E169" s="1" t="str">
        <f>IFERROR(__xludf.DUMMYFUNCTION("""COMPUTED_VALUE"""),"VF")</f>
        <v>VF</v>
      </c>
      <c r="F169" s="1">
        <f>IFERROR(__xludf.DUMMYFUNCTION("""COMPUTED_VALUE"""),2.0)</f>
        <v>2</v>
      </c>
      <c r="G169" s="1" t="str">
        <f>IFERROR(__xludf.DUMMYFUNCTION("""COMPUTED_VALUE"""),"PR009")</f>
        <v>PR009</v>
      </c>
      <c r="H169" s="1" t="str">
        <f>IFERROR(__xludf.DUMMYFUNCTION("""COMPUTED_VALUE"""),"VD040")</f>
        <v>VD040</v>
      </c>
      <c r="I169" s="1">
        <f>IFERROR(__xludf.DUMMYFUNCTION("""COMPUTED_VALUE"""),30.0)</f>
        <v>30</v>
      </c>
      <c r="J169" s="1">
        <f>IFERROR(__xludf.DUMMYFUNCTION("""COMPUTED_VALUE"""),3065.7)</f>
        <v>3065.7</v>
      </c>
      <c r="K169" s="1">
        <f>IFERROR(__xludf.DUMMYFUNCTION("""COMPUTED_VALUE"""),3065.7)</f>
        <v>3065.7</v>
      </c>
    </row>
    <row r="170">
      <c r="A170" s="1">
        <f>IFERROR(__xludf.DUMMYFUNCTION("""COMPUTED_VALUE"""),2000.0)</f>
        <v>2000</v>
      </c>
      <c r="B170" s="1">
        <f>IFERROR(__xludf.DUMMYFUNCTION("""COMPUTED_VALUE"""),183585.0)</f>
        <v>183585</v>
      </c>
      <c r="C170" s="1">
        <f>IFERROR(__xludf.DUMMYFUNCTION("""COMPUTED_VALUE"""),2026.0)</f>
        <v>2026</v>
      </c>
      <c r="D170" s="1">
        <f>IFERROR(__xludf.DUMMYFUNCTION("""COMPUTED_VALUE"""),46353.0)</f>
        <v>46353</v>
      </c>
      <c r="E170" s="1" t="str">
        <f>IFERROR(__xludf.DUMMYFUNCTION("""COMPUTED_VALUE"""),"VF")</f>
        <v>VF</v>
      </c>
      <c r="F170" s="1">
        <f>IFERROR(__xludf.DUMMYFUNCTION("""COMPUTED_VALUE"""),1.0)</f>
        <v>1</v>
      </c>
      <c r="G170" s="1" t="str">
        <f>IFERROR(__xludf.DUMMYFUNCTION("""COMPUTED_VALUE"""),"PR013")</f>
        <v>PR013</v>
      </c>
      <c r="H170" s="1" t="str">
        <f>IFERROR(__xludf.DUMMYFUNCTION("""COMPUTED_VALUE"""),"VD021")</f>
        <v>VD021</v>
      </c>
      <c r="I170" s="1">
        <f>IFERROR(__xludf.DUMMYFUNCTION("""COMPUTED_VALUE"""),15.0)</f>
        <v>15</v>
      </c>
      <c r="J170" s="1">
        <f>IFERROR(__xludf.DUMMYFUNCTION("""COMPUTED_VALUE"""),706.23)</f>
        <v>706.23</v>
      </c>
      <c r="K170" s="1">
        <f>IFERROR(__xludf.DUMMYFUNCTION("""COMPUTED_VALUE"""),706.23)</f>
        <v>706.23</v>
      </c>
    </row>
    <row r="171">
      <c r="A171" s="1">
        <f>IFERROR(__xludf.DUMMYFUNCTION("""COMPUTED_VALUE"""),1000.0)</f>
        <v>1000</v>
      </c>
      <c r="B171" s="1">
        <f>IFERROR(__xludf.DUMMYFUNCTION("""COMPUTED_VALUE"""),183586.0)</f>
        <v>183586</v>
      </c>
      <c r="C171" s="1">
        <f>IFERROR(__xludf.DUMMYFUNCTION("""COMPUTED_VALUE"""),2026.0)</f>
        <v>2026</v>
      </c>
      <c r="D171" s="1">
        <f>IFERROR(__xludf.DUMMYFUNCTION("""COMPUTED_VALUE"""),46352.0)</f>
        <v>46352</v>
      </c>
      <c r="E171" s="1" t="str">
        <f>IFERROR(__xludf.DUMMYFUNCTION("""COMPUTED_VALUE"""),"VF")</f>
        <v>VF</v>
      </c>
      <c r="F171" s="1">
        <f>IFERROR(__xludf.DUMMYFUNCTION("""COMPUTED_VALUE"""),1.0)</f>
        <v>1</v>
      </c>
      <c r="G171" s="1" t="str">
        <f>IFERROR(__xludf.DUMMYFUNCTION("""COMPUTED_VALUE"""),"PR049")</f>
        <v>PR049</v>
      </c>
      <c r="H171" s="1" t="str">
        <f>IFERROR(__xludf.DUMMYFUNCTION("""COMPUTED_VALUE"""),"VD049")</f>
        <v>VD049</v>
      </c>
      <c r="I171" s="1">
        <f>IFERROR(__xludf.DUMMYFUNCTION("""COMPUTED_VALUE"""),21.0)</f>
        <v>21</v>
      </c>
      <c r="J171" s="1">
        <f>IFERROR(__xludf.DUMMYFUNCTION("""COMPUTED_VALUE"""),759.99)</f>
        <v>759.99</v>
      </c>
      <c r="K171" s="1">
        <f>IFERROR(__xludf.DUMMYFUNCTION("""COMPUTED_VALUE"""),759.99)</f>
        <v>759.99</v>
      </c>
    </row>
    <row r="172">
      <c r="A172" s="1">
        <f>IFERROR(__xludf.DUMMYFUNCTION("""COMPUTED_VALUE"""),1000.0)</f>
        <v>1000</v>
      </c>
      <c r="B172" s="1">
        <f>IFERROR(__xludf.DUMMYFUNCTION("""COMPUTED_VALUE"""),183587.0)</f>
        <v>183587</v>
      </c>
      <c r="C172" s="1">
        <f>IFERROR(__xludf.DUMMYFUNCTION("""COMPUTED_VALUE"""),2026.0)</f>
        <v>2026</v>
      </c>
      <c r="D172" s="1">
        <f>IFERROR(__xludf.DUMMYFUNCTION("""COMPUTED_VALUE"""),46352.0)</f>
        <v>46352</v>
      </c>
      <c r="E172" s="1" t="str">
        <f>IFERROR(__xludf.DUMMYFUNCTION("""COMPUTED_VALUE"""),"VF")</f>
        <v>VF</v>
      </c>
      <c r="F172" s="1">
        <f>IFERROR(__xludf.DUMMYFUNCTION("""COMPUTED_VALUE"""),1.0)</f>
        <v>1</v>
      </c>
      <c r="G172" s="1" t="str">
        <f>IFERROR(__xludf.DUMMYFUNCTION("""COMPUTED_VALUE"""),"PR004")</f>
        <v>PR004</v>
      </c>
      <c r="H172" s="1" t="str">
        <f>IFERROR(__xludf.DUMMYFUNCTION("""COMPUTED_VALUE"""),"VD035")</f>
        <v>VD035</v>
      </c>
      <c r="I172" s="1">
        <f>IFERROR(__xludf.DUMMYFUNCTION("""COMPUTED_VALUE"""),18.0)</f>
        <v>18</v>
      </c>
      <c r="J172" s="1">
        <f>IFERROR(__xludf.DUMMYFUNCTION("""COMPUTED_VALUE"""),2923.2)</f>
        <v>2923.2</v>
      </c>
      <c r="K172" s="1">
        <f>IFERROR(__xludf.DUMMYFUNCTION("""COMPUTED_VALUE"""),2923.2)</f>
        <v>2923.2</v>
      </c>
    </row>
    <row r="173">
      <c r="A173" s="1">
        <f>IFERROR(__xludf.DUMMYFUNCTION("""COMPUTED_VALUE"""),2000.0)</f>
        <v>2000</v>
      </c>
      <c r="B173" s="1">
        <f>IFERROR(__xludf.DUMMYFUNCTION("""COMPUTED_VALUE"""),183588.0)</f>
        <v>183588</v>
      </c>
      <c r="C173" s="1">
        <f>IFERROR(__xludf.DUMMYFUNCTION("""COMPUTED_VALUE"""),2026.0)</f>
        <v>2026</v>
      </c>
      <c r="D173" s="1">
        <f>IFERROR(__xludf.DUMMYFUNCTION("""COMPUTED_VALUE"""),46352.0)</f>
        <v>46352</v>
      </c>
      <c r="E173" s="1" t="str">
        <f>IFERROR(__xludf.DUMMYFUNCTION("""COMPUTED_VALUE"""),"VF")</f>
        <v>VF</v>
      </c>
      <c r="F173" s="1">
        <f>IFERROR(__xludf.DUMMYFUNCTION("""COMPUTED_VALUE"""),1.0)</f>
        <v>1</v>
      </c>
      <c r="G173" s="1" t="str">
        <f>IFERROR(__xludf.DUMMYFUNCTION("""COMPUTED_VALUE"""),"PR046")</f>
        <v>PR046</v>
      </c>
      <c r="H173" s="1" t="str">
        <f>IFERROR(__xludf.DUMMYFUNCTION("""COMPUTED_VALUE"""),"VD019")</f>
        <v>VD019</v>
      </c>
      <c r="I173" s="1">
        <f>IFERROR(__xludf.DUMMYFUNCTION("""COMPUTED_VALUE"""),20.0)</f>
        <v>20</v>
      </c>
      <c r="J173" s="1">
        <f>IFERROR(__xludf.DUMMYFUNCTION("""COMPUTED_VALUE"""),6725.68)</f>
        <v>6725.68</v>
      </c>
      <c r="K173" s="1">
        <f>IFERROR(__xludf.DUMMYFUNCTION("""COMPUTED_VALUE"""),6725.68)</f>
        <v>6725.68</v>
      </c>
    </row>
    <row r="174">
      <c r="A174" s="1">
        <f>IFERROR(__xludf.DUMMYFUNCTION("""COMPUTED_VALUE"""),1000.0)</f>
        <v>1000</v>
      </c>
      <c r="B174" s="1">
        <f>IFERROR(__xludf.DUMMYFUNCTION("""COMPUTED_VALUE"""),183589.0)</f>
        <v>183589</v>
      </c>
      <c r="C174" s="1">
        <f>IFERROR(__xludf.DUMMYFUNCTION("""COMPUTED_VALUE"""),2026.0)</f>
        <v>2026</v>
      </c>
      <c r="D174" s="1">
        <f>IFERROR(__xludf.DUMMYFUNCTION("""COMPUTED_VALUE"""),46352.0)</f>
        <v>46352</v>
      </c>
      <c r="E174" s="1" t="str">
        <f>IFERROR(__xludf.DUMMYFUNCTION("""COMPUTED_VALUE"""),"VF")</f>
        <v>VF</v>
      </c>
      <c r="F174" s="1">
        <f>IFERROR(__xludf.DUMMYFUNCTION("""COMPUTED_VALUE"""),1.0)</f>
        <v>1</v>
      </c>
      <c r="G174" s="1" t="str">
        <f>IFERROR(__xludf.DUMMYFUNCTION("""COMPUTED_VALUE"""),"PR047")</f>
        <v>PR047</v>
      </c>
      <c r="H174" s="1" t="str">
        <f>IFERROR(__xludf.DUMMYFUNCTION("""COMPUTED_VALUE"""),"VD046")</f>
        <v>VD046</v>
      </c>
      <c r="I174" s="1">
        <f>IFERROR(__xludf.DUMMYFUNCTION("""COMPUTED_VALUE"""),27.0)</f>
        <v>27</v>
      </c>
      <c r="J174" s="1">
        <f>IFERROR(__xludf.DUMMYFUNCTION("""COMPUTED_VALUE"""),8844.85)</f>
        <v>8844.85</v>
      </c>
      <c r="K174" s="1">
        <f>IFERROR(__xludf.DUMMYFUNCTION("""COMPUTED_VALUE"""),8844.85)</f>
        <v>8844.85</v>
      </c>
    </row>
    <row r="175">
      <c r="A175" s="1">
        <f>IFERROR(__xludf.DUMMYFUNCTION("""COMPUTED_VALUE"""),1000.0)</f>
        <v>1000</v>
      </c>
      <c r="B175" s="1">
        <f>IFERROR(__xludf.DUMMYFUNCTION("""COMPUTED_VALUE"""),183590.0)</f>
        <v>183590</v>
      </c>
      <c r="C175" s="1">
        <f>IFERROR(__xludf.DUMMYFUNCTION("""COMPUTED_VALUE"""),2026.0)</f>
        <v>2026</v>
      </c>
      <c r="D175" s="1">
        <f>IFERROR(__xludf.DUMMYFUNCTION("""COMPUTED_VALUE"""),46352.0)</f>
        <v>46352</v>
      </c>
      <c r="E175" s="1" t="str">
        <f>IFERROR(__xludf.DUMMYFUNCTION("""COMPUTED_VALUE"""),"VF")</f>
        <v>VF</v>
      </c>
      <c r="F175" s="1">
        <f>IFERROR(__xludf.DUMMYFUNCTION("""COMPUTED_VALUE"""),1.0)</f>
        <v>1</v>
      </c>
      <c r="G175" s="1" t="str">
        <f>IFERROR(__xludf.DUMMYFUNCTION("""COMPUTED_VALUE"""),"PR054")</f>
        <v>PR054</v>
      </c>
      <c r="H175" s="1" t="str">
        <f>IFERROR(__xludf.DUMMYFUNCTION("""COMPUTED_VALUE"""),"VD019")</f>
        <v>VD019</v>
      </c>
      <c r="I175" s="1">
        <f>IFERROR(__xludf.DUMMYFUNCTION("""COMPUTED_VALUE"""),18.0)</f>
        <v>18</v>
      </c>
      <c r="J175" s="1">
        <f>IFERROR(__xludf.DUMMYFUNCTION("""COMPUTED_VALUE"""),1077.84)</f>
        <v>1077.84</v>
      </c>
      <c r="K175" s="1">
        <f>IFERROR(__xludf.DUMMYFUNCTION("""COMPUTED_VALUE"""),1077.84)</f>
        <v>1077.84</v>
      </c>
    </row>
    <row r="176">
      <c r="A176" s="1">
        <f>IFERROR(__xludf.DUMMYFUNCTION("""COMPUTED_VALUE"""),1000.0)</f>
        <v>1000</v>
      </c>
      <c r="B176" s="1">
        <f>IFERROR(__xludf.DUMMYFUNCTION("""COMPUTED_VALUE"""),183591.0)</f>
        <v>183591</v>
      </c>
      <c r="C176" s="1">
        <f>IFERROR(__xludf.DUMMYFUNCTION("""COMPUTED_VALUE"""),2026.0)</f>
        <v>2026</v>
      </c>
      <c r="D176" s="1">
        <f>IFERROR(__xludf.DUMMYFUNCTION("""COMPUTED_VALUE"""),46351.0)</f>
        <v>46351</v>
      </c>
      <c r="E176" s="1" t="str">
        <f>IFERROR(__xludf.DUMMYFUNCTION("""COMPUTED_VALUE"""),"VF")</f>
        <v>VF</v>
      </c>
      <c r="F176" s="1">
        <f>IFERROR(__xludf.DUMMYFUNCTION("""COMPUTED_VALUE"""),1.0)</f>
        <v>1</v>
      </c>
      <c r="G176" s="1" t="str">
        <f>IFERROR(__xludf.DUMMYFUNCTION("""COMPUTED_VALUE"""),"PR041")</f>
        <v>PR041</v>
      </c>
      <c r="H176" s="1" t="str">
        <f>IFERROR(__xludf.DUMMYFUNCTION("""COMPUTED_VALUE"""),"VD033")</f>
        <v>VD033</v>
      </c>
      <c r="I176" s="1">
        <f>IFERROR(__xludf.DUMMYFUNCTION("""COMPUTED_VALUE"""),27.0)</f>
        <v>27</v>
      </c>
      <c r="J176" s="1">
        <f>IFERROR(__xludf.DUMMYFUNCTION("""COMPUTED_VALUE"""),1778.76)</f>
        <v>1778.76</v>
      </c>
      <c r="K176" s="1">
        <f>IFERROR(__xludf.DUMMYFUNCTION("""COMPUTED_VALUE"""),1778.76)</f>
        <v>1778.76</v>
      </c>
    </row>
    <row r="177">
      <c r="A177" s="1">
        <f>IFERROR(__xludf.DUMMYFUNCTION("""COMPUTED_VALUE"""),1000.0)</f>
        <v>1000</v>
      </c>
      <c r="B177" s="1">
        <f>IFERROR(__xludf.DUMMYFUNCTION("""COMPUTED_VALUE"""),183592.0)</f>
        <v>183592</v>
      </c>
      <c r="C177" s="1">
        <f>IFERROR(__xludf.DUMMYFUNCTION("""COMPUTED_VALUE"""),2026.0)</f>
        <v>2026</v>
      </c>
      <c r="D177" s="1">
        <f>IFERROR(__xludf.DUMMYFUNCTION("""COMPUTED_VALUE"""),46351.0)</f>
        <v>46351</v>
      </c>
      <c r="E177" s="1" t="str">
        <f>IFERROR(__xludf.DUMMYFUNCTION("""COMPUTED_VALUE"""),"VF")</f>
        <v>VF</v>
      </c>
      <c r="F177" s="1">
        <f>IFERROR(__xludf.DUMMYFUNCTION("""COMPUTED_VALUE"""),1.0)</f>
        <v>1</v>
      </c>
      <c r="G177" s="1" t="str">
        <f>IFERROR(__xludf.DUMMYFUNCTION("""COMPUTED_VALUE"""),"PR024")</f>
        <v>PR024</v>
      </c>
      <c r="H177" s="1" t="str">
        <f>IFERROR(__xludf.DUMMYFUNCTION("""COMPUTED_VALUE"""),"VD018")</f>
        <v>VD018</v>
      </c>
      <c r="I177" s="1">
        <f>IFERROR(__xludf.DUMMYFUNCTION("""COMPUTED_VALUE"""),8.0)</f>
        <v>8</v>
      </c>
      <c r="J177" s="1">
        <f>IFERROR(__xludf.DUMMYFUNCTION("""COMPUTED_VALUE"""),2453.46)</f>
        <v>2453.46</v>
      </c>
      <c r="K177" s="1">
        <f>IFERROR(__xludf.DUMMYFUNCTION("""COMPUTED_VALUE"""),2453.46)</f>
        <v>2453.46</v>
      </c>
    </row>
    <row r="178">
      <c r="A178" s="1">
        <f>IFERROR(__xludf.DUMMYFUNCTION("""COMPUTED_VALUE"""),1000.0)</f>
        <v>1000</v>
      </c>
      <c r="B178" s="1">
        <f>IFERROR(__xludf.DUMMYFUNCTION("""COMPUTED_VALUE"""),183593.0)</f>
        <v>183593</v>
      </c>
      <c r="C178" s="1">
        <f>IFERROR(__xludf.DUMMYFUNCTION("""COMPUTED_VALUE"""),2026.0)</f>
        <v>2026</v>
      </c>
      <c r="D178" s="1">
        <f>IFERROR(__xludf.DUMMYFUNCTION("""COMPUTED_VALUE"""),46351.0)</f>
        <v>46351</v>
      </c>
      <c r="E178" s="1" t="str">
        <f>IFERROR(__xludf.DUMMYFUNCTION("""COMPUTED_VALUE"""),"VF")</f>
        <v>VF</v>
      </c>
      <c r="F178" s="1">
        <f>IFERROR(__xludf.DUMMYFUNCTION("""COMPUTED_VALUE"""),1.0)</f>
        <v>1</v>
      </c>
      <c r="G178" s="1" t="str">
        <f>IFERROR(__xludf.DUMMYFUNCTION("""COMPUTED_VALUE"""),"PR024")</f>
        <v>PR024</v>
      </c>
      <c r="H178" s="1" t="str">
        <f>IFERROR(__xludf.DUMMYFUNCTION("""COMPUTED_VALUE"""),"VD048")</f>
        <v>VD048</v>
      </c>
      <c r="I178" s="1">
        <f>IFERROR(__xludf.DUMMYFUNCTION("""COMPUTED_VALUE"""),15.0)</f>
        <v>15</v>
      </c>
      <c r="J178" s="1">
        <f>IFERROR(__xludf.DUMMYFUNCTION("""COMPUTED_VALUE"""),4678.2)</f>
        <v>4678.2</v>
      </c>
      <c r="K178" s="1">
        <f>IFERROR(__xludf.DUMMYFUNCTION("""COMPUTED_VALUE"""),4678.2)</f>
        <v>4678.2</v>
      </c>
    </row>
    <row r="179">
      <c r="A179" s="1">
        <f>IFERROR(__xludf.DUMMYFUNCTION("""COMPUTED_VALUE"""),1000.0)</f>
        <v>1000</v>
      </c>
      <c r="B179" s="1">
        <f>IFERROR(__xludf.DUMMYFUNCTION("""COMPUTED_VALUE"""),183594.0)</f>
        <v>183594</v>
      </c>
      <c r="C179" s="1">
        <f>IFERROR(__xludf.DUMMYFUNCTION("""COMPUTED_VALUE"""),2026.0)</f>
        <v>2026</v>
      </c>
      <c r="D179" s="1">
        <f>IFERROR(__xludf.DUMMYFUNCTION("""COMPUTED_VALUE"""),46351.0)</f>
        <v>46351</v>
      </c>
      <c r="E179" s="1" t="str">
        <f>IFERROR(__xludf.DUMMYFUNCTION("""COMPUTED_VALUE"""),"VF")</f>
        <v>VF</v>
      </c>
      <c r="F179" s="1">
        <f>IFERROR(__xludf.DUMMYFUNCTION("""COMPUTED_VALUE"""),1.0)</f>
        <v>1</v>
      </c>
      <c r="G179" s="1" t="str">
        <f>IFERROR(__xludf.DUMMYFUNCTION("""COMPUTED_VALUE"""),"PR039")</f>
        <v>PR039</v>
      </c>
      <c r="H179" s="1" t="str">
        <f>IFERROR(__xludf.DUMMYFUNCTION("""COMPUTED_VALUE"""),"VD015")</f>
        <v>VD015</v>
      </c>
      <c r="I179" s="1">
        <f>IFERROR(__xludf.DUMMYFUNCTION("""COMPUTED_VALUE"""),15.0)</f>
        <v>15</v>
      </c>
      <c r="J179" s="1">
        <f>IFERROR(__xludf.DUMMYFUNCTION("""COMPUTED_VALUE"""),2430.9)</f>
        <v>2430.9</v>
      </c>
      <c r="K179" s="1">
        <f>IFERROR(__xludf.DUMMYFUNCTION("""COMPUTED_VALUE"""),2430.9)</f>
        <v>2430.9</v>
      </c>
    </row>
    <row r="180">
      <c r="A180" s="1">
        <f>IFERROR(__xludf.DUMMYFUNCTION("""COMPUTED_VALUE"""),1000.0)</f>
        <v>1000</v>
      </c>
      <c r="B180" s="1">
        <f>IFERROR(__xludf.DUMMYFUNCTION("""COMPUTED_VALUE"""),183595.0)</f>
        <v>183595</v>
      </c>
      <c r="C180" s="1">
        <f>IFERROR(__xludf.DUMMYFUNCTION("""COMPUTED_VALUE"""),2026.0)</f>
        <v>2026</v>
      </c>
      <c r="D180" s="1">
        <f>IFERROR(__xludf.DUMMYFUNCTION("""COMPUTED_VALUE"""),46351.0)</f>
        <v>46351</v>
      </c>
      <c r="E180" s="1" t="str">
        <f>IFERROR(__xludf.DUMMYFUNCTION("""COMPUTED_VALUE"""),"VF")</f>
        <v>VF</v>
      </c>
      <c r="F180" s="1">
        <f>IFERROR(__xludf.DUMMYFUNCTION("""COMPUTED_VALUE"""),1.0)</f>
        <v>1</v>
      </c>
      <c r="G180" s="1" t="str">
        <f>IFERROR(__xludf.DUMMYFUNCTION("""COMPUTED_VALUE"""),"PR032")</f>
        <v>PR032</v>
      </c>
      <c r="H180" s="1" t="str">
        <f>IFERROR(__xludf.DUMMYFUNCTION("""COMPUTED_VALUE"""),"VD016")</f>
        <v>VD016</v>
      </c>
      <c r="I180" s="1">
        <f>IFERROR(__xludf.DUMMYFUNCTION("""COMPUTED_VALUE"""),27.0)</f>
        <v>27</v>
      </c>
      <c r="J180" s="1">
        <f>IFERROR(__xludf.DUMMYFUNCTION("""COMPUTED_VALUE"""),7897.5)</f>
        <v>7897.5</v>
      </c>
      <c r="K180" s="1">
        <f>IFERROR(__xludf.DUMMYFUNCTION("""COMPUTED_VALUE"""),7897.5)</f>
        <v>7897.5</v>
      </c>
    </row>
    <row r="181">
      <c r="A181" s="1">
        <f>IFERROR(__xludf.DUMMYFUNCTION("""COMPUTED_VALUE"""),1000.0)</f>
        <v>1000</v>
      </c>
      <c r="B181" s="1">
        <f>IFERROR(__xludf.DUMMYFUNCTION("""COMPUTED_VALUE"""),183595.0)</f>
        <v>183595</v>
      </c>
      <c r="C181" s="1">
        <f>IFERROR(__xludf.DUMMYFUNCTION("""COMPUTED_VALUE"""),2026.0)</f>
        <v>2026</v>
      </c>
      <c r="D181" s="1">
        <f>IFERROR(__xludf.DUMMYFUNCTION("""COMPUTED_VALUE"""),46351.0)</f>
        <v>46351</v>
      </c>
      <c r="E181" s="1" t="str">
        <f>IFERROR(__xludf.DUMMYFUNCTION("""COMPUTED_VALUE"""),"VF")</f>
        <v>VF</v>
      </c>
      <c r="F181" s="1">
        <f>IFERROR(__xludf.DUMMYFUNCTION("""COMPUTED_VALUE"""),2.0)</f>
        <v>2</v>
      </c>
      <c r="G181" s="1" t="str">
        <f>IFERROR(__xludf.DUMMYFUNCTION("""COMPUTED_VALUE"""),"PR006")</f>
        <v>PR006</v>
      </c>
      <c r="H181" s="1" t="str">
        <f>IFERROR(__xludf.DUMMYFUNCTION("""COMPUTED_VALUE"""),"VD015")</f>
        <v>VD015</v>
      </c>
      <c r="I181" s="1">
        <f>IFERROR(__xludf.DUMMYFUNCTION("""COMPUTED_VALUE"""),24.0)</f>
        <v>24</v>
      </c>
      <c r="J181" s="1">
        <f>IFERROR(__xludf.DUMMYFUNCTION("""COMPUTED_VALUE"""),1139.54)</f>
        <v>1139.54</v>
      </c>
      <c r="K181" s="1">
        <f>IFERROR(__xludf.DUMMYFUNCTION("""COMPUTED_VALUE"""),1139.54)</f>
        <v>1139.54</v>
      </c>
    </row>
    <row r="182">
      <c r="A182" s="1">
        <f>IFERROR(__xludf.DUMMYFUNCTION("""COMPUTED_VALUE"""),2000.0)</f>
        <v>2000</v>
      </c>
      <c r="B182" s="1">
        <f>IFERROR(__xludf.DUMMYFUNCTION("""COMPUTED_VALUE"""),183596.0)</f>
        <v>183596</v>
      </c>
      <c r="C182" s="1">
        <f>IFERROR(__xludf.DUMMYFUNCTION("""COMPUTED_VALUE"""),2026.0)</f>
        <v>2026</v>
      </c>
      <c r="D182" s="1">
        <f>IFERROR(__xludf.DUMMYFUNCTION("""COMPUTED_VALUE"""),46351.0)</f>
        <v>46351</v>
      </c>
      <c r="E182" s="1" t="str">
        <f>IFERROR(__xludf.DUMMYFUNCTION("""COMPUTED_VALUE"""),"VF")</f>
        <v>VF</v>
      </c>
      <c r="F182" s="1">
        <f>IFERROR(__xludf.DUMMYFUNCTION("""COMPUTED_VALUE"""),1.0)</f>
        <v>1</v>
      </c>
      <c r="G182" s="1" t="str">
        <f>IFERROR(__xludf.DUMMYFUNCTION("""COMPUTED_VALUE"""),"PR006")</f>
        <v>PR006</v>
      </c>
      <c r="H182" s="1" t="str">
        <f>IFERROR(__xludf.DUMMYFUNCTION("""COMPUTED_VALUE"""),"VD035")</f>
        <v>VD035</v>
      </c>
      <c r="I182" s="1">
        <f>IFERROR(__xludf.DUMMYFUNCTION("""COMPUTED_VALUE"""),30.0)</f>
        <v>30</v>
      </c>
      <c r="J182" s="1">
        <f>IFERROR(__xludf.DUMMYFUNCTION("""COMPUTED_VALUE"""),1340.64)</f>
        <v>1340.64</v>
      </c>
      <c r="K182" s="1">
        <f>IFERROR(__xludf.DUMMYFUNCTION("""COMPUTED_VALUE"""),1340.64)</f>
        <v>1340.64</v>
      </c>
    </row>
    <row r="183">
      <c r="A183" s="1">
        <f>IFERROR(__xludf.DUMMYFUNCTION("""COMPUTED_VALUE"""),1000.0)</f>
        <v>1000</v>
      </c>
      <c r="B183" s="1">
        <f>IFERROR(__xludf.DUMMYFUNCTION("""COMPUTED_VALUE"""),183597.0)</f>
        <v>183597</v>
      </c>
      <c r="C183" s="1">
        <f>IFERROR(__xludf.DUMMYFUNCTION("""COMPUTED_VALUE"""),2026.0)</f>
        <v>2026</v>
      </c>
      <c r="D183" s="1">
        <f>IFERROR(__xludf.DUMMYFUNCTION("""COMPUTED_VALUE"""),46350.0)</f>
        <v>46350</v>
      </c>
      <c r="E183" s="1" t="str">
        <f>IFERROR(__xludf.DUMMYFUNCTION("""COMPUTED_VALUE"""),"VF")</f>
        <v>VF</v>
      </c>
      <c r="F183" s="1">
        <f>IFERROR(__xludf.DUMMYFUNCTION("""COMPUTED_VALUE"""),1.0)</f>
        <v>1</v>
      </c>
      <c r="G183" s="1" t="str">
        <f>IFERROR(__xludf.DUMMYFUNCTION("""COMPUTED_VALUE"""),"PR051")</f>
        <v>PR051</v>
      </c>
      <c r="H183" s="1" t="str">
        <f>IFERROR(__xludf.DUMMYFUNCTION("""COMPUTED_VALUE"""),"VD024")</f>
        <v>VD024</v>
      </c>
      <c r="I183" s="1">
        <f>IFERROR(__xludf.DUMMYFUNCTION("""COMPUTED_VALUE"""),30.0)</f>
        <v>30</v>
      </c>
      <c r="J183" s="1">
        <f>IFERROR(__xludf.DUMMYFUNCTION("""COMPUTED_VALUE"""),1135.05)</f>
        <v>1135.05</v>
      </c>
      <c r="K183" s="1">
        <f>IFERROR(__xludf.DUMMYFUNCTION("""COMPUTED_VALUE"""),1135.05)</f>
        <v>1135.05</v>
      </c>
    </row>
    <row r="184">
      <c r="A184" s="1">
        <f>IFERROR(__xludf.DUMMYFUNCTION("""COMPUTED_VALUE"""),1000.0)</f>
        <v>1000</v>
      </c>
      <c r="B184" s="1">
        <f>IFERROR(__xludf.DUMMYFUNCTION("""COMPUTED_VALUE"""),183597.0)</f>
        <v>183597</v>
      </c>
      <c r="C184" s="1">
        <f>IFERROR(__xludf.DUMMYFUNCTION("""COMPUTED_VALUE"""),2026.0)</f>
        <v>2026</v>
      </c>
      <c r="D184" s="1">
        <f>IFERROR(__xludf.DUMMYFUNCTION("""COMPUTED_VALUE"""),46350.0)</f>
        <v>46350</v>
      </c>
      <c r="E184" s="1" t="str">
        <f>IFERROR(__xludf.DUMMYFUNCTION("""COMPUTED_VALUE"""),"VF")</f>
        <v>VF</v>
      </c>
      <c r="F184" s="1">
        <f>IFERROR(__xludf.DUMMYFUNCTION("""COMPUTED_VALUE"""),2.0)</f>
        <v>2</v>
      </c>
      <c r="G184" s="1" t="str">
        <f>IFERROR(__xludf.DUMMYFUNCTION("""COMPUTED_VALUE"""),"PR047")</f>
        <v>PR047</v>
      </c>
      <c r="H184" s="1" t="str">
        <f>IFERROR(__xludf.DUMMYFUNCTION("""COMPUTED_VALUE"""),"VD019")</f>
        <v>VD019</v>
      </c>
      <c r="I184" s="1">
        <f>IFERROR(__xludf.DUMMYFUNCTION("""COMPUTED_VALUE"""),27.0)</f>
        <v>27</v>
      </c>
      <c r="J184" s="1">
        <f>IFERROR(__xludf.DUMMYFUNCTION("""COMPUTED_VALUE"""),9157.94)</f>
        <v>9157.94</v>
      </c>
      <c r="K184" s="1">
        <f>IFERROR(__xludf.DUMMYFUNCTION("""COMPUTED_VALUE"""),9157.94)</f>
        <v>9157.94</v>
      </c>
    </row>
    <row r="185">
      <c r="A185" s="1">
        <f>IFERROR(__xludf.DUMMYFUNCTION("""COMPUTED_VALUE"""),1000.0)</f>
        <v>1000</v>
      </c>
      <c r="B185" s="1">
        <f>IFERROR(__xludf.DUMMYFUNCTION("""COMPUTED_VALUE"""),183598.0)</f>
        <v>183598</v>
      </c>
      <c r="C185" s="1">
        <f>IFERROR(__xludf.DUMMYFUNCTION("""COMPUTED_VALUE"""),2026.0)</f>
        <v>2026</v>
      </c>
      <c r="D185" s="1">
        <f>IFERROR(__xludf.DUMMYFUNCTION("""COMPUTED_VALUE"""),46350.0)</f>
        <v>46350</v>
      </c>
      <c r="E185" s="1" t="str">
        <f>IFERROR(__xludf.DUMMYFUNCTION("""COMPUTED_VALUE"""),"VF")</f>
        <v>VF</v>
      </c>
      <c r="F185" s="1">
        <f>IFERROR(__xludf.DUMMYFUNCTION("""COMPUTED_VALUE"""),1.0)</f>
        <v>1</v>
      </c>
      <c r="G185" s="1" t="str">
        <f>IFERROR(__xludf.DUMMYFUNCTION("""COMPUTED_VALUE"""),"PR006")</f>
        <v>PR006</v>
      </c>
      <c r="H185" s="1" t="str">
        <f>IFERROR(__xludf.DUMMYFUNCTION("""COMPUTED_VALUE"""),"VD030")</f>
        <v>VD030</v>
      </c>
      <c r="I185" s="1">
        <f>IFERROR(__xludf.DUMMYFUNCTION("""COMPUTED_VALUE"""),9.0)</f>
        <v>9</v>
      </c>
      <c r="J185" s="1">
        <f>IFERROR(__xludf.DUMMYFUNCTION("""COMPUTED_VALUE"""),395.01)</f>
        <v>395.01</v>
      </c>
      <c r="K185" s="1">
        <f>IFERROR(__xludf.DUMMYFUNCTION("""COMPUTED_VALUE"""),395.01)</f>
        <v>395.01</v>
      </c>
    </row>
    <row r="186">
      <c r="A186" s="1">
        <f>IFERROR(__xludf.DUMMYFUNCTION("""COMPUTED_VALUE"""),1000.0)</f>
        <v>1000</v>
      </c>
      <c r="B186" s="1">
        <f>IFERROR(__xludf.DUMMYFUNCTION("""COMPUTED_VALUE"""),183599.0)</f>
        <v>183599</v>
      </c>
      <c r="C186" s="1">
        <f>IFERROR(__xludf.DUMMYFUNCTION("""COMPUTED_VALUE"""),2026.0)</f>
        <v>2026</v>
      </c>
      <c r="D186" s="1">
        <f>IFERROR(__xludf.DUMMYFUNCTION("""COMPUTED_VALUE"""),46350.0)</f>
        <v>46350</v>
      </c>
      <c r="E186" s="1" t="str">
        <f>IFERROR(__xludf.DUMMYFUNCTION("""COMPUTED_VALUE"""),"VF")</f>
        <v>VF</v>
      </c>
      <c r="F186" s="1">
        <f>IFERROR(__xludf.DUMMYFUNCTION("""COMPUTED_VALUE"""),1.0)</f>
        <v>1</v>
      </c>
      <c r="G186" s="1" t="str">
        <f>IFERROR(__xludf.DUMMYFUNCTION("""COMPUTED_VALUE"""),"PR050")</f>
        <v>PR050</v>
      </c>
      <c r="H186" s="1" t="str">
        <f>IFERROR(__xludf.DUMMYFUNCTION("""COMPUTED_VALUE"""),"VD016")</f>
        <v>VD016</v>
      </c>
      <c r="I186" s="1">
        <f>IFERROR(__xludf.DUMMYFUNCTION("""COMPUTED_VALUE"""),27.0)</f>
        <v>27</v>
      </c>
      <c r="J186" s="1">
        <f>IFERROR(__xludf.DUMMYFUNCTION("""COMPUTED_VALUE"""),1030.43)</f>
        <v>1030.43</v>
      </c>
      <c r="K186" s="1">
        <f>IFERROR(__xludf.DUMMYFUNCTION("""COMPUTED_VALUE"""),1030.43)</f>
        <v>1030.43</v>
      </c>
    </row>
    <row r="187">
      <c r="A187" s="1">
        <f>IFERROR(__xludf.DUMMYFUNCTION("""COMPUTED_VALUE"""),1000.0)</f>
        <v>1000</v>
      </c>
      <c r="B187" s="1">
        <f>IFERROR(__xludf.DUMMYFUNCTION("""COMPUTED_VALUE"""),183600.0)</f>
        <v>183600</v>
      </c>
      <c r="C187" s="1">
        <f>IFERROR(__xludf.DUMMYFUNCTION("""COMPUTED_VALUE"""),2026.0)</f>
        <v>2026</v>
      </c>
      <c r="D187" s="1">
        <f>IFERROR(__xludf.DUMMYFUNCTION("""COMPUTED_VALUE"""),46350.0)</f>
        <v>46350</v>
      </c>
      <c r="E187" s="1" t="str">
        <f>IFERROR(__xludf.DUMMYFUNCTION("""COMPUTED_VALUE"""),"VF")</f>
        <v>VF</v>
      </c>
      <c r="F187" s="1">
        <f>IFERROR(__xludf.DUMMYFUNCTION("""COMPUTED_VALUE"""),1.0)</f>
        <v>1</v>
      </c>
      <c r="G187" s="1" t="str">
        <f>IFERROR(__xludf.DUMMYFUNCTION("""COMPUTED_VALUE"""),"PR019")</f>
        <v>PR019</v>
      </c>
      <c r="H187" s="1" t="str">
        <f>IFERROR(__xludf.DUMMYFUNCTION("""COMPUTED_VALUE"""),"VD042")</f>
        <v>VD042</v>
      </c>
      <c r="I187" s="1">
        <f>IFERROR(__xludf.DUMMYFUNCTION("""COMPUTED_VALUE"""),18.0)</f>
        <v>18</v>
      </c>
      <c r="J187" s="1">
        <f>IFERROR(__xludf.DUMMYFUNCTION("""COMPUTED_VALUE"""),1014.97)</f>
        <v>1014.97</v>
      </c>
      <c r="K187" s="1">
        <f>IFERROR(__xludf.DUMMYFUNCTION("""COMPUTED_VALUE"""),1014.97)</f>
        <v>1014.97</v>
      </c>
    </row>
    <row r="188">
      <c r="A188" s="1">
        <f>IFERROR(__xludf.DUMMYFUNCTION("""COMPUTED_VALUE"""),1000.0)</f>
        <v>1000</v>
      </c>
      <c r="B188" s="1">
        <f>IFERROR(__xludf.DUMMYFUNCTION("""COMPUTED_VALUE"""),183601.0)</f>
        <v>183601</v>
      </c>
      <c r="C188" s="1">
        <f>IFERROR(__xludf.DUMMYFUNCTION("""COMPUTED_VALUE"""),2026.0)</f>
        <v>2026</v>
      </c>
      <c r="D188" s="1">
        <f>IFERROR(__xludf.DUMMYFUNCTION("""COMPUTED_VALUE"""),46350.0)</f>
        <v>46350</v>
      </c>
      <c r="E188" s="1" t="str">
        <f>IFERROR(__xludf.DUMMYFUNCTION("""COMPUTED_VALUE"""),"VF")</f>
        <v>VF</v>
      </c>
      <c r="F188" s="1">
        <f>IFERROR(__xludf.DUMMYFUNCTION("""COMPUTED_VALUE"""),1.0)</f>
        <v>1</v>
      </c>
      <c r="G188" s="1" t="str">
        <f>IFERROR(__xludf.DUMMYFUNCTION("""COMPUTED_VALUE"""),"PR044")</f>
        <v>PR044</v>
      </c>
      <c r="H188" s="1" t="str">
        <f>IFERROR(__xludf.DUMMYFUNCTION("""COMPUTED_VALUE"""),"VD011")</f>
        <v>VD011</v>
      </c>
      <c r="I188" s="1">
        <f>IFERROR(__xludf.DUMMYFUNCTION("""COMPUTED_VALUE"""),27.0)</f>
        <v>27</v>
      </c>
      <c r="J188" s="1">
        <f>IFERROR(__xludf.DUMMYFUNCTION("""COMPUTED_VALUE"""),2153.25)</f>
        <v>2153.25</v>
      </c>
      <c r="K188" s="1">
        <f>IFERROR(__xludf.DUMMYFUNCTION("""COMPUTED_VALUE"""),2153.25)</f>
        <v>2153.25</v>
      </c>
    </row>
    <row r="189">
      <c r="A189" s="1">
        <f>IFERROR(__xludf.DUMMYFUNCTION("""COMPUTED_VALUE"""),1000.0)</f>
        <v>1000</v>
      </c>
      <c r="B189" s="1">
        <f>IFERROR(__xludf.DUMMYFUNCTION("""COMPUTED_VALUE"""),183602.0)</f>
        <v>183602</v>
      </c>
      <c r="C189" s="1">
        <f>IFERROR(__xludf.DUMMYFUNCTION("""COMPUTED_VALUE"""),2026.0)</f>
        <v>2026</v>
      </c>
      <c r="D189" s="1">
        <f>IFERROR(__xludf.DUMMYFUNCTION("""COMPUTED_VALUE"""),46350.0)</f>
        <v>46350</v>
      </c>
      <c r="E189" s="1" t="str">
        <f>IFERROR(__xludf.DUMMYFUNCTION("""COMPUTED_VALUE"""),"VF")</f>
        <v>VF</v>
      </c>
      <c r="F189" s="1">
        <f>IFERROR(__xludf.DUMMYFUNCTION("""COMPUTED_VALUE"""),1.0)</f>
        <v>1</v>
      </c>
      <c r="G189" s="1" t="str">
        <f>IFERROR(__xludf.DUMMYFUNCTION("""COMPUTED_VALUE"""),"PR017")</f>
        <v>PR017</v>
      </c>
      <c r="H189" s="1" t="str">
        <f>IFERROR(__xludf.DUMMYFUNCTION("""COMPUTED_VALUE"""),"VD019")</f>
        <v>VD019</v>
      </c>
      <c r="I189" s="1">
        <f>IFERROR(__xludf.DUMMYFUNCTION("""COMPUTED_VALUE"""),18.0)</f>
        <v>18</v>
      </c>
      <c r="J189" s="1">
        <f>IFERROR(__xludf.DUMMYFUNCTION("""COMPUTED_VALUE"""),613.55)</f>
        <v>613.55</v>
      </c>
      <c r="K189" s="1">
        <f>IFERROR(__xludf.DUMMYFUNCTION("""COMPUTED_VALUE"""),613.55)</f>
        <v>613.55</v>
      </c>
    </row>
    <row r="190">
      <c r="A190" s="1">
        <f>IFERROR(__xludf.DUMMYFUNCTION("""COMPUTED_VALUE"""),2000.0)</f>
        <v>2000</v>
      </c>
      <c r="B190" s="1">
        <f>IFERROR(__xludf.DUMMYFUNCTION("""COMPUTED_VALUE"""),183603.0)</f>
        <v>183603</v>
      </c>
      <c r="C190" s="1">
        <f>IFERROR(__xludf.DUMMYFUNCTION("""COMPUTED_VALUE"""),2026.0)</f>
        <v>2026</v>
      </c>
      <c r="D190" s="1">
        <f>IFERROR(__xludf.DUMMYFUNCTION("""COMPUTED_VALUE"""),46349.0)</f>
        <v>46349</v>
      </c>
      <c r="E190" s="1" t="str">
        <f>IFERROR(__xludf.DUMMYFUNCTION("""COMPUTED_VALUE"""),"VF")</f>
        <v>VF</v>
      </c>
      <c r="F190" s="1">
        <f>IFERROR(__xludf.DUMMYFUNCTION("""COMPUTED_VALUE"""),1.0)</f>
        <v>1</v>
      </c>
      <c r="G190" s="1" t="str">
        <f>IFERROR(__xludf.DUMMYFUNCTION("""COMPUTED_VALUE"""),"PR004")</f>
        <v>PR004</v>
      </c>
      <c r="H190" s="1" t="str">
        <f>IFERROR(__xludf.DUMMYFUNCTION("""COMPUTED_VALUE"""),"VD033")</f>
        <v>VD033</v>
      </c>
      <c r="I190" s="1">
        <f>IFERROR(__xludf.DUMMYFUNCTION("""COMPUTED_VALUE"""),24.0)</f>
        <v>24</v>
      </c>
      <c r="J190" s="1">
        <f>IFERROR(__xludf.DUMMYFUNCTION("""COMPUTED_VALUE"""),4141.2)</f>
        <v>4141.2</v>
      </c>
      <c r="K190" s="1">
        <f>IFERROR(__xludf.DUMMYFUNCTION("""COMPUTED_VALUE"""),4141.2)</f>
        <v>4141.2</v>
      </c>
    </row>
    <row r="191">
      <c r="A191" s="1">
        <f>IFERROR(__xludf.DUMMYFUNCTION("""COMPUTED_VALUE"""),2000.0)</f>
        <v>2000</v>
      </c>
      <c r="B191" s="1">
        <f>IFERROR(__xludf.DUMMYFUNCTION("""COMPUTED_VALUE"""),183604.0)</f>
        <v>183604</v>
      </c>
      <c r="C191" s="1">
        <f>IFERROR(__xludf.DUMMYFUNCTION("""COMPUTED_VALUE"""),2026.0)</f>
        <v>2026</v>
      </c>
      <c r="D191" s="1">
        <f>IFERROR(__xludf.DUMMYFUNCTION("""COMPUTED_VALUE"""),46349.0)</f>
        <v>46349</v>
      </c>
      <c r="E191" s="1" t="str">
        <f>IFERROR(__xludf.DUMMYFUNCTION("""COMPUTED_VALUE"""),"VF")</f>
        <v>VF</v>
      </c>
      <c r="F191" s="1">
        <f>IFERROR(__xludf.DUMMYFUNCTION("""COMPUTED_VALUE"""),1.0)</f>
        <v>1</v>
      </c>
      <c r="G191" s="1" t="str">
        <f>IFERROR(__xludf.DUMMYFUNCTION("""COMPUTED_VALUE"""),"PR059")</f>
        <v>PR059</v>
      </c>
      <c r="H191" s="1" t="str">
        <f>IFERROR(__xludf.DUMMYFUNCTION("""COMPUTED_VALUE"""),"VD028")</f>
        <v>VD028</v>
      </c>
      <c r="I191" s="1">
        <f>IFERROR(__xludf.DUMMYFUNCTION("""COMPUTED_VALUE"""),12.0)</f>
        <v>12</v>
      </c>
      <c r="J191" s="1">
        <f>IFERROR(__xludf.DUMMYFUNCTION("""COMPUTED_VALUE"""),2527.2)</f>
        <v>2527.2</v>
      </c>
      <c r="K191" s="1">
        <f>IFERROR(__xludf.DUMMYFUNCTION("""COMPUTED_VALUE"""),2527.2)</f>
        <v>2527.2</v>
      </c>
    </row>
    <row r="192">
      <c r="A192" s="1">
        <f>IFERROR(__xludf.DUMMYFUNCTION("""COMPUTED_VALUE"""),2000.0)</f>
        <v>2000</v>
      </c>
      <c r="B192" s="1">
        <f>IFERROR(__xludf.DUMMYFUNCTION("""COMPUTED_VALUE"""),183605.0)</f>
        <v>183605</v>
      </c>
      <c r="C192" s="1">
        <f>IFERROR(__xludf.DUMMYFUNCTION("""COMPUTED_VALUE"""),2026.0)</f>
        <v>2026</v>
      </c>
      <c r="D192" s="1">
        <f>IFERROR(__xludf.DUMMYFUNCTION("""COMPUTED_VALUE"""),46349.0)</f>
        <v>46349</v>
      </c>
      <c r="E192" s="1" t="str">
        <f>IFERROR(__xludf.DUMMYFUNCTION("""COMPUTED_VALUE"""),"VF")</f>
        <v>VF</v>
      </c>
      <c r="F192" s="1">
        <f>IFERROR(__xludf.DUMMYFUNCTION("""COMPUTED_VALUE"""),1.0)</f>
        <v>1</v>
      </c>
      <c r="G192" s="1" t="str">
        <f>IFERROR(__xludf.DUMMYFUNCTION("""COMPUTED_VALUE"""),"PR003")</f>
        <v>PR003</v>
      </c>
      <c r="H192" s="1" t="str">
        <f>IFERROR(__xludf.DUMMYFUNCTION("""COMPUTED_VALUE"""),"VD040")</f>
        <v>VD040</v>
      </c>
      <c r="I192" s="1">
        <f>IFERROR(__xludf.DUMMYFUNCTION("""COMPUTED_VALUE"""),16.0)</f>
        <v>16</v>
      </c>
      <c r="J192" s="1">
        <f>IFERROR(__xludf.DUMMYFUNCTION("""COMPUTED_VALUE"""),1247.84)</f>
        <v>1247.84</v>
      </c>
      <c r="K192" s="1">
        <f>IFERROR(__xludf.DUMMYFUNCTION("""COMPUTED_VALUE"""),1247.84)</f>
        <v>1247.84</v>
      </c>
    </row>
    <row r="193">
      <c r="A193" s="1">
        <f>IFERROR(__xludf.DUMMYFUNCTION("""COMPUTED_VALUE"""),2000.0)</f>
        <v>2000</v>
      </c>
      <c r="B193" s="1">
        <f>IFERROR(__xludf.DUMMYFUNCTION("""COMPUTED_VALUE"""),183606.0)</f>
        <v>183606</v>
      </c>
      <c r="C193" s="1">
        <f>IFERROR(__xludf.DUMMYFUNCTION("""COMPUTED_VALUE"""),2026.0)</f>
        <v>2026</v>
      </c>
      <c r="D193" s="1">
        <f>IFERROR(__xludf.DUMMYFUNCTION("""COMPUTED_VALUE"""),46348.0)</f>
        <v>46348</v>
      </c>
      <c r="E193" s="1" t="str">
        <f>IFERROR(__xludf.DUMMYFUNCTION("""COMPUTED_VALUE"""),"VF")</f>
        <v>VF</v>
      </c>
      <c r="F193" s="1">
        <f>IFERROR(__xludf.DUMMYFUNCTION("""COMPUTED_VALUE"""),1.0)</f>
        <v>1</v>
      </c>
      <c r="G193" s="1" t="str">
        <f>IFERROR(__xludf.DUMMYFUNCTION("""COMPUTED_VALUE"""),"PR055")</f>
        <v>PR055</v>
      </c>
      <c r="H193" s="1" t="str">
        <f>IFERROR(__xludf.DUMMYFUNCTION("""COMPUTED_VALUE"""),"VD018")</f>
        <v>VD018</v>
      </c>
      <c r="I193" s="1">
        <f>IFERROR(__xludf.DUMMYFUNCTION("""COMPUTED_VALUE"""),14.0)</f>
        <v>14</v>
      </c>
      <c r="J193" s="1">
        <f>IFERROR(__xludf.DUMMYFUNCTION("""COMPUTED_VALUE"""),1485.15)</f>
        <v>1485.15</v>
      </c>
      <c r="K193" s="1">
        <f>IFERROR(__xludf.DUMMYFUNCTION("""COMPUTED_VALUE"""),1485.15)</f>
        <v>1485.15</v>
      </c>
    </row>
    <row r="194">
      <c r="A194" s="1">
        <f>IFERROR(__xludf.DUMMYFUNCTION("""COMPUTED_VALUE"""),2000.0)</f>
        <v>2000</v>
      </c>
      <c r="B194" s="1">
        <f>IFERROR(__xludf.DUMMYFUNCTION("""COMPUTED_VALUE"""),183607.0)</f>
        <v>183607</v>
      </c>
      <c r="C194" s="1">
        <f>IFERROR(__xludf.DUMMYFUNCTION("""COMPUTED_VALUE"""),2026.0)</f>
        <v>2026</v>
      </c>
      <c r="D194" s="1">
        <f>IFERROR(__xludf.DUMMYFUNCTION("""COMPUTED_VALUE"""),46348.0)</f>
        <v>46348</v>
      </c>
      <c r="E194" s="1" t="str">
        <f>IFERROR(__xludf.DUMMYFUNCTION("""COMPUTED_VALUE"""),"VF")</f>
        <v>VF</v>
      </c>
      <c r="F194" s="1">
        <f>IFERROR(__xludf.DUMMYFUNCTION("""COMPUTED_VALUE"""),1.0)</f>
        <v>1</v>
      </c>
      <c r="G194" s="1" t="str">
        <f>IFERROR(__xludf.DUMMYFUNCTION("""COMPUTED_VALUE"""),"PR041")</f>
        <v>PR041</v>
      </c>
      <c r="H194" s="1" t="str">
        <f>IFERROR(__xludf.DUMMYFUNCTION("""COMPUTED_VALUE"""),"VD031")</f>
        <v>VD031</v>
      </c>
      <c r="I194" s="1">
        <f>IFERROR(__xludf.DUMMYFUNCTION("""COMPUTED_VALUE"""),21.0)</f>
        <v>21</v>
      </c>
      <c r="J194" s="1">
        <f>IFERROR(__xludf.DUMMYFUNCTION("""COMPUTED_VALUE"""),1314.31)</f>
        <v>1314.31</v>
      </c>
      <c r="K194" s="1">
        <f>IFERROR(__xludf.DUMMYFUNCTION("""COMPUTED_VALUE"""),1314.31)</f>
        <v>1314.31</v>
      </c>
    </row>
    <row r="195">
      <c r="A195" s="1">
        <f>IFERROR(__xludf.DUMMYFUNCTION("""COMPUTED_VALUE"""),1000.0)</f>
        <v>1000</v>
      </c>
      <c r="B195" s="1">
        <f>IFERROR(__xludf.DUMMYFUNCTION("""COMPUTED_VALUE"""),183608.0)</f>
        <v>183608</v>
      </c>
      <c r="C195" s="1">
        <f>IFERROR(__xludf.DUMMYFUNCTION("""COMPUTED_VALUE"""),2026.0)</f>
        <v>2026</v>
      </c>
      <c r="D195" s="1">
        <f>IFERROR(__xludf.DUMMYFUNCTION("""COMPUTED_VALUE"""),46348.0)</f>
        <v>46348</v>
      </c>
      <c r="E195" s="1" t="str">
        <f>IFERROR(__xludf.DUMMYFUNCTION("""COMPUTED_VALUE"""),"VF")</f>
        <v>VF</v>
      </c>
      <c r="F195" s="1">
        <f>IFERROR(__xludf.DUMMYFUNCTION("""COMPUTED_VALUE"""),1.0)</f>
        <v>1</v>
      </c>
      <c r="G195" s="1" t="str">
        <f>IFERROR(__xludf.DUMMYFUNCTION("""COMPUTED_VALUE"""),"PR056")</f>
        <v>PR056</v>
      </c>
      <c r="H195" s="1" t="str">
        <f>IFERROR(__xludf.DUMMYFUNCTION("""COMPUTED_VALUE"""),"VD040")</f>
        <v>VD040</v>
      </c>
      <c r="I195" s="1">
        <f>IFERROR(__xludf.DUMMYFUNCTION("""COMPUTED_VALUE"""),16.0)</f>
        <v>16</v>
      </c>
      <c r="J195" s="1">
        <f>IFERROR(__xludf.DUMMYFUNCTION("""COMPUTED_VALUE"""),1639.78)</f>
        <v>1639.78</v>
      </c>
      <c r="K195" s="1">
        <f>IFERROR(__xludf.DUMMYFUNCTION("""COMPUTED_VALUE"""),1639.78)</f>
        <v>1639.78</v>
      </c>
    </row>
    <row r="196">
      <c r="A196" s="1">
        <f>IFERROR(__xludf.DUMMYFUNCTION("""COMPUTED_VALUE"""),1000.0)</f>
        <v>1000</v>
      </c>
      <c r="B196" s="1">
        <f>IFERROR(__xludf.DUMMYFUNCTION("""COMPUTED_VALUE"""),183609.0)</f>
        <v>183609</v>
      </c>
      <c r="C196" s="1">
        <f>IFERROR(__xludf.DUMMYFUNCTION("""COMPUTED_VALUE"""),2026.0)</f>
        <v>2026</v>
      </c>
      <c r="D196" s="1">
        <f>IFERROR(__xludf.DUMMYFUNCTION("""COMPUTED_VALUE"""),46348.0)</f>
        <v>46348</v>
      </c>
      <c r="E196" s="1" t="str">
        <f>IFERROR(__xludf.DUMMYFUNCTION("""COMPUTED_VALUE"""),"VF")</f>
        <v>VF</v>
      </c>
      <c r="F196" s="1">
        <f>IFERROR(__xludf.DUMMYFUNCTION("""COMPUTED_VALUE"""),1.0)</f>
        <v>1</v>
      </c>
      <c r="G196" s="1" t="str">
        <f>IFERROR(__xludf.DUMMYFUNCTION("""COMPUTED_VALUE"""),"PR038")</f>
        <v>PR038</v>
      </c>
      <c r="H196" s="1" t="str">
        <f>IFERROR(__xludf.DUMMYFUNCTION("""COMPUTED_VALUE"""),"VD028")</f>
        <v>VD028</v>
      </c>
      <c r="I196" s="1">
        <f>IFERROR(__xludf.DUMMYFUNCTION("""COMPUTED_VALUE"""),24.0)</f>
        <v>24</v>
      </c>
      <c r="J196" s="1">
        <f>IFERROR(__xludf.DUMMYFUNCTION("""COMPUTED_VALUE"""),3772.56)</f>
        <v>3772.56</v>
      </c>
      <c r="K196" s="1">
        <f>IFERROR(__xludf.DUMMYFUNCTION("""COMPUTED_VALUE"""),3772.56)</f>
        <v>3772.56</v>
      </c>
    </row>
    <row r="197">
      <c r="A197" s="1">
        <f>IFERROR(__xludf.DUMMYFUNCTION("""COMPUTED_VALUE"""),1000.0)</f>
        <v>1000</v>
      </c>
      <c r="B197" s="1">
        <f>IFERROR(__xludf.DUMMYFUNCTION("""COMPUTED_VALUE"""),183610.0)</f>
        <v>183610</v>
      </c>
      <c r="C197" s="1">
        <f>IFERROR(__xludf.DUMMYFUNCTION("""COMPUTED_VALUE"""),2026.0)</f>
        <v>2026</v>
      </c>
      <c r="D197" s="1">
        <f>IFERROR(__xludf.DUMMYFUNCTION("""COMPUTED_VALUE"""),46348.0)</f>
        <v>46348</v>
      </c>
      <c r="E197" s="1" t="str">
        <f>IFERROR(__xludf.DUMMYFUNCTION("""COMPUTED_VALUE"""),"VF")</f>
        <v>VF</v>
      </c>
      <c r="F197" s="1">
        <f>IFERROR(__xludf.DUMMYFUNCTION("""COMPUTED_VALUE"""),1.0)</f>
        <v>1</v>
      </c>
      <c r="G197" s="1" t="str">
        <f>IFERROR(__xludf.DUMMYFUNCTION("""COMPUTED_VALUE"""),"PR022")</f>
        <v>PR022</v>
      </c>
      <c r="H197" s="1" t="str">
        <f>IFERROR(__xludf.DUMMYFUNCTION("""COMPUTED_VALUE"""),"VD045")</f>
        <v>VD045</v>
      </c>
      <c r="I197" s="1">
        <f>IFERROR(__xludf.DUMMYFUNCTION("""COMPUTED_VALUE"""),21.0)</f>
        <v>21</v>
      </c>
      <c r="J197" s="1">
        <f>IFERROR(__xludf.DUMMYFUNCTION("""COMPUTED_VALUE"""),7371.0)</f>
        <v>7371</v>
      </c>
      <c r="K197" s="1">
        <f>IFERROR(__xludf.DUMMYFUNCTION("""COMPUTED_VALUE"""),7371.0)</f>
        <v>7371</v>
      </c>
    </row>
    <row r="198">
      <c r="A198" s="1">
        <f>IFERROR(__xludf.DUMMYFUNCTION("""COMPUTED_VALUE"""),1000.0)</f>
        <v>1000</v>
      </c>
      <c r="B198" s="1">
        <f>IFERROR(__xludf.DUMMYFUNCTION("""COMPUTED_VALUE"""),183610.0)</f>
        <v>183610</v>
      </c>
      <c r="C198" s="1">
        <f>IFERROR(__xludf.DUMMYFUNCTION("""COMPUTED_VALUE"""),2026.0)</f>
        <v>2026</v>
      </c>
      <c r="D198" s="1">
        <f>IFERROR(__xludf.DUMMYFUNCTION("""COMPUTED_VALUE"""),46348.0)</f>
        <v>46348</v>
      </c>
      <c r="E198" s="1" t="str">
        <f>IFERROR(__xludf.DUMMYFUNCTION("""COMPUTED_VALUE"""),"VF")</f>
        <v>VF</v>
      </c>
      <c r="F198" s="1">
        <f>IFERROR(__xludf.DUMMYFUNCTION("""COMPUTED_VALUE"""),2.0)</f>
        <v>2</v>
      </c>
      <c r="G198" s="1" t="str">
        <f>IFERROR(__xludf.DUMMYFUNCTION("""COMPUTED_VALUE"""),"PR023")</f>
        <v>PR023</v>
      </c>
      <c r="H198" s="1" t="str">
        <f>IFERROR(__xludf.DUMMYFUNCTION("""COMPUTED_VALUE"""),"VD024")</f>
        <v>VD024</v>
      </c>
      <c r="I198" s="1">
        <f>IFERROR(__xludf.DUMMYFUNCTION("""COMPUTED_VALUE"""),14.0)</f>
        <v>14</v>
      </c>
      <c r="J198" s="1">
        <f>IFERROR(__xludf.DUMMYFUNCTION("""COMPUTED_VALUE"""),4093.36)</f>
        <v>4093.36</v>
      </c>
      <c r="K198" s="1">
        <f>IFERROR(__xludf.DUMMYFUNCTION("""COMPUTED_VALUE"""),4093.36)</f>
        <v>4093.36</v>
      </c>
    </row>
    <row r="199">
      <c r="A199" s="1">
        <f>IFERROR(__xludf.DUMMYFUNCTION("""COMPUTED_VALUE"""),2000.0)</f>
        <v>2000</v>
      </c>
      <c r="B199" s="1">
        <f>IFERROR(__xludf.DUMMYFUNCTION("""COMPUTED_VALUE"""),183611.0)</f>
        <v>183611</v>
      </c>
      <c r="C199" s="1">
        <f>IFERROR(__xludf.DUMMYFUNCTION("""COMPUTED_VALUE"""),2026.0)</f>
        <v>2026</v>
      </c>
      <c r="D199" s="1">
        <f>IFERROR(__xludf.DUMMYFUNCTION("""COMPUTED_VALUE"""),46348.0)</f>
        <v>46348</v>
      </c>
      <c r="E199" s="1" t="str">
        <f>IFERROR(__xludf.DUMMYFUNCTION("""COMPUTED_VALUE"""),"VF")</f>
        <v>VF</v>
      </c>
      <c r="F199" s="1">
        <f>IFERROR(__xludf.DUMMYFUNCTION("""COMPUTED_VALUE"""),1.0)</f>
        <v>1</v>
      </c>
      <c r="G199" s="1" t="str">
        <f>IFERROR(__xludf.DUMMYFUNCTION("""COMPUTED_VALUE"""),"PR053")</f>
        <v>PR053</v>
      </c>
      <c r="H199" s="1" t="str">
        <f>IFERROR(__xludf.DUMMYFUNCTION("""COMPUTED_VALUE"""),"VD019")</f>
        <v>VD019</v>
      </c>
      <c r="I199" s="1">
        <f>IFERROR(__xludf.DUMMYFUNCTION("""COMPUTED_VALUE"""),21.0)</f>
        <v>21</v>
      </c>
      <c r="J199" s="1">
        <f>IFERROR(__xludf.DUMMYFUNCTION("""COMPUTED_VALUE"""),1152.69)</f>
        <v>1152.69</v>
      </c>
      <c r="K199" s="1">
        <f>IFERROR(__xludf.DUMMYFUNCTION("""COMPUTED_VALUE"""),1152.69)</f>
        <v>1152.69</v>
      </c>
    </row>
    <row r="200">
      <c r="A200" s="1">
        <f>IFERROR(__xludf.DUMMYFUNCTION("""COMPUTED_VALUE"""),2000.0)</f>
        <v>2000</v>
      </c>
      <c r="B200" s="1">
        <f>IFERROR(__xludf.DUMMYFUNCTION("""COMPUTED_VALUE"""),183611.0)</f>
        <v>183611</v>
      </c>
      <c r="C200" s="1">
        <f>IFERROR(__xludf.DUMMYFUNCTION("""COMPUTED_VALUE"""),2026.0)</f>
        <v>2026</v>
      </c>
      <c r="D200" s="1">
        <f>IFERROR(__xludf.DUMMYFUNCTION("""COMPUTED_VALUE"""),46347.0)</f>
        <v>46347</v>
      </c>
      <c r="E200" s="1" t="str">
        <f>IFERROR(__xludf.DUMMYFUNCTION("""COMPUTED_VALUE"""),"VF")</f>
        <v>VF</v>
      </c>
      <c r="F200" s="1">
        <f>IFERROR(__xludf.DUMMYFUNCTION("""COMPUTED_VALUE"""),2.0)</f>
        <v>2</v>
      </c>
      <c r="G200" s="1" t="str">
        <f>IFERROR(__xludf.DUMMYFUNCTION("""COMPUTED_VALUE"""),"PR046")</f>
        <v>PR046</v>
      </c>
      <c r="H200" s="1" t="str">
        <f>IFERROR(__xludf.DUMMYFUNCTION("""COMPUTED_VALUE"""),"VD047")</f>
        <v>VD047</v>
      </c>
      <c r="I200" s="1">
        <f>IFERROR(__xludf.DUMMYFUNCTION("""COMPUTED_VALUE"""),16.0)</f>
        <v>16</v>
      </c>
      <c r="J200" s="1">
        <f>IFERROR(__xludf.DUMMYFUNCTION("""COMPUTED_VALUE"""),5566.08)</f>
        <v>5566.08</v>
      </c>
      <c r="K200" s="1">
        <f>IFERROR(__xludf.DUMMYFUNCTION("""COMPUTED_VALUE"""),5566.08)</f>
        <v>5566.08</v>
      </c>
    </row>
    <row r="201">
      <c r="A201" s="1">
        <f>IFERROR(__xludf.DUMMYFUNCTION("""COMPUTED_VALUE"""),1000.0)</f>
        <v>1000</v>
      </c>
      <c r="B201" s="1">
        <f>IFERROR(__xludf.DUMMYFUNCTION("""COMPUTED_VALUE"""),183612.0)</f>
        <v>183612</v>
      </c>
      <c r="C201" s="1">
        <f>IFERROR(__xludf.DUMMYFUNCTION("""COMPUTED_VALUE"""),2026.0)</f>
        <v>2026</v>
      </c>
      <c r="D201" s="1">
        <f>IFERROR(__xludf.DUMMYFUNCTION("""COMPUTED_VALUE"""),46347.0)</f>
        <v>46347</v>
      </c>
      <c r="E201" s="1" t="str">
        <f>IFERROR(__xludf.DUMMYFUNCTION("""COMPUTED_VALUE"""),"VF")</f>
        <v>VF</v>
      </c>
      <c r="F201" s="1">
        <f>IFERROR(__xludf.DUMMYFUNCTION("""COMPUTED_VALUE"""),1.0)</f>
        <v>1</v>
      </c>
      <c r="G201" s="1" t="str">
        <f>IFERROR(__xludf.DUMMYFUNCTION("""COMPUTED_VALUE"""),"PR048")</f>
        <v>PR048</v>
      </c>
      <c r="H201" s="1" t="str">
        <f>IFERROR(__xludf.DUMMYFUNCTION("""COMPUTED_VALUE"""),"VD027")</f>
        <v>VD027</v>
      </c>
      <c r="I201" s="1">
        <f>IFERROR(__xludf.DUMMYFUNCTION("""COMPUTED_VALUE"""),27.0)</f>
        <v>27</v>
      </c>
      <c r="J201" s="1">
        <f>IFERROR(__xludf.DUMMYFUNCTION("""COMPUTED_VALUE"""),9392.76)</f>
        <v>9392.76</v>
      </c>
      <c r="K201" s="1">
        <f>IFERROR(__xludf.DUMMYFUNCTION("""COMPUTED_VALUE"""),9392.76)</f>
        <v>9392.76</v>
      </c>
    </row>
    <row r="202">
      <c r="A202" s="1">
        <f>IFERROR(__xludf.DUMMYFUNCTION("""COMPUTED_VALUE"""),1000.0)</f>
        <v>1000</v>
      </c>
      <c r="B202" s="1">
        <f>IFERROR(__xludf.DUMMYFUNCTION("""COMPUTED_VALUE"""),183612.0)</f>
        <v>183612</v>
      </c>
      <c r="C202" s="1">
        <f>IFERROR(__xludf.DUMMYFUNCTION("""COMPUTED_VALUE"""),2026.0)</f>
        <v>2026</v>
      </c>
      <c r="D202" s="1">
        <f>IFERROR(__xludf.DUMMYFUNCTION("""COMPUTED_VALUE"""),46346.0)</f>
        <v>46346</v>
      </c>
      <c r="E202" s="1" t="str">
        <f>IFERROR(__xludf.DUMMYFUNCTION("""COMPUTED_VALUE"""),"VF")</f>
        <v>VF</v>
      </c>
      <c r="F202" s="1">
        <f>IFERROR(__xludf.DUMMYFUNCTION("""COMPUTED_VALUE"""),2.0)</f>
        <v>2</v>
      </c>
      <c r="G202" s="1" t="str">
        <f>IFERROR(__xludf.DUMMYFUNCTION("""COMPUTED_VALUE"""),"PR055")</f>
        <v>PR055</v>
      </c>
      <c r="H202" s="1" t="str">
        <f>IFERROR(__xludf.DUMMYFUNCTION("""COMPUTED_VALUE"""),"VD033")</f>
        <v>VD033</v>
      </c>
      <c r="I202" s="1">
        <f>IFERROR(__xludf.DUMMYFUNCTION("""COMPUTED_VALUE"""),14.0)</f>
        <v>14</v>
      </c>
      <c r="J202" s="1">
        <f>IFERROR(__xludf.DUMMYFUNCTION("""COMPUTED_VALUE"""),1397.05)</f>
        <v>1397.05</v>
      </c>
      <c r="K202" s="1">
        <f>IFERROR(__xludf.DUMMYFUNCTION("""COMPUTED_VALUE"""),1397.05)</f>
        <v>1397.05</v>
      </c>
    </row>
    <row r="203">
      <c r="A203" s="1">
        <f>IFERROR(__xludf.DUMMYFUNCTION("""COMPUTED_VALUE"""),1000.0)</f>
        <v>1000</v>
      </c>
      <c r="B203" s="1">
        <f>IFERROR(__xludf.DUMMYFUNCTION("""COMPUTED_VALUE"""),183613.0)</f>
        <v>183613</v>
      </c>
      <c r="C203" s="1">
        <f>IFERROR(__xludf.DUMMYFUNCTION("""COMPUTED_VALUE"""),2026.0)</f>
        <v>2026</v>
      </c>
      <c r="D203" s="1">
        <f>IFERROR(__xludf.DUMMYFUNCTION("""COMPUTED_VALUE"""),46346.0)</f>
        <v>46346</v>
      </c>
      <c r="E203" s="1" t="str">
        <f>IFERROR(__xludf.DUMMYFUNCTION("""COMPUTED_VALUE"""),"VF")</f>
        <v>VF</v>
      </c>
      <c r="F203" s="1">
        <f>IFERROR(__xludf.DUMMYFUNCTION("""COMPUTED_VALUE"""),1.0)</f>
        <v>1</v>
      </c>
      <c r="G203" s="1" t="str">
        <f>IFERROR(__xludf.DUMMYFUNCTION("""COMPUTED_VALUE"""),"PR017")</f>
        <v>PR017</v>
      </c>
      <c r="H203" s="1" t="str">
        <f>IFERROR(__xludf.DUMMYFUNCTION("""COMPUTED_VALUE"""),"VD036")</f>
        <v>VD036</v>
      </c>
      <c r="I203" s="1">
        <f>IFERROR(__xludf.DUMMYFUNCTION("""COMPUTED_VALUE"""),21.0)</f>
        <v>21</v>
      </c>
      <c r="J203" s="1">
        <f>IFERROR(__xludf.DUMMYFUNCTION("""COMPUTED_VALUE"""),753.48)</f>
        <v>753.48</v>
      </c>
      <c r="K203" s="1">
        <f>IFERROR(__xludf.DUMMYFUNCTION("""COMPUTED_VALUE"""),753.48)</f>
        <v>753.48</v>
      </c>
    </row>
    <row r="204">
      <c r="A204" s="1">
        <f>IFERROR(__xludf.DUMMYFUNCTION("""COMPUTED_VALUE"""),2000.0)</f>
        <v>2000</v>
      </c>
      <c r="B204" s="1">
        <f>IFERROR(__xludf.DUMMYFUNCTION("""COMPUTED_VALUE"""),183613.0)</f>
        <v>183613</v>
      </c>
      <c r="C204" s="1">
        <f>IFERROR(__xludf.DUMMYFUNCTION("""COMPUTED_VALUE"""),2026.0)</f>
        <v>2026</v>
      </c>
      <c r="D204" s="1">
        <f>IFERROR(__xludf.DUMMYFUNCTION("""COMPUTED_VALUE"""),46346.0)</f>
        <v>46346</v>
      </c>
      <c r="E204" s="1" t="str">
        <f>IFERROR(__xludf.DUMMYFUNCTION("""COMPUTED_VALUE"""),"VF")</f>
        <v>VF</v>
      </c>
      <c r="F204" s="1">
        <f>IFERROR(__xludf.DUMMYFUNCTION("""COMPUTED_VALUE"""),2.0)</f>
        <v>2</v>
      </c>
      <c r="G204" s="1" t="str">
        <f>IFERROR(__xludf.DUMMYFUNCTION("""COMPUTED_VALUE"""),"PR029")</f>
        <v>PR029</v>
      </c>
      <c r="H204" s="1" t="str">
        <f>IFERROR(__xludf.DUMMYFUNCTION("""COMPUTED_VALUE"""),"VD035")</f>
        <v>VD035</v>
      </c>
      <c r="I204" s="1">
        <f>IFERROR(__xludf.DUMMYFUNCTION("""COMPUTED_VALUE"""),12.0)</f>
        <v>12</v>
      </c>
      <c r="J204" s="1">
        <f>IFERROR(__xludf.DUMMYFUNCTION("""COMPUTED_VALUE"""),3610.8)</f>
        <v>3610.8</v>
      </c>
      <c r="K204" s="1">
        <f>IFERROR(__xludf.DUMMYFUNCTION("""COMPUTED_VALUE"""),3610.8)</f>
        <v>3610.8</v>
      </c>
    </row>
    <row r="205">
      <c r="A205" s="1">
        <f>IFERROR(__xludf.DUMMYFUNCTION("""COMPUTED_VALUE"""),2000.0)</f>
        <v>2000</v>
      </c>
      <c r="B205" s="1">
        <f>IFERROR(__xludf.DUMMYFUNCTION("""COMPUTED_VALUE"""),183614.0)</f>
        <v>183614</v>
      </c>
      <c r="C205" s="1">
        <f>IFERROR(__xludf.DUMMYFUNCTION("""COMPUTED_VALUE"""),2026.0)</f>
        <v>2026</v>
      </c>
      <c r="D205" s="1">
        <f>IFERROR(__xludf.DUMMYFUNCTION("""COMPUTED_VALUE"""),46346.0)</f>
        <v>46346</v>
      </c>
      <c r="E205" s="1" t="str">
        <f>IFERROR(__xludf.DUMMYFUNCTION("""COMPUTED_VALUE"""),"VF")</f>
        <v>VF</v>
      </c>
      <c r="F205" s="1">
        <f>IFERROR(__xludf.DUMMYFUNCTION("""COMPUTED_VALUE"""),1.0)</f>
        <v>1</v>
      </c>
      <c r="G205" s="1" t="str">
        <f>IFERROR(__xludf.DUMMYFUNCTION("""COMPUTED_VALUE"""),"PR005")</f>
        <v>PR005</v>
      </c>
      <c r="H205" s="1" t="str">
        <f>IFERROR(__xludf.DUMMYFUNCTION("""COMPUTED_VALUE"""),"VD037")</f>
        <v>VD037</v>
      </c>
      <c r="I205" s="1">
        <f>IFERROR(__xludf.DUMMYFUNCTION("""COMPUTED_VALUE"""),20.0)</f>
        <v>20</v>
      </c>
      <c r="J205" s="1">
        <f>IFERROR(__xludf.DUMMYFUNCTION("""COMPUTED_VALUE"""),6185.62)</f>
        <v>6185.62</v>
      </c>
      <c r="K205" s="1">
        <f>IFERROR(__xludf.DUMMYFUNCTION("""COMPUTED_VALUE"""),6185.62)</f>
        <v>6185.62</v>
      </c>
    </row>
    <row r="206">
      <c r="A206" s="1">
        <f>IFERROR(__xludf.DUMMYFUNCTION("""COMPUTED_VALUE"""),2000.0)</f>
        <v>2000</v>
      </c>
      <c r="B206" s="1">
        <f>IFERROR(__xludf.DUMMYFUNCTION("""COMPUTED_VALUE"""),183615.0)</f>
        <v>183615</v>
      </c>
      <c r="C206" s="1">
        <f>IFERROR(__xludf.DUMMYFUNCTION("""COMPUTED_VALUE"""),2026.0)</f>
        <v>2026</v>
      </c>
      <c r="D206" s="1">
        <f>IFERROR(__xludf.DUMMYFUNCTION("""COMPUTED_VALUE"""),46346.0)</f>
        <v>46346</v>
      </c>
      <c r="E206" s="1" t="str">
        <f>IFERROR(__xludf.DUMMYFUNCTION("""COMPUTED_VALUE"""),"VF")</f>
        <v>VF</v>
      </c>
      <c r="F206" s="1">
        <f>IFERROR(__xludf.DUMMYFUNCTION("""COMPUTED_VALUE"""),1.0)</f>
        <v>1</v>
      </c>
      <c r="G206" s="1" t="str">
        <f>IFERROR(__xludf.DUMMYFUNCTION("""COMPUTED_VALUE"""),"PR058")</f>
        <v>PR058</v>
      </c>
      <c r="H206" s="1" t="str">
        <f>IFERROR(__xludf.DUMMYFUNCTION("""COMPUTED_VALUE"""),"VD048")</f>
        <v>VD048</v>
      </c>
      <c r="I206" s="1">
        <f>IFERROR(__xludf.DUMMYFUNCTION("""COMPUTED_VALUE"""),15.0)</f>
        <v>15</v>
      </c>
      <c r="J206" s="1">
        <f>IFERROR(__xludf.DUMMYFUNCTION("""COMPUTED_VALUE"""),3105.0)</f>
        <v>3105</v>
      </c>
      <c r="K206" s="1">
        <f>IFERROR(__xludf.DUMMYFUNCTION("""COMPUTED_VALUE"""),3105.0)</f>
        <v>3105</v>
      </c>
    </row>
    <row r="207">
      <c r="A207" s="1">
        <f>IFERROR(__xludf.DUMMYFUNCTION("""COMPUTED_VALUE"""),1000.0)</f>
        <v>1000</v>
      </c>
      <c r="B207" s="1">
        <f>IFERROR(__xludf.DUMMYFUNCTION("""COMPUTED_VALUE"""),183616.0)</f>
        <v>183616</v>
      </c>
      <c r="C207" s="1">
        <f>IFERROR(__xludf.DUMMYFUNCTION("""COMPUTED_VALUE"""),2026.0)</f>
        <v>2026</v>
      </c>
      <c r="D207" s="1">
        <f>IFERROR(__xludf.DUMMYFUNCTION("""COMPUTED_VALUE"""),46346.0)</f>
        <v>46346</v>
      </c>
      <c r="E207" s="1" t="str">
        <f>IFERROR(__xludf.DUMMYFUNCTION("""COMPUTED_VALUE"""),"VF")</f>
        <v>VF</v>
      </c>
      <c r="F207" s="1">
        <f>IFERROR(__xludf.DUMMYFUNCTION("""COMPUTED_VALUE"""),1.0)</f>
        <v>1</v>
      </c>
      <c r="G207" s="1" t="str">
        <f>IFERROR(__xludf.DUMMYFUNCTION("""COMPUTED_VALUE"""),"PR025")</f>
        <v>PR025</v>
      </c>
      <c r="H207" s="1" t="str">
        <f>IFERROR(__xludf.DUMMYFUNCTION("""COMPUTED_VALUE"""),"VD035")</f>
        <v>VD035</v>
      </c>
      <c r="I207" s="1">
        <f>IFERROR(__xludf.DUMMYFUNCTION("""COMPUTED_VALUE"""),12.0)</f>
        <v>12</v>
      </c>
      <c r="J207" s="1">
        <f>IFERROR(__xludf.DUMMYFUNCTION("""COMPUTED_VALUE"""),4102.63)</f>
        <v>4102.63</v>
      </c>
      <c r="K207" s="1">
        <f>IFERROR(__xludf.DUMMYFUNCTION("""COMPUTED_VALUE"""),4102.63)</f>
        <v>4102.63</v>
      </c>
    </row>
    <row r="208">
      <c r="A208" s="1">
        <f>IFERROR(__xludf.DUMMYFUNCTION("""COMPUTED_VALUE"""),1000.0)</f>
        <v>1000</v>
      </c>
      <c r="B208" s="1">
        <f>IFERROR(__xludf.DUMMYFUNCTION("""COMPUTED_VALUE"""),183617.0)</f>
        <v>183617</v>
      </c>
      <c r="C208" s="1">
        <f>IFERROR(__xludf.DUMMYFUNCTION("""COMPUTED_VALUE"""),2026.0)</f>
        <v>2026</v>
      </c>
      <c r="D208" s="1">
        <f>IFERROR(__xludf.DUMMYFUNCTION("""COMPUTED_VALUE"""),46346.0)</f>
        <v>46346</v>
      </c>
      <c r="E208" s="1" t="str">
        <f>IFERROR(__xludf.DUMMYFUNCTION("""COMPUTED_VALUE"""),"VF")</f>
        <v>VF</v>
      </c>
      <c r="F208" s="1">
        <f>IFERROR(__xludf.DUMMYFUNCTION("""COMPUTED_VALUE"""),1.0)</f>
        <v>1</v>
      </c>
      <c r="G208" s="1" t="str">
        <f>IFERROR(__xludf.DUMMYFUNCTION("""COMPUTED_VALUE"""),"PR042")</f>
        <v>PR042</v>
      </c>
      <c r="H208" s="1" t="str">
        <f>IFERROR(__xludf.DUMMYFUNCTION("""COMPUTED_VALUE"""),"VD017")</f>
        <v>VD017</v>
      </c>
      <c r="I208" s="1">
        <f>IFERROR(__xludf.DUMMYFUNCTION("""COMPUTED_VALUE"""),3.0)</f>
        <v>3</v>
      </c>
      <c r="J208" s="1">
        <f>IFERROR(__xludf.DUMMYFUNCTION("""COMPUTED_VALUE"""),197.64)</f>
        <v>197.64</v>
      </c>
      <c r="K208" s="1">
        <f>IFERROR(__xludf.DUMMYFUNCTION("""COMPUTED_VALUE"""),197.64)</f>
        <v>197.64</v>
      </c>
    </row>
    <row r="209">
      <c r="A209" s="1">
        <f>IFERROR(__xludf.DUMMYFUNCTION("""COMPUTED_VALUE"""),2000.0)</f>
        <v>2000</v>
      </c>
      <c r="B209" s="1">
        <f>IFERROR(__xludf.DUMMYFUNCTION("""COMPUTED_VALUE"""),183617.0)</f>
        <v>183617</v>
      </c>
      <c r="C209" s="1">
        <f>IFERROR(__xludf.DUMMYFUNCTION("""COMPUTED_VALUE"""),2026.0)</f>
        <v>2026</v>
      </c>
      <c r="D209" s="1">
        <f>IFERROR(__xludf.DUMMYFUNCTION("""COMPUTED_VALUE"""),46346.0)</f>
        <v>46346</v>
      </c>
      <c r="E209" s="1" t="str">
        <f>IFERROR(__xludf.DUMMYFUNCTION("""COMPUTED_VALUE"""),"VF")</f>
        <v>VF</v>
      </c>
      <c r="F209" s="1">
        <f>IFERROR(__xludf.DUMMYFUNCTION("""COMPUTED_VALUE"""),2.0)</f>
        <v>2</v>
      </c>
      <c r="G209" s="1" t="str">
        <f>IFERROR(__xludf.DUMMYFUNCTION("""COMPUTED_VALUE"""),"PR046")</f>
        <v>PR046</v>
      </c>
      <c r="H209" s="1" t="str">
        <f>IFERROR(__xludf.DUMMYFUNCTION("""COMPUTED_VALUE"""),"VD039")</f>
        <v>VD039</v>
      </c>
      <c r="I209" s="1">
        <f>IFERROR(__xludf.DUMMYFUNCTION("""COMPUTED_VALUE"""),15.0)</f>
        <v>15</v>
      </c>
      <c r="J209" s="1">
        <f>IFERROR(__xludf.DUMMYFUNCTION("""COMPUTED_VALUE"""),4870.32)</f>
        <v>4870.32</v>
      </c>
      <c r="K209" s="1">
        <f>IFERROR(__xludf.DUMMYFUNCTION("""COMPUTED_VALUE"""),4870.32)</f>
        <v>4870.32</v>
      </c>
    </row>
    <row r="210">
      <c r="A210" s="1">
        <f>IFERROR(__xludf.DUMMYFUNCTION("""COMPUTED_VALUE"""),1000.0)</f>
        <v>1000</v>
      </c>
      <c r="B210" s="1">
        <f>IFERROR(__xludf.DUMMYFUNCTION("""COMPUTED_VALUE"""),183618.0)</f>
        <v>183618</v>
      </c>
      <c r="C210" s="1">
        <f>IFERROR(__xludf.DUMMYFUNCTION("""COMPUTED_VALUE"""),2026.0)</f>
        <v>2026</v>
      </c>
      <c r="D210" s="1">
        <f>IFERROR(__xludf.DUMMYFUNCTION("""COMPUTED_VALUE"""),46345.0)</f>
        <v>46345</v>
      </c>
      <c r="E210" s="1" t="str">
        <f>IFERROR(__xludf.DUMMYFUNCTION("""COMPUTED_VALUE"""),"VF")</f>
        <v>VF</v>
      </c>
      <c r="F210" s="1">
        <f>IFERROR(__xludf.DUMMYFUNCTION("""COMPUTED_VALUE"""),1.0)</f>
        <v>1</v>
      </c>
      <c r="G210" s="1" t="str">
        <f>IFERROR(__xludf.DUMMYFUNCTION("""COMPUTED_VALUE"""),"PR006")</f>
        <v>PR006</v>
      </c>
      <c r="H210" s="1" t="str">
        <f>IFERROR(__xludf.DUMMYFUNCTION("""COMPUTED_VALUE"""),"VD044")</f>
        <v>VD044</v>
      </c>
      <c r="I210" s="1">
        <f>IFERROR(__xludf.DUMMYFUNCTION("""COMPUTED_VALUE"""),27.0)</f>
        <v>27</v>
      </c>
      <c r="J210" s="1">
        <f>IFERROR(__xludf.DUMMYFUNCTION("""COMPUTED_VALUE"""),1238.9)</f>
        <v>1238.9</v>
      </c>
      <c r="K210" s="1">
        <f>IFERROR(__xludf.DUMMYFUNCTION("""COMPUTED_VALUE"""),1238.9)</f>
        <v>1238.9</v>
      </c>
    </row>
    <row r="211">
      <c r="A211" s="1">
        <f>IFERROR(__xludf.DUMMYFUNCTION("""COMPUTED_VALUE"""),1000.0)</f>
        <v>1000</v>
      </c>
      <c r="B211" s="1">
        <f>IFERROR(__xludf.DUMMYFUNCTION("""COMPUTED_VALUE"""),183619.0)</f>
        <v>183619</v>
      </c>
      <c r="C211" s="1">
        <f>IFERROR(__xludf.DUMMYFUNCTION("""COMPUTED_VALUE"""),2026.0)</f>
        <v>2026</v>
      </c>
      <c r="D211" s="1">
        <f>IFERROR(__xludf.DUMMYFUNCTION("""COMPUTED_VALUE"""),46345.0)</f>
        <v>46345</v>
      </c>
      <c r="E211" s="1" t="str">
        <f>IFERROR(__xludf.DUMMYFUNCTION("""COMPUTED_VALUE"""),"VF")</f>
        <v>VF</v>
      </c>
      <c r="F211" s="1">
        <f>IFERROR(__xludf.DUMMYFUNCTION("""COMPUTED_VALUE"""),1.0)</f>
        <v>1</v>
      </c>
      <c r="G211" s="1" t="str">
        <f>IFERROR(__xludf.DUMMYFUNCTION("""COMPUTED_VALUE"""),"PR053")</f>
        <v>PR053</v>
      </c>
      <c r="H211" s="1" t="str">
        <f>IFERROR(__xludf.DUMMYFUNCTION("""COMPUTED_VALUE"""),"VD047")</f>
        <v>VD047</v>
      </c>
      <c r="I211" s="1">
        <f>IFERROR(__xludf.DUMMYFUNCTION("""COMPUTED_VALUE"""),12.0)</f>
        <v>12</v>
      </c>
      <c r="J211" s="1">
        <f>IFERROR(__xludf.DUMMYFUNCTION("""COMPUTED_VALUE"""),676.64)</f>
        <v>676.64</v>
      </c>
      <c r="K211" s="1">
        <f>IFERROR(__xludf.DUMMYFUNCTION("""COMPUTED_VALUE"""),676.64)</f>
        <v>676.64</v>
      </c>
    </row>
    <row r="212">
      <c r="A212" s="1">
        <f>IFERROR(__xludf.DUMMYFUNCTION("""COMPUTED_VALUE"""),1000.0)</f>
        <v>1000</v>
      </c>
      <c r="B212" s="1">
        <f>IFERROR(__xludf.DUMMYFUNCTION("""COMPUTED_VALUE"""),183619.0)</f>
        <v>183619</v>
      </c>
      <c r="C212" s="1">
        <f>IFERROR(__xludf.DUMMYFUNCTION("""COMPUTED_VALUE"""),2026.0)</f>
        <v>2026</v>
      </c>
      <c r="D212" s="1">
        <f>IFERROR(__xludf.DUMMYFUNCTION("""COMPUTED_VALUE"""),46344.0)</f>
        <v>46344</v>
      </c>
      <c r="E212" s="1" t="str">
        <f>IFERROR(__xludf.DUMMYFUNCTION("""COMPUTED_VALUE"""),"VF")</f>
        <v>VF</v>
      </c>
      <c r="F212" s="1">
        <f>IFERROR(__xludf.DUMMYFUNCTION("""COMPUTED_VALUE"""),2.0)</f>
        <v>2</v>
      </c>
      <c r="G212" s="1" t="str">
        <f>IFERROR(__xludf.DUMMYFUNCTION("""COMPUTED_VALUE"""),"PR042")</f>
        <v>PR042</v>
      </c>
      <c r="H212" s="1" t="str">
        <f>IFERROR(__xludf.DUMMYFUNCTION("""COMPUTED_VALUE"""),"VD018")</f>
        <v>VD018</v>
      </c>
      <c r="I212" s="1">
        <f>IFERROR(__xludf.DUMMYFUNCTION("""COMPUTED_VALUE"""),8.0)</f>
        <v>8</v>
      </c>
      <c r="J212" s="1">
        <f>IFERROR(__xludf.DUMMYFUNCTION("""COMPUTED_VALUE"""),491.9)</f>
        <v>491.9</v>
      </c>
      <c r="K212" s="1">
        <f>IFERROR(__xludf.DUMMYFUNCTION("""COMPUTED_VALUE"""),491.9)</f>
        <v>491.9</v>
      </c>
    </row>
    <row r="213">
      <c r="A213" s="1">
        <f>IFERROR(__xludf.DUMMYFUNCTION("""COMPUTED_VALUE"""),2000.0)</f>
        <v>2000</v>
      </c>
      <c r="B213" s="1">
        <f>IFERROR(__xludf.DUMMYFUNCTION("""COMPUTED_VALUE"""),183619.0)</f>
        <v>183619</v>
      </c>
      <c r="C213" s="1">
        <f>IFERROR(__xludf.DUMMYFUNCTION("""COMPUTED_VALUE"""),2026.0)</f>
        <v>2026</v>
      </c>
      <c r="D213" s="1">
        <f>IFERROR(__xludf.DUMMYFUNCTION("""COMPUTED_VALUE"""),46344.0)</f>
        <v>46344</v>
      </c>
      <c r="E213" s="1" t="str">
        <f>IFERROR(__xludf.DUMMYFUNCTION("""COMPUTED_VALUE"""),"VF")</f>
        <v>VF</v>
      </c>
      <c r="F213" s="1">
        <f>IFERROR(__xludf.DUMMYFUNCTION("""COMPUTED_VALUE"""),3.0)</f>
        <v>3</v>
      </c>
      <c r="G213" s="1" t="str">
        <f>IFERROR(__xludf.DUMMYFUNCTION("""COMPUTED_VALUE"""),"PR002")</f>
        <v>PR002</v>
      </c>
      <c r="H213" s="1" t="str">
        <f>IFERROR(__xludf.DUMMYFUNCTION("""COMPUTED_VALUE"""),"VD034")</f>
        <v>VD034</v>
      </c>
      <c r="I213" s="1">
        <f>IFERROR(__xludf.DUMMYFUNCTION("""COMPUTED_VALUE"""),3.0)</f>
        <v>3</v>
      </c>
      <c r="J213" s="1">
        <f>IFERROR(__xludf.DUMMYFUNCTION("""COMPUTED_VALUE"""),245.35)</f>
        <v>245.35</v>
      </c>
      <c r="K213" s="1">
        <f>IFERROR(__xludf.DUMMYFUNCTION("""COMPUTED_VALUE"""),245.35)</f>
        <v>245.35</v>
      </c>
    </row>
    <row r="214">
      <c r="A214" s="1">
        <f>IFERROR(__xludf.DUMMYFUNCTION("""COMPUTED_VALUE"""),1000.0)</f>
        <v>1000</v>
      </c>
      <c r="B214" s="1">
        <f>IFERROR(__xludf.DUMMYFUNCTION("""COMPUTED_VALUE"""),183620.0)</f>
        <v>183620</v>
      </c>
      <c r="C214" s="1">
        <f>IFERROR(__xludf.DUMMYFUNCTION("""COMPUTED_VALUE"""),2026.0)</f>
        <v>2026</v>
      </c>
      <c r="D214" s="1">
        <f>IFERROR(__xludf.DUMMYFUNCTION("""COMPUTED_VALUE"""),46344.0)</f>
        <v>46344</v>
      </c>
      <c r="E214" s="1" t="str">
        <f>IFERROR(__xludf.DUMMYFUNCTION("""COMPUTED_VALUE"""),"VF")</f>
        <v>VF</v>
      </c>
      <c r="F214" s="1">
        <f>IFERROR(__xludf.DUMMYFUNCTION("""COMPUTED_VALUE"""),1.0)</f>
        <v>1</v>
      </c>
      <c r="G214" s="1" t="str">
        <f>IFERROR(__xludf.DUMMYFUNCTION("""COMPUTED_VALUE"""),"PR016")</f>
        <v>PR016</v>
      </c>
      <c r="H214" s="1" t="str">
        <f>IFERROR(__xludf.DUMMYFUNCTION("""COMPUTED_VALUE"""),"VD019")</f>
        <v>VD019</v>
      </c>
      <c r="I214" s="1">
        <f>IFERROR(__xludf.DUMMYFUNCTION("""COMPUTED_VALUE"""),16.0)</f>
        <v>16</v>
      </c>
      <c r="J214" s="1">
        <f>IFERROR(__xludf.DUMMYFUNCTION("""COMPUTED_VALUE"""),472.42)</f>
        <v>472.42</v>
      </c>
      <c r="K214" s="1">
        <f>IFERROR(__xludf.DUMMYFUNCTION("""COMPUTED_VALUE"""),472.42)</f>
        <v>472.42</v>
      </c>
    </row>
    <row r="215">
      <c r="A215" s="1">
        <f>IFERROR(__xludf.DUMMYFUNCTION("""COMPUTED_VALUE"""),1000.0)</f>
        <v>1000</v>
      </c>
      <c r="B215" s="1">
        <f>IFERROR(__xludf.DUMMYFUNCTION("""COMPUTED_VALUE"""),183621.0)</f>
        <v>183621</v>
      </c>
      <c r="C215" s="1">
        <f>IFERROR(__xludf.DUMMYFUNCTION("""COMPUTED_VALUE"""),2026.0)</f>
        <v>2026</v>
      </c>
      <c r="D215" s="1">
        <f>IFERROR(__xludf.DUMMYFUNCTION("""COMPUTED_VALUE"""),46344.0)</f>
        <v>46344</v>
      </c>
      <c r="E215" s="1" t="str">
        <f>IFERROR(__xludf.DUMMYFUNCTION("""COMPUTED_VALUE"""),"VF")</f>
        <v>VF</v>
      </c>
      <c r="F215" s="1">
        <f>IFERROR(__xludf.DUMMYFUNCTION("""COMPUTED_VALUE"""),1.0)</f>
        <v>1</v>
      </c>
      <c r="G215" s="1" t="str">
        <f>IFERROR(__xludf.DUMMYFUNCTION("""COMPUTED_VALUE"""),"PR055")</f>
        <v>PR055</v>
      </c>
      <c r="H215" s="1" t="str">
        <f>IFERROR(__xludf.DUMMYFUNCTION("""COMPUTED_VALUE"""),"VD029")</f>
        <v>VD029</v>
      </c>
      <c r="I215" s="1">
        <f>IFERROR(__xludf.DUMMYFUNCTION("""COMPUTED_VALUE"""),2.0)</f>
        <v>2</v>
      </c>
      <c r="J215" s="1">
        <f>IFERROR(__xludf.DUMMYFUNCTION("""COMPUTED_VALUE"""),213.96)</f>
        <v>213.96</v>
      </c>
      <c r="K215" s="1">
        <f>IFERROR(__xludf.DUMMYFUNCTION("""COMPUTED_VALUE"""),213.96)</f>
        <v>213.96</v>
      </c>
    </row>
    <row r="216">
      <c r="A216" s="1">
        <f>IFERROR(__xludf.DUMMYFUNCTION("""COMPUTED_VALUE"""),1000.0)</f>
        <v>1000</v>
      </c>
      <c r="B216" s="1">
        <f>IFERROR(__xludf.DUMMYFUNCTION("""COMPUTED_VALUE"""),183621.0)</f>
        <v>183621</v>
      </c>
      <c r="C216" s="1">
        <f>IFERROR(__xludf.DUMMYFUNCTION("""COMPUTED_VALUE"""),2026.0)</f>
        <v>2026</v>
      </c>
      <c r="D216" s="1">
        <f>IFERROR(__xludf.DUMMYFUNCTION("""COMPUTED_VALUE"""),46344.0)</f>
        <v>46344</v>
      </c>
      <c r="E216" s="1" t="str">
        <f>IFERROR(__xludf.DUMMYFUNCTION("""COMPUTED_VALUE"""),"VF")</f>
        <v>VF</v>
      </c>
      <c r="F216" s="1">
        <f>IFERROR(__xludf.DUMMYFUNCTION("""COMPUTED_VALUE"""),2.0)</f>
        <v>2</v>
      </c>
      <c r="G216" s="1" t="str">
        <f>IFERROR(__xludf.DUMMYFUNCTION("""COMPUTED_VALUE"""),"PR057")</f>
        <v>PR057</v>
      </c>
      <c r="H216" s="1" t="str">
        <f>IFERROR(__xludf.DUMMYFUNCTION("""COMPUTED_VALUE"""),"VD037")</f>
        <v>VD037</v>
      </c>
      <c r="I216" s="1">
        <f>IFERROR(__xludf.DUMMYFUNCTION("""COMPUTED_VALUE"""),3.0)</f>
        <v>3</v>
      </c>
      <c r="J216" s="1">
        <f>IFERROR(__xludf.DUMMYFUNCTION("""COMPUTED_VALUE"""),315.55)</f>
        <v>315.55</v>
      </c>
      <c r="K216" s="1">
        <f>IFERROR(__xludf.DUMMYFUNCTION("""COMPUTED_VALUE"""),315.55)</f>
        <v>315.55</v>
      </c>
    </row>
    <row r="217">
      <c r="A217" s="1">
        <f>IFERROR(__xludf.DUMMYFUNCTION("""COMPUTED_VALUE"""),1000.0)</f>
        <v>1000</v>
      </c>
      <c r="B217" s="1">
        <f>IFERROR(__xludf.DUMMYFUNCTION("""COMPUTED_VALUE"""),183622.0)</f>
        <v>183622</v>
      </c>
      <c r="C217" s="1">
        <f>IFERROR(__xludf.DUMMYFUNCTION("""COMPUTED_VALUE"""),2026.0)</f>
        <v>2026</v>
      </c>
      <c r="D217" s="1">
        <f>IFERROR(__xludf.DUMMYFUNCTION("""COMPUTED_VALUE"""),46344.0)</f>
        <v>46344</v>
      </c>
      <c r="E217" s="1" t="str">
        <f>IFERROR(__xludf.DUMMYFUNCTION("""COMPUTED_VALUE"""),"VF")</f>
        <v>VF</v>
      </c>
      <c r="F217" s="1">
        <f>IFERROR(__xludf.DUMMYFUNCTION("""COMPUTED_VALUE"""),1.0)</f>
        <v>1</v>
      </c>
      <c r="G217" s="1" t="str">
        <f>IFERROR(__xludf.DUMMYFUNCTION("""COMPUTED_VALUE"""),"PR011")</f>
        <v>PR011</v>
      </c>
      <c r="H217" s="1" t="str">
        <f>IFERROR(__xludf.DUMMYFUNCTION("""COMPUTED_VALUE"""),"VD030")</f>
        <v>VD030</v>
      </c>
      <c r="I217" s="1">
        <f>IFERROR(__xludf.DUMMYFUNCTION("""COMPUTED_VALUE"""),7.0)</f>
        <v>7</v>
      </c>
      <c r="J217" s="1">
        <f>IFERROR(__xludf.DUMMYFUNCTION("""COMPUTED_VALUE"""),380.83)</f>
        <v>380.83</v>
      </c>
      <c r="K217" s="1">
        <f>IFERROR(__xludf.DUMMYFUNCTION("""COMPUTED_VALUE"""),380.83)</f>
        <v>380.83</v>
      </c>
    </row>
    <row r="218">
      <c r="A218" s="1">
        <f>IFERROR(__xludf.DUMMYFUNCTION("""COMPUTED_VALUE"""),1000.0)</f>
        <v>1000</v>
      </c>
      <c r="B218" s="1">
        <f>IFERROR(__xludf.DUMMYFUNCTION("""COMPUTED_VALUE"""),183623.0)</f>
        <v>183623</v>
      </c>
      <c r="C218" s="1">
        <f>IFERROR(__xludf.DUMMYFUNCTION("""COMPUTED_VALUE"""),2026.0)</f>
        <v>2026</v>
      </c>
      <c r="D218" s="1">
        <f>IFERROR(__xludf.DUMMYFUNCTION("""COMPUTED_VALUE"""),46344.0)</f>
        <v>46344</v>
      </c>
      <c r="E218" s="1" t="str">
        <f>IFERROR(__xludf.DUMMYFUNCTION("""COMPUTED_VALUE"""),"VF")</f>
        <v>VF</v>
      </c>
      <c r="F218" s="1">
        <f>IFERROR(__xludf.DUMMYFUNCTION("""COMPUTED_VALUE"""),1.0)</f>
        <v>1</v>
      </c>
      <c r="G218" s="1" t="str">
        <f>IFERROR(__xludf.DUMMYFUNCTION("""COMPUTED_VALUE"""),"PR006")</f>
        <v>PR006</v>
      </c>
      <c r="H218" s="1" t="str">
        <f>IFERROR(__xludf.DUMMYFUNCTION("""COMPUTED_VALUE"""),"VD047")</f>
        <v>VD047</v>
      </c>
      <c r="I218" s="1">
        <f>IFERROR(__xludf.DUMMYFUNCTION("""COMPUTED_VALUE"""),16.0)</f>
        <v>16</v>
      </c>
      <c r="J218" s="1">
        <f>IFERROR(__xludf.DUMMYFUNCTION("""COMPUTED_VALUE"""),766.08)</f>
        <v>766.08</v>
      </c>
      <c r="K218" s="1">
        <f>IFERROR(__xludf.DUMMYFUNCTION("""COMPUTED_VALUE"""),766.08)</f>
        <v>766.08</v>
      </c>
    </row>
    <row r="219">
      <c r="A219" s="1">
        <f>IFERROR(__xludf.DUMMYFUNCTION("""COMPUTED_VALUE"""),1000.0)</f>
        <v>1000</v>
      </c>
      <c r="B219" s="1">
        <f>IFERROR(__xludf.DUMMYFUNCTION("""COMPUTED_VALUE"""),183623.0)</f>
        <v>183623</v>
      </c>
      <c r="C219" s="1">
        <f>IFERROR(__xludf.DUMMYFUNCTION("""COMPUTED_VALUE"""),2026.0)</f>
        <v>2026</v>
      </c>
      <c r="D219" s="1">
        <f>IFERROR(__xludf.DUMMYFUNCTION("""COMPUTED_VALUE"""),46343.0)</f>
        <v>46343</v>
      </c>
      <c r="E219" s="1" t="str">
        <f>IFERROR(__xludf.DUMMYFUNCTION("""COMPUTED_VALUE"""),"VF")</f>
        <v>VF</v>
      </c>
      <c r="F219" s="1">
        <f>IFERROR(__xludf.DUMMYFUNCTION("""COMPUTED_VALUE"""),2.0)</f>
        <v>2</v>
      </c>
      <c r="G219" s="1" t="str">
        <f>IFERROR(__xludf.DUMMYFUNCTION("""COMPUTED_VALUE"""),"PR019")</f>
        <v>PR019</v>
      </c>
      <c r="H219" s="1" t="str">
        <f>IFERROR(__xludf.DUMMYFUNCTION("""COMPUTED_VALUE"""),"VD034")</f>
        <v>VD034</v>
      </c>
      <c r="I219" s="1">
        <f>IFERROR(__xludf.DUMMYFUNCTION("""COMPUTED_VALUE"""),12.0)</f>
        <v>12</v>
      </c>
      <c r="J219" s="1">
        <f>IFERROR(__xludf.DUMMYFUNCTION("""COMPUTED_VALUE"""),670.66)</f>
        <v>670.66</v>
      </c>
      <c r="K219" s="1">
        <f>IFERROR(__xludf.DUMMYFUNCTION("""COMPUTED_VALUE"""),670.66)</f>
        <v>670.66</v>
      </c>
    </row>
    <row r="220">
      <c r="A220" s="1">
        <f>IFERROR(__xludf.DUMMYFUNCTION("""COMPUTED_VALUE"""),1000.0)</f>
        <v>1000</v>
      </c>
      <c r="B220" s="1">
        <f>IFERROR(__xludf.DUMMYFUNCTION("""COMPUTED_VALUE"""),183624.0)</f>
        <v>183624</v>
      </c>
      <c r="C220" s="1">
        <f>IFERROR(__xludf.DUMMYFUNCTION("""COMPUTED_VALUE"""),2026.0)</f>
        <v>2026</v>
      </c>
      <c r="D220" s="1">
        <f>IFERROR(__xludf.DUMMYFUNCTION("""COMPUTED_VALUE"""),46343.0)</f>
        <v>46343</v>
      </c>
      <c r="E220" s="1" t="str">
        <f>IFERROR(__xludf.DUMMYFUNCTION("""COMPUTED_VALUE"""),"VF")</f>
        <v>VF</v>
      </c>
      <c r="F220" s="1">
        <f>IFERROR(__xludf.DUMMYFUNCTION("""COMPUTED_VALUE"""),1.0)</f>
        <v>1</v>
      </c>
      <c r="G220" s="1" t="str">
        <f>IFERROR(__xludf.DUMMYFUNCTION("""COMPUTED_VALUE"""),"PR006")</f>
        <v>PR006</v>
      </c>
      <c r="H220" s="1" t="str">
        <f>IFERROR(__xludf.DUMMYFUNCTION("""COMPUTED_VALUE"""),"VD037")</f>
        <v>VD037</v>
      </c>
      <c r="I220" s="1">
        <f>IFERROR(__xludf.DUMMYFUNCTION("""COMPUTED_VALUE"""),10.0)</f>
        <v>10</v>
      </c>
      <c r="J220" s="1">
        <f>IFERROR(__xludf.DUMMYFUNCTION("""COMPUTED_VALUE"""),462.84)</f>
        <v>462.84</v>
      </c>
      <c r="K220" s="1">
        <f>IFERROR(__xludf.DUMMYFUNCTION("""COMPUTED_VALUE"""),462.84)</f>
        <v>462.84</v>
      </c>
    </row>
    <row r="221">
      <c r="A221" s="1">
        <f>IFERROR(__xludf.DUMMYFUNCTION("""COMPUTED_VALUE"""),1000.0)</f>
        <v>1000</v>
      </c>
      <c r="B221" s="1">
        <f>IFERROR(__xludf.DUMMYFUNCTION("""COMPUTED_VALUE"""),183625.0)</f>
        <v>183625</v>
      </c>
      <c r="C221" s="1">
        <f>IFERROR(__xludf.DUMMYFUNCTION("""COMPUTED_VALUE"""),2026.0)</f>
        <v>2026</v>
      </c>
      <c r="D221" s="1">
        <f>IFERROR(__xludf.DUMMYFUNCTION("""COMPUTED_VALUE"""),46343.0)</f>
        <v>46343</v>
      </c>
      <c r="E221" s="1" t="str">
        <f>IFERROR(__xludf.DUMMYFUNCTION("""COMPUTED_VALUE"""),"VF")</f>
        <v>VF</v>
      </c>
      <c r="F221" s="1">
        <f>IFERROR(__xludf.DUMMYFUNCTION("""COMPUTED_VALUE"""),1.0)</f>
        <v>1</v>
      </c>
      <c r="G221" s="1" t="str">
        <f>IFERROR(__xludf.DUMMYFUNCTION("""COMPUTED_VALUE"""),"PR026")</f>
        <v>PR026</v>
      </c>
      <c r="H221" s="1" t="str">
        <f>IFERROR(__xludf.DUMMYFUNCTION("""COMPUTED_VALUE"""),"VD032")</f>
        <v>VD032</v>
      </c>
      <c r="I221" s="1">
        <f>IFERROR(__xludf.DUMMYFUNCTION("""COMPUTED_VALUE"""),6.0)</f>
        <v>6</v>
      </c>
      <c r="J221" s="1">
        <f>IFERROR(__xludf.DUMMYFUNCTION("""COMPUTED_VALUE"""),2393.32)</f>
        <v>2393.32</v>
      </c>
      <c r="K221" s="1">
        <f>IFERROR(__xludf.DUMMYFUNCTION("""COMPUTED_VALUE"""),2393.32)</f>
        <v>2393.32</v>
      </c>
    </row>
    <row r="222">
      <c r="A222" s="1">
        <f>IFERROR(__xludf.DUMMYFUNCTION("""COMPUTED_VALUE"""),1000.0)</f>
        <v>1000</v>
      </c>
      <c r="B222" s="1">
        <f>IFERROR(__xludf.DUMMYFUNCTION("""COMPUTED_VALUE"""),183626.0)</f>
        <v>183626</v>
      </c>
      <c r="C222" s="1">
        <f>IFERROR(__xludf.DUMMYFUNCTION("""COMPUTED_VALUE"""),2026.0)</f>
        <v>2026</v>
      </c>
      <c r="D222" s="1">
        <f>IFERROR(__xludf.DUMMYFUNCTION("""COMPUTED_VALUE"""),46343.0)</f>
        <v>46343</v>
      </c>
      <c r="E222" s="1" t="str">
        <f>IFERROR(__xludf.DUMMYFUNCTION("""COMPUTED_VALUE"""),"VF")</f>
        <v>VF</v>
      </c>
      <c r="F222" s="1">
        <f>IFERROR(__xludf.DUMMYFUNCTION("""COMPUTED_VALUE"""),1.0)</f>
        <v>1</v>
      </c>
      <c r="G222" s="1" t="str">
        <f>IFERROR(__xludf.DUMMYFUNCTION("""COMPUTED_VALUE"""),"PR058")</f>
        <v>PR058</v>
      </c>
      <c r="H222" s="1" t="str">
        <f>IFERROR(__xludf.DUMMYFUNCTION("""COMPUTED_VALUE"""),"VD027")</f>
        <v>VD027</v>
      </c>
      <c r="I222" s="1">
        <f>IFERROR(__xludf.DUMMYFUNCTION("""COMPUTED_VALUE"""),2.0)</f>
        <v>2</v>
      </c>
      <c r="J222" s="1">
        <f>IFERROR(__xludf.DUMMYFUNCTION("""COMPUTED_VALUE"""),417.6)</f>
        <v>417.6</v>
      </c>
      <c r="K222" s="1">
        <f>IFERROR(__xludf.DUMMYFUNCTION("""COMPUTED_VALUE"""),417.6)</f>
        <v>417.6</v>
      </c>
    </row>
    <row r="223">
      <c r="A223" s="1">
        <f>IFERROR(__xludf.DUMMYFUNCTION("""COMPUTED_VALUE"""),1000.0)</f>
        <v>1000</v>
      </c>
      <c r="B223" s="1">
        <f>IFERROR(__xludf.DUMMYFUNCTION("""COMPUTED_VALUE"""),183627.0)</f>
        <v>183627</v>
      </c>
      <c r="C223" s="1">
        <f>IFERROR(__xludf.DUMMYFUNCTION("""COMPUTED_VALUE"""),2026.0)</f>
        <v>2026</v>
      </c>
      <c r="D223" s="1">
        <f>IFERROR(__xludf.DUMMYFUNCTION("""COMPUTED_VALUE"""),46342.0)</f>
        <v>46342</v>
      </c>
      <c r="E223" s="1" t="str">
        <f>IFERROR(__xludf.DUMMYFUNCTION("""COMPUTED_VALUE"""),"VF")</f>
        <v>VF</v>
      </c>
      <c r="F223" s="1">
        <f>IFERROR(__xludf.DUMMYFUNCTION("""COMPUTED_VALUE"""),1.0)</f>
        <v>1</v>
      </c>
      <c r="G223" s="1" t="str">
        <f>IFERROR(__xludf.DUMMYFUNCTION("""COMPUTED_VALUE"""),"PR013")</f>
        <v>PR013</v>
      </c>
      <c r="H223" s="1" t="str">
        <f>IFERROR(__xludf.DUMMYFUNCTION("""COMPUTED_VALUE"""),"VD011")</f>
        <v>VD011</v>
      </c>
      <c r="I223" s="1">
        <f>IFERROR(__xludf.DUMMYFUNCTION("""COMPUTED_VALUE"""),15.0)</f>
        <v>15</v>
      </c>
      <c r="J223" s="1">
        <f>IFERROR(__xludf.DUMMYFUNCTION("""COMPUTED_VALUE"""),712.22)</f>
        <v>712.22</v>
      </c>
      <c r="K223" s="1">
        <f>IFERROR(__xludf.DUMMYFUNCTION("""COMPUTED_VALUE"""),712.22)</f>
        <v>712.22</v>
      </c>
    </row>
    <row r="224">
      <c r="A224" s="1">
        <f>IFERROR(__xludf.DUMMYFUNCTION("""COMPUTED_VALUE"""),1000.0)</f>
        <v>1000</v>
      </c>
      <c r="B224" s="1">
        <f>IFERROR(__xludf.DUMMYFUNCTION("""COMPUTED_VALUE"""),183628.0)</f>
        <v>183628</v>
      </c>
      <c r="C224" s="1">
        <f>IFERROR(__xludf.DUMMYFUNCTION("""COMPUTED_VALUE"""),2026.0)</f>
        <v>2026</v>
      </c>
      <c r="D224" s="1">
        <f>IFERROR(__xludf.DUMMYFUNCTION("""COMPUTED_VALUE"""),46342.0)</f>
        <v>46342</v>
      </c>
      <c r="E224" s="1" t="str">
        <f>IFERROR(__xludf.DUMMYFUNCTION("""COMPUTED_VALUE"""),"VF")</f>
        <v>VF</v>
      </c>
      <c r="F224" s="1">
        <f>IFERROR(__xludf.DUMMYFUNCTION("""COMPUTED_VALUE"""),1.0)</f>
        <v>1</v>
      </c>
      <c r="G224" s="1" t="str">
        <f>IFERROR(__xludf.DUMMYFUNCTION("""COMPUTED_VALUE"""),"PR058")</f>
        <v>PR058</v>
      </c>
      <c r="H224" s="1" t="str">
        <f>IFERROR(__xludf.DUMMYFUNCTION("""COMPUTED_VALUE"""),"VD017")</f>
        <v>VD017</v>
      </c>
      <c r="I224" s="1">
        <f>IFERROR(__xludf.DUMMYFUNCTION("""COMPUTED_VALUE"""),7.0)</f>
        <v>7</v>
      </c>
      <c r="J224" s="1">
        <f>IFERROR(__xludf.DUMMYFUNCTION("""COMPUTED_VALUE"""),1486.8)</f>
        <v>1486.8</v>
      </c>
      <c r="K224" s="1">
        <f>IFERROR(__xludf.DUMMYFUNCTION("""COMPUTED_VALUE"""),1486.8)</f>
        <v>1486.8</v>
      </c>
    </row>
    <row r="225">
      <c r="A225" s="1">
        <f>IFERROR(__xludf.DUMMYFUNCTION("""COMPUTED_VALUE"""),1000.0)</f>
        <v>1000</v>
      </c>
      <c r="B225" s="1">
        <f>IFERROR(__xludf.DUMMYFUNCTION("""COMPUTED_VALUE"""),183629.0)</f>
        <v>183629</v>
      </c>
      <c r="C225" s="1">
        <f>IFERROR(__xludf.DUMMYFUNCTION("""COMPUTED_VALUE"""),2026.0)</f>
        <v>2026</v>
      </c>
      <c r="D225" s="1">
        <f>IFERROR(__xludf.DUMMYFUNCTION("""COMPUTED_VALUE"""),46341.0)</f>
        <v>46341</v>
      </c>
      <c r="E225" s="1" t="str">
        <f>IFERROR(__xludf.DUMMYFUNCTION("""COMPUTED_VALUE"""),"VF")</f>
        <v>VF</v>
      </c>
      <c r="F225" s="1">
        <f>IFERROR(__xludf.DUMMYFUNCTION("""COMPUTED_VALUE"""),1.0)</f>
        <v>1</v>
      </c>
      <c r="G225" s="1" t="str">
        <f>IFERROR(__xludf.DUMMYFUNCTION("""COMPUTED_VALUE"""),"PR030")</f>
        <v>PR030</v>
      </c>
      <c r="H225" s="1" t="str">
        <f>IFERROR(__xludf.DUMMYFUNCTION("""COMPUTED_VALUE"""),"VD036")</f>
        <v>VD036</v>
      </c>
      <c r="I225" s="1">
        <f>IFERROR(__xludf.DUMMYFUNCTION("""COMPUTED_VALUE"""),9.0)</f>
        <v>9</v>
      </c>
      <c r="J225" s="1">
        <f>IFERROR(__xludf.DUMMYFUNCTION("""COMPUTED_VALUE"""),2689.97)</f>
        <v>2689.97</v>
      </c>
      <c r="K225" s="1">
        <f>IFERROR(__xludf.DUMMYFUNCTION("""COMPUTED_VALUE"""),2689.97)</f>
        <v>2689.97</v>
      </c>
    </row>
    <row r="226">
      <c r="A226" s="1">
        <f>IFERROR(__xludf.DUMMYFUNCTION("""COMPUTED_VALUE"""),1000.0)</f>
        <v>1000</v>
      </c>
      <c r="B226" s="1">
        <f>IFERROR(__xludf.DUMMYFUNCTION("""COMPUTED_VALUE"""),183630.0)</f>
        <v>183630</v>
      </c>
      <c r="C226" s="1">
        <f>IFERROR(__xludf.DUMMYFUNCTION("""COMPUTED_VALUE"""),2026.0)</f>
        <v>2026</v>
      </c>
      <c r="D226" s="1">
        <f>IFERROR(__xludf.DUMMYFUNCTION("""COMPUTED_VALUE"""),46341.0)</f>
        <v>46341</v>
      </c>
      <c r="E226" s="1" t="str">
        <f>IFERROR(__xludf.DUMMYFUNCTION("""COMPUTED_VALUE"""),"VF")</f>
        <v>VF</v>
      </c>
      <c r="F226" s="1">
        <f>IFERROR(__xludf.DUMMYFUNCTION("""COMPUTED_VALUE"""),1.0)</f>
        <v>1</v>
      </c>
      <c r="G226" s="1" t="str">
        <f>IFERROR(__xludf.DUMMYFUNCTION("""COMPUTED_VALUE"""),"PR015")</f>
        <v>PR015</v>
      </c>
      <c r="H226" s="1" t="str">
        <f>IFERROR(__xludf.DUMMYFUNCTION("""COMPUTED_VALUE"""),"VD049")</f>
        <v>VD049</v>
      </c>
      <c r="I226" s="1">
        <f>IFERROR(__xludf.DUMMYFUNCTION("""COMPUTED_VALUE"""),30.0)</f>
        <v>30</v>
      </c>
      <c r="J226" s="1">
        <f>IFERROR(__xludf.DUMMYFUNCTION("""COMPUTED_VALUE"""),1415.25)</f>
        <v>1415.25</v>
      </c>
      <c r="K226" s="1">
        <f>IFERROR(__xludf.DUMMYFUNCTION("""COMPUTED_VALUE"""),1415.25)</f>
        <v>1415.25</v>
      </c>
    </row>
    <row r="227">
      <c r="A227" s="1">
        <f>IFERROR(__xludf.DUMMYFUNCTION("""COMPUTED_VALUE"""),1000.0)</f>
        <v>1000</v>
      </c>
      <c r="B227" s="1">
        <f>IFERROR(__xludf.DUMMYFUNCTION("""COMPUTED_VALUE"""),183630.0)</f>
        <v>183630</v>
      </c>
      <c r="C227" s="1">
        <f>IFERROR(__xludf.DUMMYFUNCTION("""COMPUTED_VALUE"""),2026.0)</f>
        <v>2026</v>
      </c>
      <c r="D227" s="1">
        <f>IFERROR(__xludf.DUMMYFUNCTION("""COMPUTED_VALUE"""),46341.0)</f>
        <v>46341</v>
      </c>
      <c r="E227" s="1" t="str">
        <f>IFERROR(__xludf.DUMMYFUNCTION("""COMPUTED_VALUE"""),"VF")</f>
        <v>VF</v>
      </c>
      <c r="F227" s="1">
        <f>IFERROR(__xludf.DUMMYFUNCTION("""COMPUTED_VALUE"""),2.0)</f>
        <v>2</v>
      </c>
      <c r="G227" s="1" t="str">
        <f>IFERROR(__xludf.DUMMYFUNCTION("""COMPUTED_VALUE"""),"PR001")</f>
        <v>PR001</v>
      </c>
      <c r="H227" s="1" t="str">
        <f>IFERROR(__xludf.DUMMYFUNCTION("""COMPUTED_VALUE"""),"VD013")</f>
        <v>VD013</v>
      </c>
      <c r="I227" s="1">
        <f>IFERROR(__xludf.DUMMYFUNCTION("""COMPUTED_VALUE"""),16.0)</f>
        <v>16</v>
      </c>
      <c r="J227" s="1">
        <f>IFERROR(__xludf.DUMMYFUNCTION("""COMPUTED_VALUE"""),1254.74)</f>
        <v>1254.74</v>
      </c>
      <c r="K227" s="1">
        <f>IFERROR(__xludf.DUMMYFUNCTION("""COMPUTED_VALUE"""),1254.74)</f>
        <v>1254.74</v>
      </c>
    </row>
    <row r="228">
      <c r="A228" s="1">
        <f>IFERROR(__xludf.DUMMYFUNCTION("""COMPUTED_VALUE"""),1000.0)</f>
        <v>1000</v>
      </c>
      <c r="B228" s="1">
        <f>IFERROR(__xludf.DUMMYFUNCTION("""COMPUTED_VALUE"""),183630.0)</f>
        <v>183630</v>
      </c>
      <c r="C228" s="1">
        <f>IFERROR(__xludf.DUMMYFUNCTION("""COMPUTED_VALUE"""),2026.0)</f>
        <v>2026</v>
      </c>
      <c r="D228" s="1">
        <f>IFERROR(__xludf.DUMMYFUNCTION("""COMPUTED_VALUE"""),46341.0)</f>
        <v>46341</v>
      </c>
      <c r="E228" s="1" t="str">
        <f>IFERROR(__xludf.DUMMYFUNCTION("""COMPUTED_VALUE"""),"VF")</f>
        <v>VF</v>
      </c>
      <c r="F228" s="1">
        <f>IFERROR(__xludf.DUMMYFUNCTION("""COMPUTED_VALUE"""),3.0)</f>
        <v>3</v>
      </c>
      <c r="G228" s="1" t="str">
        <f>IFERROR(__xludf.DUMMYFUNCTION("""COMPUTED_VALUE"""),"PR053")</f>
        <v>PR053</v>
      </c>
      <c r="H228" s="1" t="str">
        <f>IFERROR(__xludf.DUMMYFUNCTION("""COMPUTED_VALUE"""),"VD012")</f>
        <v>VD012</v>
      </c>
      <c r="I228" s="1">
        <f>IFERROR(__xludf.DUMMYFUNCTION("""COMPUTED_VALUE"""),3.0)</f>
        <v>3</v>
      </c>
      <c r="J228" s="1">
        <f>IFERROR(__xludf.DUMMYFUNCTION("""COMPUTED_VALUE"""),166.17)</f>
        <v>166.17</v>
      </c>
      <c r="K228" s="1">
        <f>IFERROR(__xludf.DUMMYFUNCTION("""COMPUTED_VALUE"""),166.17)</f>
        <v>166.17</v>
      </c>
    </row>
    <row r="229">
      <c r="A229" s="1">
        <f>IFERROR(__xludf.DUMMYFUNCTION("""COMPUTED_VALUE"""),1000.0)</f>
        <v>1000</v>
      </c>
      <c r="B229" s="1">
        <f>IFERROR(__xludf.DUMMYFUNCTION("""COMPUTED_VALUE"""),183631.0)</f>
        <v>183631</v>
      </c>
      <c r="C229" s="1">
        <f>IFERROR(__xludf.DUMMYFUNCTION("""COMPUTED_VALUE"""),2026.0)</f>
        <v>2026</v>
      </c>
      <c r="D229" s="1">
        <f>IFERROR(__xludf.DUMMYFUNCTION("""COMPUTED_VALUE"""),46341.0)</f>
        <v>46341</v>
      </c>
      <c r="E229" s="1" t="str">
        <f>IFERROR(__xludf.DUMMYFUNCTION("""COMPUTED_VALUE"""),"VF")</f>
        <v>VF</v>
      </c>
      <c r="F229" s="1">
        <f>IFERROR(__xludf.DUMMYFUNCTION("""COMPUTED_VALUE"""),1.0)</f>
        <v>1</v>
      </c>
      <c r="G229" s="1" t="str">
        <f>IFERROR(__xludf.DUMMYFUNCTION("""COMPUTED_VALUE"""),"PR041")</f>
        <v>PR041</v>
      </c>
      <c r="H229" s="1" t="str">
        <f>IFERROR(__xludf.DUMMYFUNCTION("""COMPUTED_VALUE"""),"VD037")</f>
        <v>VD037</v>
      </c>
      <c r="I229" s="1">
        <f>IFERROR(__xludf.DUMMYFUNCTION("""COMPUTED_VALUE"""),2.0)</f>
        <v>2</v>
      </c>
      <c r="J229" s="1">
        <f>IFERROR(__xludf.DUMMYFUNCTION("""COMPUTED_VALUE"""),122.98)</f>
        <v>122.98</v>
      </c>
      <c r="K229" s="1">
        <f>IFERROR(__xludf.DUMMYFUNCTION("""COMPUTED_VALUE"""),122.98)</f>
        <v>122.98</v>
      </c>
    </row>
    <row r="230">
      <c r="A230" s="1">
        <f>IFERROR(__xludf.DUMMYFUNCTION("""COMPUTED_VALUE"""),1000.0)</f>
        <v>1000</v>
      </c>
      <c r="B230" s="1">
        <f>IFERROR(__xludf.DUMMYFUNCTION("""COMPUTED_VALUE"""),183631.0)</f>
        <v>183631</v>
      </c>
      <c r="C230" s="1">
        <f>IFERROR(__xludf.DUMMYFUNCTION("""COMPUTED_VALUE"""),2026.0)</f>
        <v>2026</v>
      </c>
      <c r="D230" s="1">
        <f>IFERROR(__xludf.DUMMYFUNCTION("""COMPUTED_VALUE"""),46340.0)</f>
        <v>46340</v>
      </c>
      <c r="E230" s="1" t="str">
        <f>IFERROR(__xludf.DUMMYFUNCTION("""COMPUTED_VALUE"""),"VF")</f>
        <v>VF</v>
      </c>
      <c r="F230" s="1">
        <f>IFERROR(__xludf.DUMMYFUNCTION("""COMPUTED_VALUE"""),2.0)</f>
        <v>2</v>
      </c>
      <c r="G230" s="1" t="str">
        <f>IFERROR(__xludf.DUMMYFUNCTION("""COMPUTED_VALUE"""),"PR002")</f>
        <v>PR002</v>
      </c>
      <c r="H230" s="1" t="str">
        <f>IFERROR(__xludf.DUMMYFUNCTION("""COMPUTED_VALUE"""),"VD047")</f>
        <v>VD047</v>
      </c>
      <c r="I230" s="1">
        <f>IFERROR(__xludf.DUMMYFUNCTION("""COMPUTED_VALUE"""),2.0)</f>
        <v>2</v>
      </c>
      <c r="J230" s="1">
        <f>IFERROR(__xludf.DUMMYFUNCTION("""COMPUTED_VALUE"""),153.78)</f>
        <v>153.78</v>
      </c>
      <c r="K230" s="1">
        <f>IFERROR(__xludf.DUMMYFUNCTION("""COMPUTED_VALUE"""),153.78)</f>
        <v>153.78</v>
      </c>
    </row>
    <row r="231">
      <c r="A231" s="1">
        <f>IFERROR(__xludf.DUMMYFUNCTION("""COMPUTED_VALUE"""),1000.0)</f>
        <v>1000</v>
      </c>
      <c r="B231" s="1">
        <f>IFERROR(__xludf.DUMMYFUNCTION("""COMPUTED_VALUE"""),183631.0)</f>
        <v>183631</v>
      </c>
      <c r="C231" s="1">
        <f>IFERROR(__xludf.DUMMYFUNCTION("""COMPUTED_VALUE"""),2026.0)</f>
        <v>2026</v>
      </c>
      <c r="D231" s="1">
        <f>IFERROR(__xludf.DUMMYFUNCTION("""COMPUTED_VALUE"""),46340.0)</f>
        <v>46340</v>
      </c>
      <c r="E231" s="1" t="str">
        <f>IFERROR(__xludf.DUMMYFUNCTION("""COMPUTED_VALUE"""),"VF")</f>
        <v>VF</v>
      </c>
      <c r="F231" s="1">
        <f>IFERROR(__xludf.DUMMYFUNCTION("""COMPUTED_VALUE"""),3.0)</f>
        <v>3</v>
      </c>
      <c r="G231" s="1" t="str">
        <f>IFERROR(__xludf.DUMMYFUNCTION("""COMPUTED_VALUE"""),"PR021")</f>
        <v>PR021</v>
      </c>
      <c r="H231" s="1" t="str">
        <f>IFERROR(__xludf.DUMMYFUNCTION("""COMPUTED_VALUE"""),"VD039")</f>
        <v>VD039</v>
      </c>
      <c r="I231" s="1">
        <f>IFERROR(__xludf.DUMMYFUNCTION("""COMPUTED_VALUE"""),27.0)</f>
        <v>27</v>
      </c>
      <c r="J231" s="1">
        <f>IFERROR(__xludf.DUMMYFUNCTION("""COMPUTED_VALUE"""),9241.48)</f>
        <v>9241.48</v>
      </c>
      <c r="K231" s="1">
        <f>IFERROR(__xludf.DUMMYFUNCTION("""COMPUTED_VALUE"""),9241.48)</f>
        <v>9241.48</v>
      </c>
    </row>
    <row r="232">
      <c r="A232" s="1">
        <f>IFERROR(__xludf.DUMMYFUNCTION("""COMPUTED_VALUE"""),2000.0)</f>
        <v>2000</v>
      </c>
      <c r="B232" s="1">
        <f>IFERROR(__xludf.DUMMYFUNCTION("""COMPUTED_VALUE"""),183631.0)</f>
        <v>183631</v>
      </c>
      <c r="C232" s="1">
        <f>IFERROR(__xludf.DUMMYFUNCTION("""COMPUTED_VALUE"""),2026.0)</f>
        <v>2026</v>
      </c>
      <c r="D232" s="1">
        <f>IFERROR(__xludf.DUMMYFUNCTION("""COMPUTED_VALUE"""),46339.0)</f>
        <v>46339</v>
      </c>
      <c r="E232" s="1" t="str">
        <f>IFERROR(__xludf.DUMMYFUNCTION("""COMPUTED_VALUE"""),"VF")</f>
        <v>VF</v>
      </c>
      <c r="F232" s="1">
        <f>IFERROR(__xludf.DUMMYFUNCTION("""COMPUTED_VALUE"""),4.0)</f>
        <v>4</v>
      </c>
      <c r="G232" s="1" t="str">
        <f>IFERROR(__xludf.DUMMYFUNCTION("""COMPUTED_VALUE"""),"PR035")</f>
        <v>PR035</v>
      </c>
      <c r="H232" s="1" t="str">
        <f>IFERROR(__xludf.DUMMYFUNCTION("""COMPUTED_VALUE"""),"VD026")</f>
        <v>VD026</v>
      </c>
      <c r="I232" s="1">
        <f>IFERROR(__xludf.DUMMYFUNCTION("""COMPUTED_VALUE"""),6.0)</f>
        <v>6</v>
      </c>
      <c r="J232" s="1">
        <f>IFERROR(__xludf.DUMMYFUNCTION("""COMPUTED_VALUE"""),608.72)</f>
        <v>608.72</v>
      </c>
      <c r="K232" s="1">
        <f>IFERROR(__xludf.DUMMYFUNCTION("""COMPUTED_VALUE"""),608.72)</f>
        <v>608.72</v>
      </c>
    </row>
    <row r="233">
      <c r="A233" s="1">
        <f>IFERROR(__xludf.DUMMYFUNCTION("""COMPUTED_VALUE"""),1000.0)</f>
        <v>1000</v>
      </c>
      <c r="B233" s="1">
        <f>IFERROR(__xludf.DUMMYFUNCTION("""COMPUTED_VALUE"""),183631.0)</f>
        <v>183631</v>
      </c>
      <c r="C233" s="1">
        <f>IFERROR(__xludf.DUMMYFUNCTION("""COMPUTED_VALUE"""),2026.0)</f>
        <v>2026</v>
      </c>
      <c r="D233" s="1">
        <f>IFERROR(__xludf.DUMMYFUNCTION("""COMPUTED_VALUE"""),46339.0)</f>
        <v>46339</v>
      </c>
      <c r="E233" s="1" t="str">
        <f>IFERROR(__xludf.DUMMYFUNCTION("""COMPUTED_VALUE"""),"VF")</f>
        <v>VF</v>
      </c>
      <c r="F233" s="1">
        <f>IFERROR(__xludf.DUMMYFUNCTION("""COMPUTED_VALUE"""),5.0)</f>
        <v>5</v>
      </c>
      <c r="G233" s="1" t="str">
        <f>IFERROR(__xludf.DUMMYFUNCTION("""COMPUTED_VALUE"""),"PR008")</f>
        <v>PR008</v>
      </c>
      <c r="H233" s="1" t="str">
        <f>IFERROR(__xludf.DUMMYFUNCTION("""COMPUTED_VALUE"""),"VD036")</f>
        <v>VD036</v>
      </c>
      <c r="I233" s="1">
        <f>IFERROR(__xludf.DUMMYFUNCTION("""COMPUTED_VALUE"""),6.0)</f>
        <v>6</v>
      </c>
      <c r="J233" s="1">
        <f>IFERROR(__xludf.DUMMYFUNCTION("""COMPUTED_VALUE"""),593.34)</f>
        <v>593.34</v>
      </c>
      <c r="K233" s="1">
        <f>IFERROR(__xludf.DUMMYFUNCTION("""COMPUTED_VALUE"""),593.34)</f>
        <v>593.34</v>
      </c>
    </row>
    <row r="234">
      <c r="A234" s="1">
        <f>IFERROR(__xludf.DUMMYFUNCTION("""COMPUTED_VALUE"""),2000.0)</f>
        <v>2000</v>
      </c>
      <c r="B234" s="1">
        <f>IFERROR(__xludf.DUMMYFUNCTION("""COMPUTED_VALUE"""),183631.0)</f>
        <v>183631</v>
      </c>
      <c r="C234" s="1">
        <f>IFERROR(__xludf.DUMMYFUNCTION("""COMPUTED_VALUE"""),2026.0)</f>
        <v>2026</v>
      </c>
      <c r="D234" s="1">
        <f>IFERROR(__xludf.DUMMYFUNCTION("""COMPUTED_VALUE"""),46339.0)</f>
        <v>46339</v>
      </c>
      <c r="E234" s="1" t="str">
        <f>IFERROR(__xludf.DUMMYFUNCTION("""COMPUTED_VALUE"""),"VF")</f>
        <v>VF</v>
      </c>
      <c r="F234" s="1">
        <f>IFERROR(__xludf.DUMMYFUNCTION("""COMPUTED_VALUE"""),6.0)</f>
        <v>6</v>
      </c>
      <c r="G234" s="1" t="str">
        <f>IFERROR(__xludf.DUMMYFUNCTION("""COMPUTED_VALUE"""),"PR045")</f>
        <v>PR045</v>
      </c>
      <c r="H234" s="1" t="str">
        <f>IFERROR(__xludf.DUMMYFUNCTION("""COMPUTED_VALUE"""),"VD045")</f>
        <v>VD045</v>
      </c>
      <c r="I234" s="1">
        <f>IFERROR(__xludf.DUMMYFUNCTION("""COMPUTED_VALUE"""),6.0)</f>
        <v>6</v>
      </c>
      <c r="J234" s="1">
        <f>IFERROR(__xludf.DUMMYFUNCTION("""COMPUTED_VALUE"""),513.3)</f>
        <v>513.3</v>
      </c>
      <c r="K234" s="1">
        <f>IFERROR(__xludf.DUMMYFUNCTION("""COMPUTED_VALUE"""),513.3)</f>
        <v>513.3</v>
      </c>
    </row>
    <row r="235">
      <c r="A235" s="1">
        <f>IFERROR(__xludf.DUMMYFUNCTION("""COMPUTED_VALUE"""),2000.0)</f>
        <v>2000</v>
      </c>
      <c r="B235" s="1">
        <f>IFERROR(__xludf.DUMMYFUNCTION("""COMPUTED_VALUE"""),183632.0)</f>
        <v>183632</v>
      </c>
      <c r="C235" s="1">
        <f>IFERROR(__xludf.DUMMYFUNCTION("""COMPUTED_VALUE"""),2026.0)</f>
        <v>2026</v>
      </c>
      <c r="D235" s="1">
        <f>IFERROR(__xludf.DUMMYFUNCTION("""COMPUTED_VALUE"""),46338.0)</f>
        <v>46338</v>
      </c>
      <c r="E235" s="1" t="str">
        <f>IFERROR(__xludf.DUMMYFUNCTION("""COMPUTED_VALUE"""),"VF")</f>
        <v>VF</v>
      </c>
      <c r="F235" s="1">
        <f>IFERROR(__xludf.DUMMYFUNCTION("""COMPUTED_VALUE"""),1.0)</f>
        <v>1</v>
      </c>
      <c r="G235" s="1" t="str">
        <f>IFERROR(__xludf.DUMMYFUNCTION("""COMPUTED_VALUE"""),"PR037")</f>
        <v>PR037</v>
      </c>
      <c r="H235" s="1" t="str">
        <f>IFERROR(__xludf.DUMMYFUNCTION("""COMPUTED_VALUE"""),"VD021")</f>
        <v>VD021</v>
      </c>
      <c r="I235" s="1">
        <f>IFERROR(__xludf.DUMMYFUNCTION("""COMPUTED_VALUE"""),9.0)</f>
        <v>9</v>
      </c>
      <c r="J235" s="1">
        <f>IFERROR(__xludf.DUMMYFUNCTION("""COMPUTED_VALUE"""),1398.6)</f>
        <v>1398.6</v>
      </c>
      <c r="K235" s="1">
        <f>IFERROR(__xludf.DUMMYFUNCTION("""COMPUTED_VALUE"""),1398.6)</f>
        <v>1398.6</v>
      </c>
    </row>
    <row r="236">
      <c r="A236" s="1">
        <f>IFERROR(__xludf.DUMMYFUNCTION("""COMPUTED_VALUE"""),1000.0)</f>
        <v>1000</v>
      </c>
      <c r="B236" s="1">
        <f>IFERROR(__xludf.DUMMYFUNCTION("""COMPUTED_VALUE"""),183633.0)</f>
        <v>183633</v>
      </c>
      <c r="C236" s="1">
        <f>IFERROR(__xludf.DUMMYFUNCTION("""COMPUTED_VALUE"""),2026.0)</f>
        <v>2026</v>
      </c>
      <c r="D236" s="1">
        <f>IFERROR(__xludf.DUMMYFUNCTION("""COMPUTED_VALUE"""),46338.0)</f>
        <v>46338</v>
      </c>
      <c r="E236" s="1" t="str">
        <f>IFERROR(__xludf.DUMMYFUNCTION("""COMPUTED_VALUE"""),"VF")</f>
        <v>VF</v>
      </c>
      <c r="F236" s="1">
        <f>IFERROR(__xludf.DUMMYFUNCTION("""COMPUTED_VALUE"""),1.0)</f>
        <v>1</v>
      </c>
      <c r="G236" s="1" t="str">
        <f>IFERROR(__xludf.DUMMYFUNCTION("""COMPUTED_VALUE"""),"PR016")</f>
        <v>PR016</v>
      </c>
      <c r="H236" s="1" t="str">
        <f>IFERROR(__xludf.DUMMYFUNCTION("""COMPUTED_VALUE"""),"VD041")</f>
        <v>VD041</v>
      </c>
      <c r="I236" s="1">
        <f>IFERROR(__xludf.DUMMYFUNCTION("""COMPUTED_VALUE"""),2.0)</f>
        <v>2</v>
      </c>
      <c r="J236" s="1">
        <f>IFERROR(__xludf.DUMMYFUNCTION("""COMPUTED_VALUE"""),57.5)</f>
        <v>57.5</v>
      </c>
      <c r="K236" s="1">
        <f>IFERROR(__xludf.DUMMYFUNCTION("""COMPUTED_VALUE"""),57.5)</f>
        <v>57.5</v>
      </c>
    </row>
    <row r="237">
      <c r="A237" s="1">
        <f>IFERROR(__xludf.DUMMYFUNCTION("""COMPUTED_VALUE"""),1000.0)</f>
        <v>1000</v>
      </c>
      <c r="B237" s="1">
        <f>IFERROR(__xludf.DUMMYFUNCTION("""COMPUTED_VALUE"""),183634.0)</f>
        <v>183634</v>
      </c>
      <c r="C237" s="1">
        <f>IFERROR(__xludf.DUMMYFUNCTION("""COMPUTED_VALUE"""),2026.0)</f>
        <v>2026</v>
      </c>
      <c r="D237" s="1">
        <f>IFERROR(__xludf.DUMMYFUNCTION("""COMPUTED_VALUE"""),46338.0)</f>
        <v>46338</v>
      </c>
      <c r="E237" s="1" t="str">
        <f>IFERROR(__xludf.DUMMYFUNCTION("""COMPUTED_VALUE"""),"VF")</f>
        <v>VF</v>
      </c>
      <c r="F237" s="1">
        <f>IFERROR(__xludf.DUMMYFUNCTION("""COMPUTED_VALUE"""),1.0)</f>
        <v>1</v>
      </c>
      <c r="G237" s="1" t="str">
        <f>IFERROR(__xludf.DUMMYFUNCTION("""COMPUTED_VALUE"""),"PR053")</f>
        <v>PR053</v>
      </c>
      <c r="H237" s="1" t="str">
        <f>IFERROR(__xludf.DUMMYFUNCTION("""COMPUTED_VALUE"""),"VD013")</f>
        <v>VD013</v>
      </c>
      <c r="I237" s="1">
        <f>IFERROR(__xludf.DUMMYFUNCTION("""COMPUTED_VALUE"""),21.0)</f>
        <v>21</v>
      </c>
      <c r="J237" s="1">
        <f>IFERROR(__xludf.DUMMYFUNCTION("""COMPUTED_VALUE"""),1247.0)</f>
        <v>1247</v>
      </c>
      <c r="K237" s="1">
        <f>IFERROR(__xludf.DUMMYFUNCTION("""COMPUTED_VALUE"""),1247.0)</f>
        <v>1247</v>
      </c>
    </row>
    <row r="238">
      <c r="A238" s="1">
        <f>IFERROR(__xludf.DUMMYFUNCTION("""COMPUTED_VALUE"""),1000.0)</f>
        <v>1000</v>
      </c>
      <c r="B238" s="1">
        <f>IFERROR(__xludf.DUMMYFUNCTION("""COMPUTED_VALUE"""),183634.0)</f>
        <v>183634</v>
      </c>
      <c r="C238" s="1">
        <f>IFERROR(__xludf.DUMMYFUNCTION("""COMPUTED_VALUE"""),2026.0)</f>
        <v>2026</v>
      </c>
      <c r="D238" s="1">
        <f>IFERROR(__xludf.DUMMYFUNCTION("""COMPUTED_VALUE"""),46338.0)</f>
        <v>46338</v>
      </c>
      <c r="E238" s="1" t="str">
        <f>IFERROR(__xludf.DUMMYFUNCTION("""COMPUTED_VALUE"""),"VF")</f>
        <v>VF</v>
      </c>
      <c r="F238" s="1">
        <f>IFERROR(__xludf.DUMMYFUNCTION("""COMPUTED_VALUE"""),2.0)</f>
        <v>2</v>
      </c>
      <c r="G238" s="1" t="str">
        <f>IFERROR(__xludf.DUMMYFUNCTION("""COMPUTED_VALUE"""),"PR001")</f>
        <v>PR001</v>
      </c>
      <c r="H238" s="1" t="str">
        <f>IFERROR(__xludf.DUMMYFUNCTION("""COMPUTED_VALUE"""),"VD019")</f>
        <v>VD019</v>
      </c>
      <c r="I238" s="1">
        <f>IFERROR(__xludf.DUMMYFUNCTION("""COMPUTED_VALUE"""),21.0)</f>
        <v>21</v>
      </c>
      <c r="J238" s="1">
        <f>IFERROR(__xludf.DUMMYFUNCTION("""COMPUTED_VALUE"""),1577.65)</f>
        <v>1577.65</v>
      </c>
      <c r="K238" s="1">
        <f>IFERROR(__xludf.DUMMYFUNCTION("""COMPUTED_VALUE"""),1577.65)</f>
        <v>1577.65</v>
      </c>
    </row>
    <row r="239">
      <c r="A239" s="1">
        <f>IFERROR(__xludf.DUMMYFUNCTION("""COMPUTED_VALUE"""),1000.0)</f>
        <v>1000</v>
      </c>
      <c r="B239" s="1">
        <f>IFERROR(__xludf.DUMMYFUNCTION("""COMPUTED_VALUE"""),183635.0)</f>
        <v>183635</v>
      </c>
      <c r="C239" s="1">
        <f>IFERROR(__xludf.DUMMYFUNCTION("""COMPUTED_VALUE"""),2026.0)</f>
        <v>2026</v>
      </c>
      <c r="D239" s="1">
        <f>IFERROR(__xludf.DUMMYFUNCTION("""COMPUTED_VALUE"""),46338.0)</f>
        <v>46338</v>
      </c>
      <c r="E239" s="1" t="str">
        <f>IFERROR(__xludf.DUMMYFUNCTION("""COMPUTED_VALUE"""),"VF")</f>
        <v>VF</v>
      </c>
      <c r="F239" s="1">
        <f>IFERROR(__xludf.DUMMYFUNCTION("""COMPUTED_VALUE"""),1.0)</f>
        <v>1</v>
      </c>
      <c r="G239" s="1" t="str">
        <f>IFERROR(__xludf.DUMMYFUNCTION("""COMPUTED_VALUE"""),"PR052")</f>
        <v>PR052</v>
      </c>
      <c r="H239" s="1" t="str">
        <f>IFERROR(__xludf.DUMMYFUNCTION("""COMPUTED_VALUE"""),"VD032")</f>
        <v>VD032</v>
      </c>
      <c r="I239" s="1">
        <f>IFERROR(__xludf.DUMMYFUNCTION("""COMPUTED_VALUE"""),2.0)</f>
        <v>2</v>
      </c>
      <c r="J239" s="1">
        <f>IFERROR(__xludf.DUMMYFUNCTION("""COMPUTED_VALUE"""),114.77)</f>
        <v>114.77</v>
      </c>
      <c r="K239" s="1">
        <f>IFERROR(__xludf.DUMMYFUNCTION("""COMPUTED_VALUE"""),114.77)</f>
        <v>114.77</v>
      </c>
    </row>
    <row r="240">
      <c r="A240" s="1">
        <f>IFERROR(__xludf.DUMMYFUNCTION("""COMPUTED_VALUE"""),1000.0)</f>
        <v>1000</v>
      </c>
      <c r="B240" s="1">
        <f>IFERROR(__xludf.DUMMYFUNCTION("""COMPUTED_VALUE"""),183636.0)</f>
        <v>183636</v>
      </c>
      <c r="C240" s="1">
        <f>IFERROR(__xludf.DUMMYFUNCTION("""COMPUTED_VALUE"""),2026.0)</f>
        <v>2026</v>
      </c>
      <c r="D240" s="1">
        <f>IFERROR(__xludf.DUMMYFUNCTION("""COMPUTED_VALUE"""),46338.0)</f>
        <v>46338</v>
      </c>
      <c r="E240" s="1" t="str">
        <f>IFERROR(__xludf.DUMMYFUNCTION("""COMPUTED_VALUE"""),"VF")</f>
        <v>VF</v>
      </c>
      <c r="F240" s="1">
        <f>IFERROR(__xludf.DUMMYFUNCTION("""COMPUTED_VALUE"""),1.0)</f>
        <v>1</v>
      </c>
      <c r="G240" s="1" t="str">
        <f>IFERROR(__xludf.DUMMYFUNCTION("""COMPUTED_VALUE"""),"PR027")</f>
        <v>PR027</v>
      </c>
      <c r="H240" s="1" t="str">
        <f>IFERROR(__xludf.DUMMYFUNCTION("""COMPUTED_VALUE"""),"VD018")</f>
        <v>VD018</v>
      </c>
      <c r="I240" s="1">
        <f>IFERROR(__xludf.DUMMYFUNCTION("""COMPUTED_VALUE"""),8.0)</f>
        <v>8</v>
      </c>
      <c r="J240" s="1">
        <f>IFERROR(__xludf.DUMMYFUNCTION("""COMPUTED_VALUE"""),1056.0)</f>
        <v>1056</v>
      </c>
      <c r="K240" s="1">
        <f>IFERROR(__xludf.DUMMYFUNCTION("""COMPUTED_VALUE"""),1056.0)</f>
        <v>1056</v>
      </c>
    </row>
    <row r="241">
      <c r="A241" s="1">
        <f>IFERROR(__xludf.DUMMYFUNCTION("""COMPUTED_VALUE"""),1000.0)</f>
        <v>1000</v>
      </c>
      <c r="B241" s="1">
        <f>IFERROR(__xludf.DUMMYFUNCTION("""COMPUTED_VALUE"""),183637.0)</f>
        <v>183637</v>
      </c>
      <c r="C241" s="1">
        <f>IFERROR(__xludf.DUMMYFUNCTION("""COMPUTED_VALUE"""),2026.0)</f>
        <v>2026</v>
      </c>
      <c r="D241" s="1">
        <f>IFERROR(__xludf.DUMMYFUNCTION("""COMPUTED_VALUE"""),46338.0)</f>
        <v>46338</v>
      </c>
      <c r="E241" s="1" t="str">
        <f>IFERROR(__xludf.DUMMYFUNCTION("""COMPUTED_VALUE"""),"VF")</f>
        <v>VF</v>
      </c>
      <c r="F241" s="1">
        <f>IFERROR(__xludf.DUMMYFUNCTION("""COMPUTED_VALUE"""),1.0)</f>
        <v>1</v>
      </c>
      <c r="G241" s="1" t="str">
        <f>IFERROR(__xludf.DUMMYFUNCTION("""COMPUTED_VALUE"""),"PR049")</f>
        <v>PR049</v>
      </c>
      <c r="H241" s="1" t="str">
        <f>IFERROR(__xludf.DUMMYFUNCTION("""COMPUTED_VALUE"""),"VD013")</f>
        <v>VD013</v>
      </c>
      <c r="I241" s="1">
        <f>IFERROR(__xludf.DUMMYFUNCTION("""COMPUTED_VALUE"""),14.0)</f>
        <v>14</v>
      </c>
      <c r="J241" s="1">
        <f>IFERROR(__xludf.DUMMYFUNCTION("""COMPUTED_VALUE"""),515.87)</f>
        <v>515.87</v>
      </c>
      <c r="K241" s="1">
        <f>IFERROR(__xludf.DUMMYFUNCTION("""COMPUTED_VALUE"""),515.87)</f>
        <v>515.87</v>
      </c>
    </row>
    <row r="242">
      <c r="A242" s="1">
        <f>IFERROR(__xludf.DUMMYFUNCTION("""COMPUTED_VALUE"""),1000.0)</f>
        <v>1000</v>
      </c>
      <c r="B242" s="1">
        <f>IFERROR(__xludf.DUMMYFUNCTION("""COMPUTED_VALUE"""),183638.0)</f>
        <v>183638</v>
      </c>
      <c r="C242" s="1">
        <f>IFERROR(__xludf.DUMMYFUNCTION("""COMPUTED_VALUE"""),2026.0)</f>
        <v>2026</v>
      </c>
      <c r="D242" s="1">
        <f>IFERROR(__xludf.DUMMYFUNCTION("""COMPUTED_VALUE"""),46337.0)</f>
        <v>46337</v>
      </c>
      <c r="E242" s="1" t="str">
        <f>IFERROR(__xludf.DUMMYFUNCTION("""COMPUTED_VALUE"""),"VF")</f>
        <v>VF</v>
      </c>
      <c r="F242" s="1">
        <f>IFERROR(__xludf.DUMMYFUNCTION("""COMPUTED_VALUE"""),1.0)</f>
        <v>1</v>
      </c>
      <c r="G242" s="1" t="str">
        <f>IFERROR(__xludf.DUMMYFUNCTION("""COMPUTED_VALUE"""),"PR021")</f>
        <v>PR021</v>
      </c>
      <c r="H242" s="1" t="str">
        <f>IFERROR(__xludf.DUMMYFUNCTION("""COMPUTED_VALUE"""),"VD035")</f>
        <v>VD035</v>
      </c>
      <c r="I242" s="1">
        <f>IFERROR(__xludf.DUMMYFUNCTION("""COMPUTED_VALUE"""),7.0)</f>
        <v>7</v>
      </c>
      <c r="J242" s="1">
        <f>IFERROR(__xludf.DUMMYFUNCTION("""COMPUTED_VALUE"""),2417.14)</f>
        <v>2417.14</v>
      </c>
      <c r="K242" s="1">
        <f>IFERROR(__xludf.DUMMYFUNCTION("""COMPUTED_VALUE"""),2417.14)</f>
        <v>2417.14</v>
      </c>
    </row>
    <row r="243">
      <c r="A243" s="1">
        <f>IFERROR(__xludf.DUMMYFUNCTION("""COMPUTED_VALUE"""),1000.0)</f>
        <v>1000</v>
      </c>
      <c r="B243" s="1">
        <f>IFERROR(__xludf.DUMMYFUNCTION("""COMPUTED_VALUE"""),183639.0)</f>
        <v>183639</v>
      </c>
      <c r="C243" s="1">
        <f>IFERROR(__xludf.DUMMYFUNCTION("""COMPUTED_VALUE"""),2026.0)</f>
        <v>2026</v>
      </c>
      <c r="D243" s="1">
        <f>IFERROR(__xludf.DUMMYFUNCTION("""COMPUTED_VALUE"""),46337.0)</f>
        <v>46337</v>
      </c>
      <c r="E243" s="1" t="str">
        <f>IFERROR(__xludf.DUMMYFUNCTION("""COMPUTED_VALUE"""),"VF")</f>
        <v>VF</v>
      </c>
      <c r="F243" s="1">
        <f>IFERROR(__xludf.DUMMYFUNCTION("""COMPUTED_VALUE"""),1.0)</f>
        <v>1</v>
      </c>
      <c r="G243" s="1" t="str">
        <f>IFERROR(__xludf.DUMMYFUNCTION("""COMPUTED_VALUE"""),"PR055")</f>
        <v>PR055</v>
      </c>
      <c r="H243" s="1" t="str">
        <f>IFERROR(__xludf.DUMMYFUNCTION("""COMPUTED_VALUE"""),"VD030")</f>
        <v>VD030</v>
      </c>
      <c r="I243" s="1">
        <f>IFERROR(__xludf.DUMMYFUNCTION("""COMPUTED_VALUE"""),10.0)</f>
        <v>10</v>
      </c>
      <c r="J243" s="1">
        <f>IFERROR(__xludf.DUMMYFUNCTION("""COMPUTED_VALUE"""),1024.86)</f>
        <v>1024.86</v>
      </c>
      <c r="K243" s="1">
        <f>IFERROR(__xludf.DUMMYFUNCTION("""COMPUTED_VALUE"""),1024.86)</f>
        <v>1024.86</v>
      </c>
    </row>
    <row r="244">
      <c r="A244" s="1">
        <f>IFERROR(__xludf.DUMMYFUNCTION("""COMPUTED_VALUE"""),2000.0)</f>
        <v>2000</v>
      </c>
      <c r="B244" s="1">
        <f>IFERROR(__xludf.DUMMYFUNCTION("""COMPUTED_VALUE"""),183640.0)</f>
        <v>183640</v>
      </c>
      <c r="C244" s="1">
        <f>IFERROR(__xludf.DUMMYFUNCTION("""COMPUTED_VALUE"""),2026.0)</f>
        <v>2026</v>
      </c>
      <c r="D244" s="1">
        <f>IFERROR(__xludf.DUMMYFUNCTION("""COMPUTED_VALUE"""),46337.0)</f>
        <v>46337</v>
      </c>
      <c r="E244" s="1" t="str">
        <f>IFERROR(__xludf.DUMMYFUNCTION("""COMPUTED_VALUE"""),"VF")</f>
        <v>VF</v>
      </c>
      <c r="F244" s="1">
        <f>IFERROR(__xludf.DUMMYFUNCTION("""COMPUTED_VALUE"""),1.0)</f>
        <v>1</v>
      </c>
      <c r="G244" s="1" t="str">
        <f>IFERROR(__xludf.DUMMYFUNCTION("""COMPUTED_VALUE"""),"PR022")</f>
        <v>PR022</v>
      </c>
      <c r="H244" s="1" t="str">
        <f>IFERROR(__xludf.DUMMYFUNCTION("""COMPUTED_VALUE"""),"VD022")</f>
        <v>VD022</v>
      </c>
      <c r="I244" s="1">
        <f>IFERROR(__xludf.DUMMYFUNCTION("""COMPUTED_VALUE"""),8.0)</f>
        <v>8</v>
      </c>
      <c r="J244" s="1">
        <f>IFERROR(__xludf.DUMMYFUNCTION("""COMPUTED_VALUE"""),2712.0)</f>
        <v>2712</v>
      </c>
      <c r="K244" s="1">
        <f>IFERROR(__xludf.DUMMYFUNCTION("""COMPUTED_VALUE"""),2712.0)</f>
        <v>2712</v>
      </c>
    </row>
    <row r="245">
      <c r="A245" s="1">
        <f>IFERROR(__xludf.DUMMYFUNCTION("""COMPUTED_VALUE"""),1000.0)</f>
        <v>1000</v>
      </c>
      <c r="B245" s="1">
        <f>IFERROR(__xludf.DUMMYFUNCTION("""COMPUTED_VALUE"""),183641.0)</f>
        <v>183641</v>
      </c>
      <c r="C245" s="1">
        <f>IFERROR(__xludf.DUMMYFUNCTION("""COMPUTED_VALUE"""),2026.0)</f>
        <v>2026</v>
      </c>
      <c r="D245" s="1">
        <f>IFERROR(__xludf.DUMMYFUNCTION("""COMPUTED_VALUE"""),46337.0)</f>
        <v>46337</v>
      </c>
      <c r="E245" s="1" t="str">
        <f>IFERROR(__xludf.DUMMYFUNCTION("""COMPUTED_VALUE"""),"VF")</f>
        <v>VF</v>
      </c>
      <c r="F245" s="1">
        <f>IFERROR(__xludf.DUMMYFUNCTION("""COMPUTED_VALUE"""),1.0)</f>
        <v>1</v>
      </c>
      <c r="G245" s="1" t="str">
        <f>IFERROR(__xludf.DUMMYFUNCTION("""COMPUTED_VALUE"""),"PR043")</f>
        <v>PR043</v>
      </c>
      <c r="H245" s="1" t="str">
        <f>IFERROR(__xludf.DUMMYFUNCTION("""COMPUTED_VALUE"""),"VD037")</f>
        <v>VD037</v>
      </c>
      <c r="I245" s="1">
        <f>IFERROR(__xludf.DUMMYFUNCTION("""COMPUTED_VALUE"""),27.0)</f>
        <v>27</v>
      </c>
      <c r="J245" s="1">
        <f>IFERROR(__xludf.DUMMYFUNCTION("""COMPUTED_VALUE"""),2349.0)</f>
        <v>2349</v>
      </c>
      <c r="K245" s="1">
        <f>IFERROR(__xludf.DUMMYFUNCTION("""COMPUTED_VALUE"""),2349.0)</f>
        <v>2349</v>
      </c>
    </row>
    <row r="246">
      <c r="A246" s="1">
        <f>IFERROR(__xludf.DUMMYFUNCTION("""COMPUTED_VALUE"""),1000.0)</f>
        <v>1000</v>
      </c>
      <c r="B246" s="1">
        <f>IFERROR(__xludf.DUMMYFUNCTION("""COMPUTED_VALUE"""),183641.0)</f>
        <v>183641</v>
      </c>
      <c r="C246" s="1">
        <f>IFERROR(__xludf.DUMMYFUNCTION("""COMPUTED_VALUE"""),2026.0)</f>
        <v>2026</v>
      </c>
      <c r="D246" s="1">
        <f>IFERROR(__xludf.DUMMYFUNCTION("""COMPUTED_VALUE"""),46337.0)</f>
        <v>46337</v>
      </c>
      <c r="E246" s="1" t="str">
        <f>IFERROR(__xludf.DUMMYFUNCTION("""COMPUTED_VALUE"""),"VF")</f>
        <v>VF</v>
      </c>
      <c r="F246" s="1">
        <f>IFERROR(__xludf.DUMMYFUNCTION("""COMPUTED_VALUE"""),2.0)</f>
        <v>2</v>
      </c>
      <c r="G246" s="1" t="str">
        <f>IFERROR(__xludf.DUMMYFUNCTION("""COMPUTED_VALUE"""),"PR008")</f>
        <v>PR008</v>
      </c>
      <c r="H246" s="1" t="str">
        <f>IFERROR(__xludf.DUMMYFUNCTION("""COMPUTED_VALUE"""),"VD023")</f>
        <v>VD023</v>
      </c>
      <c r="I246" s="1">
        <f>IFERROR(__xludf.DUMMYFUNCTION("""COMPUTED_VALUE"""),6.0)</f>
        <v>6</v>
      </c>
      <c r="J246" s="1">
        <f>IFERROR(__xludf.DUMMYFUNCTION("""COMPUTED_VALUE"""),593.34)</f>
        <v>593.34</v>
      </c>
      <c r="K246" s="1">
        <f>IFERROR(__xludf.DUMMYFUNCTION("""COMPUTED_VALUE"""),593.34)</f>
        <v>593.34</v>
      </c>
    </row>
    <row r="247">
      <c r="A247" s="1">
        <f>IFERROR(__xludf.DUMMYFUNCTION("""COMPUTED_VALUE"""),1000.0)</f>
        <v>1000</v>
      </c>
      <c r="B247" s="1">
        <f>IFERROR(__xludf.DUMMYFUNCTION("""COMPUTED_VALUE"""),183641.0)</f>
        <v>183641</v>
      </c>
      <c r="C247" s="1">
        <f>IFERROR(__xludf.DUMMYFUNCTION("""COMPUTED_VALUE"""),2026.0)</f>
        <v>2026</v>
      </c>
      <c r="D247" s="1">
        <f>IFERROR(__xludf.DUMMYFUNCTION("""COMPUTED_VALUE"""),46337.0)</f>
        <v>46337</v>
      </c>
      <c r="E247" s="1" t="str">
        <f>IFERROR(__xludf.DUMMYFUNCTION("""COMPUTED_VALUE"""),"VF")</f>
        <v>VF</v>
      </c>
      <c r="F247" s="1">
        <f>IFERROR(__xludf.DUMMYFUNCTION("""COMPUTED_VALUE"""),3.0)</f>
        <v>3</v>
      </c>
      <c r="G247" s="1" t="str">
        <f>IFERROR(__xludf.DUMMYFUNCTION("""COMPUTED_VALUE"""),"PR004")</f>
        <v>PR004</v>
      </c>
      <c r="H247" s="1" t="str">
        <f>IFERROR(__xludf.DUMMYFUNCTION("""COMPUTED_VALUE"""),"VD017")</f>
        <v>VD017</v>
      </c>
      <c r="I247" s="1">
        <f>IFERROR(__xludf.DUMMYFUNCTION("""COMPUTED_VALUE"""),3.0)</f>
        <v>3</v>
      </c>
      <c r="J247" s="1">
        <f>IFERROR(__xludf.DUMMYFUNCTION("""COMPUTED_VALUE"""),491.55)</f>
        <v>491.55</v>
      </c>
      <c r="K247" s="1">
        <f>IFERROR(__xludf.DUMMYFUNCTION("""COMPUTED_VALUE"""),491.55)</f>
        <v>491.55</v>
      </c>
    </row>
    <row r="248">
      <c r="A248" s="1">
        <f>IFERROR(__xludf.DUMMYFUNCTION("""COMPUTED_VALUE"""),1000.0)</f>
        <v>1000</v>
      </c>
      <c r="B248" s="1">
        <f>IFERROR(__xludf.DUMMYFUNCTION("""COMPUTED_VALUE"""),183642.0)</f>
        <v>183642</v>
      </c>
      <c r="C248" s="1">
        <f>IFERROR(__xludf.DUMMYFUNCTION("""COMPUTED_VALUE"""),2026.0)</f>
        <v>2026</v>
      </c>
      <c r="D248" s="1">
        <f>IFERROR(__xludf.DUMMYFUNCTION("""COMPUTED_VALUE"""),46337.0)</f>
        <v>46337</v>
      </c>
      <c r="E248" s="1" t="str">
        <f>IFERROR(__xludf.DUMMYFUNCTION("""COMPUTED_VALUE"""),"VF")</f>
        <v>VF</v>
      </c>
      <c r="F248" s="1">
        <f>IFERROR(__xludf.DUMMYFUNCTION("""COMPUTED_VALUE"""),1.0)</f>
        <v>1</v>
      </c>
      <c r="G248" s="1" t="str">
        <f>IFERROR(__xludf.DUMMYFUNCTION("""COMPUTED_VALUE"""),"PR012")</f>
        <v>PR012</v>
      </c>
      <c r="H248" s="1" t="str">
        <f>IFERROR(__xludf.DUMMYFUNCTION("""COMPUTED_VALUE"""),"VD039")</f>
        <v>VD039</v>
      </c>
      <c r="I248" s="1">
        <f>IFERROR(__xludf.DUMMYFUNCTION("""COMPUTED_VALUE"""),2.0)</f>
        <v>2</v>
      </c>
      <c r="J248" s="1">
        <f>IFERROR(__xludf.DUMMYFUNCTION("""COMPUTED_VALUE"""),113.45)</f>
        <v>113.45</v>
      </c>
      <c r="K248" s="1">
        <f>IFERROR(__xludf.DUMMYFUNCTION("""COMPUTED_VALUE"""),113.45)</f>
        <v>113.45</v>
      </c>
    </row>
    <row r="249">
      <c r="A249" s="1">
        <f>IFERROR(__xludf.DUMMYFUNCTION("""COMPUTED_VALUE"""),1000.0)</f>
        <v>1000</v>
      </c>
      <c r="B249" s="1">
        <f>IFERROR(__xludf.DUMMYFUNCTION("""COMPUTED_VALUE"""),183643.0)</f>
        <v>183643</v>
      </c>
      <c r="C249" s="1">
        <f>IFERROR(__xludf.DUMMYFUNCTION("""COMPUTED_VALUE"""),2026.0)</f>
        <v>2026</v>
      </c>
      <c r="D249" s="1">
        <f>IFERROR(__xludf.DUMMYFUNCTION("""COMPUTED_VALUE"""),46337.0)</f>
        <v>46337</v>
      </c>
      <c r="E249" s="1" t="str">
        <f>IFERROR(__xludf.DUMMYFUNCTION("""COMPUTED_VALUE"""),"VF")</f>
        <v>VF</v>
      </c>
      <c r="F249" s="1">
        <f>IFERROR(__xludf.DUMMYFUNCTION("""COMPUTED_VALUE"""),1.0)</f>
        <v>1</v>
      </c>
      <c r="G249" s="1" t="str">
        <f>IFERROR(__xludf.DUMMYFUNCTION("""COMPUTED_VALUE"""),"PR024")</f>
        <v>PR024</v>
      </c>
      <c r="H249" s="1" t="str">
        <f>IFERROR(__xludf.DUMMYFUNCTION("""COMPUTED_VALUE"""),"VD032")</f>
        <v>VD032</v>
      </c>
      <c r="I249" s="1">
        <f>IFERROR(__xludf.DUMMYFUNCTION("""COMPUTED_VALUE"""),18.0)</f>
        <v>18</v>
      </c>
      <c r="J249" s="1">
        <f>IFERROR(__xludf.DUMMYFUNCTION("""COMPUTED_VALUE"""),5192.8)</f>
        <v>5192.8</v>
      </c>
      <c r="K249" s="1">
        <f>IFERROR(__xludf.DUMMYFUNCTION("""COMPUTED_VALUE"""),5192.8)</f>
        <v>5192.8</v>
      </c>
    </row>
    <row r="250">
      <c r="A250" s="1">
        <f>IFERROR(__xludf.DUMMYFUNCTION("""COMPUTED_VALUE"""),1000.0)</f>
        <v>1000</v>
      </c>
      <c r="B250" s="1">
        <f>IFERROR(__xludf.DUMMYFUNCTION("""COMPUTED_VALUE"""),183643.0)</f>
        <v>183643</v>
      </c>
      <c r="C250" s="1">
        <f>IFERROR(__xludf.DUMMYFUNCTION("""COMPUTED_VALUE"""),2026.0)</f>
        <v>2026</v>
      </c>
      <c r="D250" s="1">
        <f>IFERROR(__xludf.DUMMYFUNCTION("""COMPUTED_VALUE"""),46337.0)</f>
        <v>46337</v>
      </c>
      <c r="E250" s="1" t="str">
        <f>IFERROR(__xludf.DUMMYFUNCTION("""COMPUTED_VALUE"""),"VF")</f>
        <v>VF</v>
      </c>
      <c r="F250" s="1">
        <f>IFERROR(__xludf.DUMMYFUNCTION("""COMPUTED_VALUE"""),2.0)</f>
        <v>2</v>
      </c>
      <c r="G250" s="1" t="str">
        <f>IFERROR(__xludf.DUMMYFUNCTION("""COMPUTED_VALUE"""),"PR047")</f>
        <v>PR047</v>
      </c>
      <c r="H250" s="1" t="str">
        <f>IFERROR(__xludf.DUMMYFUNCTION("""COMPUTED_VALUE"""),"VD045")</f>
        <v>VD045</v>
      </c>
      <c r="I250" s="1">
        <f>IFERROR(__xludf.DUMMYFUNCTION("""COMPUTED_VALUE"""),8.0)</f>
        <v>8</v>
      </c>
      <c r="J250" s="1">
        <f>IFERROR(__xludf.DUMMYFUNCTION("""COMPUTED_VALUE"""),2736.66)</f>
        <v>2736.66</v>
      </c>
      <c r="K250" s="1">
        <f>IFERROR(__xludf.DUMMYFUNCTION("""COMPUTED_VALUE"""),2736.66)</f>
        <v>2736.66</v>
      </c>
    </row>
    <row r="251">
      <c r="A251" s="1">
        <f>IFERROR(__xludf.DUMMYFUNCTION("""COMPUTED_VALUE"""),1000.0)</f>
        <v>1000</v>
      </c>
      <c r="B251" s="1">
        <f>IFERROR(__xludf.DUMMYFUNCTION("""COMPUTED_VALUE"""),183643.0)</f>
        <v>183643</v>
      </c>
      <c r="C251" s="1">
        <f>IFERROR(__xludf.DUMMYFUNCTION("""COMPUTED_VALUE"""),2026.0)</f>
        <v>2026</v>
      </c>
      <c r="D251" s="1">
        <f>IFERROR(__xludf.DUMMYFUNCTION("""COMPUTED_VALUE"""),46337.0)</f>
        <v>46337</v>
      </c>
      <c r="E251" s="1" t="str">
        <f>IFERROR(__xludf.DUMMYFUNCTION("""COMPUTED_VALUE"""),"VF")</f>
        <v>VF</v>
      </c>
      <c r="F251" s="1">
        <f>IFERROR(__xludf.DUMMYFUNCTION("""COMPUTED_VALUE"""),3.0)</f>
        <v>3</v>
      </c>
      <c r="G251" s="1" t="str">
        <f>IFERROR(__xludf.DUMMYFUNCTION("""COMPUTED_VALUE"""),"PR030")</f>
        <v>PR030</v>
      </c>
      <c r="H251" s="1" t="str">
        <f>IFERROR(__xludf.DUMMYFUNCTION("""COMPUTED_VALUE"""),"VD022")</f>
        <v>VD022</v>
      </c>
      <c r="I251" s="1">
        <f>IFERROR(__xludf.DUMMYFUNCTION("""COMPUTED_VALUE"""),6.0)</f>
        <v>6</v>
      </c>
      <c r="J251" s="1">
        <f>IFERROR(__xludf.DUMMYFUNCTION("""COMPUTED_VALUE"""),1730.93)</f>
        <v>1730.93</v>
      </c>
      <c r="K251" s="1">
        <f>IFERROR(__xludf.DUMMYFUNCTION("""COMPUTED_VALUE"""),1730.93)</f>
        <v>1730.93</v>
      </c>
    </row>
    <row r="252">
      <c r="A252" s="1">
        <f>IFERROR(__xludf.DUMMYFUNCTION("""COMPUTED_VALUE"""),2000.0)</f>
        <v>2000</v>
      </c>
      <c r="B252" s="1">
        <f>IFERROR(__xludf.DUMMYFUNCTION("""COMPUTED_VALUE"""),183643.0)</f>
        <v>183643</v>
      </c>
      <c r="C252" s="1">
        <f>IFERROR(__xludf.DUMMYFUNCTION("""COMPUTED_VALUE"""),2026.0)</f>
        <v>2026</v>
      </c>
      <c r="D252" s="1">
        <f>IFERROR(__xludf.DUMMYFUNCTION("""COMPUTED_VALUE"""),46336.0)</f>
        <v>46336</v>
      </c>
      <c r="E252" s="1" t="str">
        <f>IFERROR(__xludf.DUMMYFUNCTION("""COMPUTED_VALUE"""),"VF")</f>
        <v>VF</v>
      </c>
      <c r="F252" s="1">
        <f>IFERROR(__xludf.DUMMYFUNCTION("""COMPUTED_VALUE"""),4.0)</f>
        <v>4</v>
      </c>
      <c r="G252" s="1" t="str">
        <f>IFERROR(__xludf.DUMMYFUNCTION("""COMPUTED_VALUE"""),"PR006")</f>
        <v>PR006</v>
      </c>
      <c r="H252" s="1" t="str">
        <f>IFERROR(__xludf.DUMMYFUNCTION("""COMPUTED_VALUE"""),"VD032")</f>
        <v>VD032</v>
      </c>
      <c r="I252" s="1">
        <f>IFERROR(__xludf.DUMMYFUNCTION("""COMPUTED_VALUE"""),7.0)</f>
        <v>7</v>
      </c>
      <c r="J252" s="1">
        <f>IFERROR(__xludf.DUMMYFUNCTION("""COMPUTED_VALUE"""),318.4)</f>
        <v>318.4</v>
      </c>
      <c r="K252" s="1">
        <f>IFERROR(__xludf.DUMMYFUNCTION("""COMPUTED_VALUE"""),318.4)</f>
        <v>318.4</v>
      </c>
    </row>
    <row r="253">
      <c r="A253" s="1">
        <f>IFERROR(__xludf.DUMMYFUNCTION("""COMPUTED_VALUE"""),1000.0)</f>
        <v>1000</v>
      </c>
      <c r="B253" s="1">
        <f>IFERROR(__xludf.DUMMYFUNCTION("""COMPUTED_VALUE"""),183644.0)</f>
        <v>183644</v>
      </c>
      <c r="C253" s="1">
        <f>IFERROR(__xludf.DUMMYFUNCTION("""COMPUTED_VALUE"""),2026.0)</f>
        <v>2026</v>
      </c>
      <c r="D253" s="1">
        <f>IFERROR(__xludf.DUMMYFUNCTION("""COMPUTED_VALUE"""),46336.0)</f>
        <v>46336</v>
      </c>
      <c r="E253" s="1" t="str">
        <f>IFERROR(__xludf.DUMMYFUNCTION("""COMPUTED_VALUE"""),"VF")</f>
        <v>VF</v>
      </c>
      <c r="F253" s="1">
        <f>IFERROR(__xludf.DUMMYFUNCTION("""COMPUTED_VALUE"""),1.0)</f>
        <v>1</v>
      </c>
      <c r="G253" s="1" t="str">
        <f>IFERROR(__xludf.DUMMYFUNCTION("""COMPUTED_VALUE"""),"PR032")</f>
        <v>PR032</v>
      </c>
      <c r="H253" s="1" t="str">
        <f>IFERROR(__xludf.DUMMYFUNCTION("""COMPUTED_VALUE"""),"VD014")</f>
        <v>VD014</v>
      </c>
      <c r="I253" s="1">
        <f>IFERROR(__xludf.DUMMYFUNCTION("""COMPUTED_VALUE"""),6.0)</f>
        <v>6</v>
      </c>
      <c r="J253" s="1">
        <f>IFERROR(__xludf.DUMMYFUNCTION("""COMPUTED_VALUE"""),1800.0)</f>
        <v>1800</v>
      </c>
      <c r="K253" s="1">
        <f>IFERROR(__xludf.DUMMYFUNCTION("""COMPUTED_VALUE"""),1800.0)</f>
        <v>1800</v>
      </c>
    </row>
    <row r="254">
      <c r="A254" s="1">
        <f>IFERROR(__xludf.DUMMYFUNCTION("""COMPUTED_VALUE"""),1000.0)</f>
        <v>1000</v>
      </c>
      <c r="B254" s="1">
        <f>IFERROR(__xludf.DUMMYFUNCTION("""COMPUTED_VALUE"""),183644.0)</f>
        <v>183644</v>
      </c>
      <c r="C254" s="1">
        <f>IFERROR(__xludf.DUMMYFUNCTION("""COMPUTED_VALUE"""),2026.0)</f>
        <v>2026</v>
      </c>
      <c r="D254" s="1">
        <f>IFERROR(__xludf.DUMMYFUNCTION("""COMPUTED_VALUE"""),46336.0)</f>
        <v>46336</v>
      </c>
      <c r="E254" s="1" t="str">
        <f>IFERROR(__xludf.DUMMYFUNCTION("""COMPUTED_VALUE"""),"VF")</f>
        <v>VF</v>
      </c>
      <c r="F254" s="1">
        <f>IFERROR(__xludf.DUMMYFUNCTION("""COMPUTED_VALUE"""),2.0)</f>
        <v>2</v>
      </c>
      <c r="G254" s="1" t="str">
        <f>IFERROR(__xludf.DUMMYFUNCTION("""COMPUTED_VALUE"""),"PR031")</f>
        <v>PR031</v>
      </c>
      <c r="H254" s="1" t="str">
        <f>IFERROR(__xludf.DUMMYFUNCTION("""COMPUTED_VALUE"""),"VD038")</f>
        <v>VD038</v>
      </c>
      <c r="I254" s="1">
        <f>IFERROR(__xludf.DUMMYFUNCTION("""COMPUTED_VALUE"""),16.0)</f>
        <v>16</v>
      </c>
      <c r="J254" s="1">
        <f>IFERROR(__xludf.DUMMYFUNCTION("""COMPUTED_VALUE"""),4664.8)</f>
        <v>4664.8</v>
      </c>
      <c r="K254" s="1">
        <f>IFERROR(__xludf.DUMMYFUNCTION("""COMPUTED_VALUE"""),4664.8)</f>
        <v>4664.8</v>
      </c>
    </row>
    <row r="255">
      <c r="A255" s="1">
        <f>IFERROR(__xludf.DUMMYFUNCTION("""COMPUTED_VALUE"""),1000.0)</f>
        <v>1000</v>
      </c>
      <c r="B255" s="1">
        <f>IFERROR(__xludf.DUMMYFUNCTION("""COMPUTED_VALUE"""),183645.0)</f>
        <v>183645</v>
      </c>
      <c r="C255" s="1">
        <f>IFERROR(__xludf.DUMMYFUNCTION("""COMPUTED_VALUE"""),2026.0)</f>
        <v>2026</v>
      </c>
      <c r="D255" s="1">
        <f>IFERROR(__xludf.DUMMYFUNCTION("""COMPUTED_VALUE"""),46335.0)</f>
        <v>46335</v>
      </c>
      <c r="E255" s="1" t="str">
        <f>IFERROR(__xludf.DUMMYFUNCTION("""COMPUTED_VALUE"""),"VF")</f>
        <v>VF</v>
      </c>
      <c r="F255" s="1">
        <f>IFERROR(__xludf.DUMMYFUNCTION("""COMPUTED_VALUE"""),1.0)</f>
        <v>1</v>
      </c>
      <c r="G255" s="1" t="str">
        <f>IFERROR(__xludf.DUMMYFUNCTION("""COMPUTED_VALUE"""),"PR029")</f>
        <v>PR029</v>
      </c>
      <c r="H255" s="1" t="str">
        <f>IFERROR(__xludf.DUMMYFUNCTION("""COMPUTED_VALUE"""),"VD027")</f>
        <v>VD027</v>
      </c>
      <c r="I255" s="1">
        <f>IFERROR(__xludf.DUMMYFUNCTION("""COMPUTED_VALUE"""),8.0)</f>
        <v>8</v>
      </c>
      <c r="J255" s="1">
        <f>IFERROR(__xludf.DUMMYFUNCTION("""COMPUTED_VALUE"""),2427.6)</f>
        <v>2427.6</v>
      </c>
      <c r="K255" s="1">
        <f>IFERROR(__xludf.DUMMYFUNCTION("""COMPUTED_VALUE"""),2427.6)</f>
        <v>2427.6</v>
      </c>
    </row>
    <row r="256">
      <c r="A256" s="1">
        <f>IFERROR(__xludf.DUMMYFUNCTION("""COMPUTED_VALUE"""),2000.0)</f>
        <v>2000</v>
      </c>
      <c r="B256" s="1">
        <f>IFERROR(__xludf.DUMMYFUNCTION("""COMPUTED_VALUE"""),183646.0)</f>
        <v>183646</v>
      </c>
      <c r="C256" s="1">
        <f>IFERROR(__xludf.DUMMYFUNCTION("""COMPUTED_VALUE"""),2026.0)</f>
        <v>2026</v>
      </c>
      <c r="D256" s="1">
        <f>IFERROR(__xludf.DUMMYFUNCTION("""COMPUTED_VALUE"""),46335.0)</f>
        <v>46335</v>
      </c>
      <c r="E256" s="1" t="str">
        <f>IFERROR(__xludf.DUMMYFUNCTION("""COMPUTED_VALUE"""),"VF")</f>
        <v>VF</v>
      </c>
      <c r="F256" s="1">
        <f>IFERROR(__xludf.DUMMYFUNCTION("""COMPUTED_VALUE"""),1.0)</f>
        <v>1</v>
      </c>
      <c r="G256" s="1" t="str">
        <f>IFERROR(__xludf.DUMMYFUNCTION("""COMPUTED_VALUE"""),"PR021")</f>
        <v>PR021</v>
      </c>
      <c r="H256" s="1" t="str">
        <f>IFERROR(__xludf.DUMMYFUNCTION("""COMPUTED_VALUE"""),"VD011")</f>
        <v>VD011</v>
      </c>
      <c r="I256" s="1">
        <f>IFERROR(__xludf.DUMMYFUNCTION("""COMPUTED_VALUE"""),5.0)</f>
        <v>5</v>
      </c>
      <c r="J256" s="1">
        <f>IFERROR(__xludf.DUMMYFUNCTION("""COMPUTED_VALUE"""),1696.24)</f>
        <v>1696.24</v>
      </c>
      <c r="K256" s="1">
        <f>IFERROR(__xludf.DUMMYFUNCTION("""COMPUTED_VALUE"""),1696.24)</f>
        <v>1696.24</v>
      </c>
    </row>
    <row r="257">
      <c r="A257" s="1">
        <f>IFERROR(__xludf.DUMMYFUNCTION("""COMPUTED_VALUE"""),1000.0)</f>
        <v>1000</v>
      </c>
      <c r="B257" s="1">
        <f>IFERROR(__xludf.DUMMYFUNCTION("""COMPUTED_VALUE"""),183647.0)</f>
        <v>183647</v>
      </c>
      <c r="C257" s="1">
        <f>IFERROR(__xludf.DUMMYFUNCTION("""COMPUTED_VALUE"""),2026.0)</f>
        <v>2026</v>
      </c>
      <c r="D257" s="1">
        <f>IFERROR(__xludf.DUMMYFUNCTION("""COMPUTED_VALUE"""),46335.0)</f>
        <v>46335</v>
      </c>
      <c r="E257" s="1" t="str">
        <f>IFERROR(__xludf.DUMMYFUNCTION("""COMPUTED_VALUE"""),"VF")</f>
        <v>VF</v>
      </c>
      <c r="F257" s="1">
        <f>IFERROR(__xludf.DUMMYFUNCTION("""COMPUTED_VALUE"""),1.0)</f>
        <v>1</v>
      </c>
      <c r="G257" s="1" t="str">
        <f>IFERROR(__xludf.DUMMYFUNCTION("""COMPUTED_VALUE"""),"PR039")</f>
        <v>PR039</v>
      </c>
      <c r="H257" s="1" t="str">
        <f>IFERROR(__xludf.DUMMYFUNCTION("""COMPUTED_VALUE"""),"VD017")</f>
        <v>VD017</v>
      </c>
      <c r="I257" s="1">
        <f>IFERROR(__xludf.DUMMYFUNCTION("""COMPUTED_VALUE"""),6.0)</f>
        <v>6</v>
      </c>
      <c r="J257" s="1">
        <f>IFERROR(__xludf.DUMMYFUNCTION("""COMPUTED_VALUE"""),1033.68)</f>
        <v>1033.68</v>
      </c>
      <c r="K257" s="1">
        <f>IFERROR(__xludf.DUMMYFUNCTION("""COMPUTED_VALUE"""),1033.68)</f>
        <v>1033.68</v>
      </c>
    </row>
    <row r="258">
      <c r="A258" s="1">
        <f>IFERROR(__xludf.DUMMYFUNCTION("""COMPUTED_VALUE"""),2000.0)</f>
        <v>2000</v>
      </c>
      <c r="B258" s="1">
        <f>IFERROR(__xludf.DUMMYFUNCTION("""COMPUTED_VALUE"""),183648.0)</f>
        <v>183648</v>
      </c>
      <c r="C258" s="1">
        <f>IFERROR(__xludf.DUMMYFUNCTION("""COMPUTED_VALUE"""),2026.0)</f>
        <v>2026</v>
      </c>
      <c r="D258" s="1">
        <f>IFERROR(__xludf.DUMMYFUNCTION("""COMPUTED_VALUE"""),46335.0)</f>
        <v>46335</v>
      </c>
      <c r="E258" s="1" t="str">
        <f>IFERROR(__xludf.DUMMYFUNCTION("""COMPUTED_VALUE"""),"VF")</f>
        <v>VF</v>
      </c>
      <c r="F258" s="1">
        <f>IFERROR(__xludf.DUMMYFUNCTION("""COMPUTED_VALUE"""),1.0)</f>
        <v>1</v>
      </c>
      <c r="G258" s="1" t="str">
        <f>IFERROR(__xludf.DUMMYFUNCTION("""COMPUTED_VALUE"""),"PR024")</f>
        <v>PR024</v>
      </c>
      <c r="H258" s="1" t="str">
        <f>IFERROR(__xludf.DUMMYFUNCTION("""COMPUTED_VALUE"""),"VD021")</f>
        <v>VD021</v>
      </c>
      <c r="I258" s="1">
        <f>IFERROR(__xludf.DUMMYFUNCTION("""COMPUTED_VALUE"""),12.0)</f>
        <v>12</v>
      </c>
      <c r="J258" s="1">
        <f>IFERROR(__xludf.DUMMYFUNCTION("""COMPUTED_VALUE"""),3617.81)</f>
        <v>3617.81</v>
      </c>
      <c r="K258" s="1">
        <f>IFERROR(__xludf.DUMMYFUNCTION("""COMPUTED_VALUE"""),3617.81)</f>
        <v>3617.81</v>
      </c>
    </row>
    <row r="259">
      <c r="A259" s="1">
        <f>IFERROR(__xludf.DUMMYFUNCTION("""COMPUTED_VALUE"""),1000.0)</f>
        <v>1000</v>
      </c>
      <c r="B259" s="1">
        <f>IFERROR(__xludf.DUMMYFUNCTION("""COMPUTED_VALUE"""),183649.0)</f>
        <v>183649</v>
      </c>
      <c r="C259" s="1">
        <f>IFERROR(__xludf.DUMMYFUNCTION("""COMPUTED_VALUE"""),2026.0)</f>
        <v>2026</v>
      </c>
      <c r="D259" s="1">
        <f>IFERROR(__xludf.DUMMYFUNCTION("""COMPUTED_VALUE"""),46334.0)</f>
        <v>46334</v>
      </c>
      <c r="E259" s="1" t="str">
        <f>IFERROR(__xludf.DUMMYFUNCTION("""COMPUTED_VALUE"""),"VF")</f>
        <v>VF</v>
      </c>
      <c r="F259" s="1">
        <f>IFERROR(__xludf.DUMMYFUNCTION("""COMPUTED_VALUE"""),1.0)</f>
        <v>1</v>
      </c>
      <c r="G259" s="1" t="str">
        <f>IFERROR(__xludf.DUMMYFUNCTION("""COMPUTED_VALUE"""),"PR039")</f>
        <v>PR039</v>
      </c>
      <c r="H259" s="1" t="str">
        <f>IFERROR(__xludf.DUMMYFUNCTION("""COMPUTED_VALUE"""),"VD042")</f>
        <v>VD042</v>
      </c>
      <c r="I259" s="1">
        <f>IFERROR(__xludf.DUMMYFUNCTION("""COMPUTED_VALUE"""),14.0)</f>
        <v>14</v>
      </c>
      <c r="J259" s="1">
        <f>IFERROR(__xludf.DUMMYFUNCTION("""COMPUTED_VALUE"""),2289.28)</f>
        <v>2289.28</v>
      </c>
      <c r="K259" s="1">
        <f>IFERROR(__xludf.DUMMYFUNCTION("""COMPUTED_VALUE"""),2289.28)</f>
        <v>2289.28</v>
      </c>
    </row>
    <row r="260">
      <c r="A260" s="1">
        <f>IFERROR(__xludf.DUMMYFUNCTION("""COMPUTED_VALUE"""),1000.0)</f>
        <v>1000</v>
      </c>
      <c r="B260" s="1">
        <f>IFERROR(__xludf.DUMMYFUNCTION("""COMPUTED_VALUE"""),183650.0)</f>
        <v>183650</v>
      </c>
      <c r="C260" s="1">
        <f>IFERROR(__xludf.DUMMYFUNCTION("""COMPUTED_VALUE"""),2026.0)</f>
        <v>2026</v>
      </c>
      <c r="D260" s="1">
        <f>IFERROR(__xludf.DUMMYFUNCTION("""COMPUTED_VALUE"""),46334.0)</f>
        <v>46334</v>
      </c>
      <c r="E260" s="1" t="str">
        <f>IFERROR(__xludf.DUMMYFUNCTION("""COMPUTED_VALUE"""),"VF")</f>
        <v>VF</v>
      </c>
      <c r="F260" s="1">
        <f>IFERROR(__xludf.DUMMYFUNCTION("""COMPUTED_VALUE"""),1.0)</f>
        <v>1</v>
      </c>
      <c r="G260" s="1" t="str">
        <f>IFERROR(__xludf.DUMMYFUNCTION("""COMPUTED_VALUE"""),"PR050")</f>
        <v>PR050</v>
      </c>
      <c r="H260" s="1" t="str">
        <f>IFERROR(__xludf.DUMMYFUNCTION("""COMPUTED_VALUE"""),"VD042")</f>
        <v>VD042</v>
      </c>
      <c r="I260" s="1">
        <f>IFERROR(__xludf.DUMMYFUNCTION("""COMPUTED_VALUE"""),8.0)</f>
        <v>8</v>
      </c>
      <c r="J260" s="1">
        <f>IFERROR(__xludf.DUMMYFUNCTION("""COMPUTED_VALUE"""),313.21)</f>
        <v>313.21</v>
      </c>
      <c r="K260" s="1">
        <f>IFERROR(__xludf.DUMMYFUNCTION("""COMPUTED_VALUE"""),313.21)</f>
        <v>313.21</v>
      </c>
    </row>
    <row r="261">
      <c r="A261" s="1">
        <f>IFERROR(__xludf.DUMMYFUNCTION("""COMPUTED_VALUE"""),1000.0)</f>
        <v>1000</v>
      </c>
      <c r="B261" s="1">
        <f>IFERROR(__xludf.DUMMYFUNCTION("""COMPUTED_VALUE"""),183650.0)</f>
        <v>183650</v>
      </c>
      <c r="C261" s="1">
        <f>IFERROR(__xludf.DUMMYFUNCTION("""COMPUTED_VALUE"""),2026.0)</f>
        <v>2026</v>
      </c>
      <c r="D261" s="1">
        <f>IFERROR(__xludf.DUMMYFUNCTION("""COMPUTED_VALUE"""),46334.0)</f>
        <v>46334</v>
      </c>
      <c r="E261" s="1" t="str">
        <f>IFERROR(__xludf.DUMMYFUNCTION("""COMPUTED_VALUE"""),"VF")</f>
        <v>VF</v>
      </c>
      <c r="F261" s="1">
        <f>IFERROR(__xludf.DUMMYFUNCTION("""COMPUTED_VALUE"""),2.0)</f>
        <v>2</v>
      </c>
      <c r="G261" s="1" t="str">
        <f>IFERROR(__xludf.DUMMYFUNCTION("""COMPUTED_VALUE"""),"PR032")</f>
        <v>PR032</v>
      </c>
      <c r="H261" s="1" t="str">
        <f>IFERROR(__xludf.DUMMYFUNCTION("""COMPUTED_VALUE"""),"VD036")</f>
        <v>VD036</v>
      </c>
      <c r="I261" s="1">
        <f>IFERROR(__xludf.DUMMYFUNCTION("""COMPUTED_VALUE"""),30.0)</f>
        <v>30</v>
      </c>
      <c r="J261" s="1">
        <f>IFERROR(__xludf.DUMMYFUNCTION("""COMPUTED_VALUE"""),8925.0)</f>
        <v>8925</v>
      </c>
      <c r="K261" s="1">
        <f>IFERROR(__xludf.DUMMYFUNCTION("""COMPUTED_VALUE"""),8925.0)</f>
        <v>8925</v>
      </c>
    </row>
    <row r="262">
      <c r="A262" s="1">
        <f>IFERROR(__xludf.DUMMYFUNCTION("""COMPUTED_VALUE"""),1000.0)</f>
        <v>1000</v>
      </c>
      <c r="B262" s="1">
        <f>IFERROR(__xludf.DUMMYFUNCTION("""COMPUTED_VALUE"""),183651.0)</f>
        <v>183651</v>
      </c>
      <c r="C262" s="1">
        <f>IFERROR(__xludf.DUMMYFUNCTION("""COMPUTED_VALUE"""),2026.0)</f>
        <v>2026</v>
      </c>
      <c r="D262" s="1">
        <f>IFERROR(__xludf.DUMMYFUNCTION("""COMPUTED_VALUE"""),46334.0)</f>
        <v>46334</v>
      </c>
      <c r="E262" s="1" t="str">
        <f>IFERROR(__xludf.DUMMYFUNCTION("""COMPUTED_VALUE"""),"VF")</f>
        <v>VF</v>
      </c>
      <c r="F262" s="1">
        <f>IFERROR(__xludf.DUMMYFUNCTION("""COMPUTED_VALUE"""),1.0)</f>
        <v>1</v>
      </c>
      <c r="G262" s="1" t="str">
        <f>IFERROR(__xludf.DUMMYFUNCTION("""COMPUTED_VALUE"""),"PR047")</f>
        <v>PR047</v>
      </c>
      <c r="H262" s="1" t="str">
        <f>IFERROR(__xludf.DUMMYFUNCTION("""COMPUTED_VALUE"""),"VD027")</f>
        <v>VD027</v>
      </c>
      <c r="I262" s="1">
        <f>IFERROR(__xludf.DUMMYFUNCTION("""COMPUTED_VALUE"""),8.0)</f>
        <v>8</v>
      </c>
      <c r="J262" s="1">
        <f>IFERROR(__xludf.DUMMYFUNCTION("""COMPUTED_VALUE"""),2481.54)</f>
        <v>2481.54</v>
      </c>
      <c r="K262" s="1">
        <f>IFERROR(__xludf.DUMMYFUNCTION("""COMPUTED_VALUE"""),2481.54)</f>
        <v>2481.54</v>
      </c>
    </row>
    <row r="263">
      <c r="A263" s="1">
        <f>IFERROR(__xludf.DUMMYFUNCTION("""COMPUTED_VALUE"""),1000.0)</f>
        <v>1000</v>
      </c>
      <c r="B263" s="1">
        <f>IFERROR(__xludf.DUMMYFUNCTION("""COMPUTED_VALUE"""),183652.0)</f>
        <v>183652</v>
      </c>
      <c r="C263" s="1">
        <f>IFERROR(__xludf.DUMMYFUNCTION("""COMPUTED_VALUE"""),2026.0)</f>
        <v>2026</v>
      </c>
      <c r="D263" s="1">
        <f>IFERROR(__xludf.DUMMYFUNCTION("""COMPUTED_VALUE"""),46334.0)</f>
        <v>46334</v>
      </c>
      <c r="E263" s="1" t="str">
        <f>IFERROR(__xludf.DUMMYFUNCTION("""COMPUTED_VALUE"""),"VF")</f>
        <v>VF</v>
      </c>
      <c r="F263" s="1">
        <f>IFERROR(__xludf.DUMMYFUNCTION("""COMPUTED_VALUE"""),1.0)</f>
        <v>1</v>
      </c>
      <c r="G263" s="1" t="str">
        <f>IFERROR(__xludf.DUMMYFUNCTION("""COMPUTED_VALUE"""),"PR016")</f>
        <v>PR016</v>
      </c>
      <c r="H263" s="1" t="str">
        <f>IFERROR(__xludf.DUMMYFUNCTION("""COMPUTED_VALUE"""),"VD023")</f>
        <v>VD023</v>
      </c>
      <c r="I263" s="1">
        <f>IFERROR(__xludf.DUMMYFUNCTION("""COMPUTED_VALUE"""),18.0)</f>
        <v>18</v>
      </c>
      <c r="J263" s="1">
        <f>IFERROR(__xludf.DUMMYFUNCTION("""COMPUTED_VALUE"""),470.86)</f>
        <v>470.86</v>
      </c>
      <c r="K263" s="1">
        <f>IFERROR(__xludf.DUMMYFUNCTION("""COMPUTED_VALUE"""),470.86)</f>
        <v>470.86</v>
      </c>
    </row>
    <row r="264">
      <c r="A264" s="1">
        <f>IFERROR(__xludf.DUMMYFUNCTION("""COMPUTED_VALUE"""),1000.0)</f>
        <v>1000</v>
      </c>
      <c r="B264" s="1">
        <f>IFERROR(__xludf.DUMMYFUNCTION("""COMPUTED_VALUE"""),183653.0)</f>
        <v>183653</v>
      </c>
      <c r="C264" s="1">
        <f>IFERROR(__xludf.DUMMYFUNCTION("""COMPUTED_VALUE"""),2026.0)</f>
        <v>2026</v>
      </c>
      <c r="D264" s="1">
        <f>IFERROR(__xludf.DUMMYFUNCTION("""COMPUTED_VALUE"""),46334.0)</f>
        <v>46334</v>
      </c>
      <c r="E264" s="1" t="str">
        <f>IFERROR(__xludf.DUMMYFUNCTION("""COMPUTED_VALUE"""),"VF")</f>
        <v>VF</v>
      </c>
      <c r="F264" s="1">
        <f>IFERROR(__xludf.DUMMYFUNCTION("""COMPUTED_VALUE"""),1.0)</f>
        <v>1</v>
      </c>
      <c r="G264" s="1" t="str">
        <f>IFERROR(__xludf.DUMMYFUNCTION("""COMPUTED_VALUE"""),"PR029")</f>
        <v>PR029</v>
      </c>
      <c r="H264" s="1" t="str">
        <f>IFERROR(__xludf.DUMMYFUNCTION("""COMPUTED_VALUE"""),"VD033")</f>
        <v>VD033</v>
      </c>
      <c r="I264" s="1">
        <f>IFERROR(__xludf.DUMMYFUNCTION("""COMPUTED_VALUE"""),16.0)</f>
        <v>16</v>
      </c>
      <c r="J264" s="1">
        <f>IFERROR(__xludf.DUMMYFUNCTION("""COMPUTED_VALUE"""),4161.6)</f>
        <v>4161.6</v>
      </c>
      <c r="K264" s="1">
        <f>IFERROR(__xludf.DUMMYFUNCTION("""COMPUTED_VALUE"""),4161.6)</f>
        <v>4161.6</v>
      </c>
    </row>
    <row r="265">
      <c r="A265" s="1">
        <f>IFERROR(__xludf.DUMMYFUNCTION("""COMPUTED_VALUE"""),1000.0)</f>
        <v>1000</v>
      </c>
      <c r="B265" s="1">
        <f>IFERROR(__xludf.DUMMYFUNCTION("""COMPUTED_VALUE"""),183654.0)</f>
        <v>183654</v>
      </c>
      <c r="C265" s="1">
        <f>IFERROR(__xludf.DUMMYFUNCTION("""COMPUTED_VALUE"""),2026.0)</f>
        <v>2026</v>
      </c>
      <c r="D265" s="1">
        <f>IFERROR(__xludf.DUMMYFUNCTION("""COMPUTED_VALUE"""),46334.0)</f>
        <v>46334</v>
      </c>
      <c r="E265" s="1" t="str">
        <f>IFERROR(__xludf.DUMMYFUNCTION("""COMPUTED_VALUE"""),"VF")</f>
        <v>VF</v>
      </c>
      <c r="F265" s="1">
        <f>IFERROR(__xludf.DUMMYFUNCTION("""COMPUTED_VALUE"""),1.0)</f>
        <v>1</v>
      </c>
      <c r="G265" s="1" t="str">
        <f>IFERROR(__xludf.DUMMYFUNCTION("""COMPUTED_VALUE"""),"PR050")</f>
        <v>PR050</v>
      </c>
      <c r="H265" s="1" t="str">
        <f>IFERROR(__xludf.DUMMYFUNCTION("""COMPUTED_VALUE"""),"VD036")</f>
        <v>VD036</v>
      </c>
      <c r="I265" s="1">
        <f>IFERROR(__xludf.DUMMYFUNCTION("""COMPUTED_VALUE"""),10.0)</f>
        <v>10</v>
      </c>
      <c r="J265" s="1">
        <f>IFERROR(__xludf.DUMMYFUNCTION("""COMPUTED_VALUE"""),345.45)</f>
        <v>345.45</v>
      </c>
      <c r="K265" s="1">
        <f>IFERROR(__xludf.DUMMYFUNCTION("""COMPUTED_VALUE"""),345.45)</f>
        <v>345.45</v>
      </c>
    </row>
    <row r="266">
      <c r="A266" s="1">
        <f>IFERROR(__xludf.DUMMYFUNCTION("""COMPUTED_VALUE"""),1000.0)</f>
        <v>1000</v>
      </c>
      <c r="B266" s="1">
        <f>IFERROR(__xludf.DUMMYFUNCTION("""COMPUTED_VALUE"""),183654.0)</f>
        <v>183654</v>
      </c>
      <c r="C266" s="1">
        <f>IFERROR(__xludf.DUMMYFUNCTION("""COMPUTED_VALUE"""),2026.0)</f>
        <v>2026</v>
      </c>
      <c r="D266" s="1">
        <f>IFERROR(__xludf.DUMMYFUNCTION("""COMPUTED_VALUE"""),46334.0)</f>
        <v>46334</v>
      </c>
      <c r="E266" s="1" t="str">
        <f>IFERROR(__xludf.DUMMYFUNCTION("""COMPUTED_VALUE"""),"VF")</f>
        <v>VF</v>
      </c>
      <c r="F266" s="1">
        <f>IFERROR(__xludf.DUMMYFUNCTION("""COMPUTED_VALUE"""),2.0)</f>
        <v>2</v>
      </c>
      <c r="G266" s="1" t="str">
        <f>IFERROR(__xludf.DUMMYFUNCTION("""COMPUTED_VALUE"""),"PR045")</f>
        <v>PR045</v>
      </c>
      <c r="H266" s="1" t="str">
        <f>IFERROR(__xludf.DUMMYFUNCTION("""COMPUTED_VALUE"""),"VD045")</f>
        <v>VD045</v>
      </c>
      <c r="I266" s="1">
        <f>IFERROR(__xludf.DUMMYFUNCTION("""COMPUTED_VALUE"""),3.0)</f>
        <v>3</v>
      </c>
      <c r="J266" s="1">
        <f>IFERROR(__xludf.DUMMYFUNCTION("""COMPUTED_VALUE"""),237.08)</f>
        <v>237.08</v>
      </c>
      <c r="K266" s="1">
        <f>IFERROR(__xludf.DUMMYFUNCTION("""COMPUTED_VALUE"""),237.08)</f>
        <v>237.08</v>
      </c>
    </row>
    <row r="267">
      <c r="A267" s="1">
        <f>IFERROR(__xludf.DUMMYFUNCTION("""COMPUTED_VALUE"""),1000.0)</f>
        <v>1000</v>
      </c>
      <c r="B267" s="1">
        <f>IFERROR(__xludf.DUMMYFUNCTION("""COMPUTED_VALUE"""),183654.0)</f>
        <v>183654</v>
      </c>
      <c r="C267" s="1">
        <f>IFERROR(__xludf.DUMMYFUNCTION("""COMPUTED_VALUE"""),2026.0)</f>
        <v>2026</v>
      </c>
      <c r="D267" s="1">
        <f>IFERROR(__xludf.DUMMYFUNCTION("""COMPUTED_VALUE"""),46334.0)</f>
        <v>46334</v>
      </c>
      <c r="E267" s="1" t="str">
        <f>IFERROR(__xludf.DUMMYFUNCTION("""COMPUTED_VALUE"""),"VF")</f>
        <v>VF</v>
      </c>
      <c r="F267" s="1">
        <f>IFERROR(__xludf.DUMMYFUNCTION("""COMPUTED_VALUE"""),3.0)</f>
        <v>3</v>
      </c>
      <c r="G267" s="1" t="str">
        <f>IFERROR(__xludf.DUMMYFUNCTION("""COMPUTED_VALUE"""),"PR053")</f>
        <v>PR053</v>
      </c>
      <c r="H267" s="1" t="str">
        <f>IFERROR(__xludf.DUMMYFUNCTION("""COMPUTED_VALUE"""),"VD022")</f>
        <v>VD022</v>
      </c>
      <c r="I267" s="1">
        <f>IFERROR(__xludf.DUMMYFUNCTION("""COMPUTED_VALUE"""),10.0)</f>
        <v>10</v>
      </c>
      <c r="J267" s="1">
        <f>IFERROR(__xludf.DUMMYFUNCTION("""COMPUTED_VALUE"""),543.91)</f>
        <v>543.91</v>
      </c>
      <c r="K267" s="1">
        <f>IFERROR(__xludf.DUMMYFUNCTION("""COMPUTED_VALUE"""),543.91)</f>
        <v>543.91</v>
      </c>
    </row>
    <row r="268">
      <c r="A268" s="1">
        <f>IFERROR(__xludf.DUMMYFUNCTION("""COMPUTED_VALUE"""),1000.0)</f>
        <v>1000</v>
      </c>
      <c r="B268" s="1">
        <f>IFERROR(__xludf.DUMMYFUNCTION("""COMPUTED_VALUE"""),183655.0)</f>
        <v>183655</v>
      </c>
      <c r="C268" s="1">
        <f>IFERROR(__xludf.DUMMYFUNCTION("""COMPUTED_VALUE"""),2026.0)</f>
        <v>2026</v>
      </c>
      <c r="D268" s="1">
        <f>IFERROR(__xludf.DUMMYFUNCTION("""COMPUTED_VALUE"""),46334.0)</f>
        <v>46334</v>
      </c>
      <c r="E268" s="1" t="str">
        <f>IFERROR(__xludf.DUMMYFUNCTION("""COMPUTED_VALUE"""),"VF")</f>
        <v>VF</v>
      </c>
      <c r="F268" s="1">
        <f>IFERROR(__xludf.DUMMYFUNCTION("""COMPUTED_VALUE"""),1.0)</f>
        <v>1</v>
      </c>
      <c r="G268" s="1" t="str">
        <f>IFERROR(__xludf.DUMMYFUNCTION("""COMPUTED_VALUE"""),"PR042")</f>
        <v>PR042</v>
      </c>
      <c r="H268" s="1" t="str">
        <f>IFERROR(__xludf.DUMMYFUNCTION("""COMPUTED_VALUE"""),"VD020")</f>
        <v>VD020</v>
      </c>
      <c r="I268" s="1">
        <f>IFERROR(__xludf.DUMMYFUNCTION("""COMPUTED_VALUE"""),3.0)</f>
        <v>3</v>
      </c>
      <c r="J268" s="1">
        <f>IFERROR(__xludf.DUMMYFUNCTION("""COMPUTED_VALUE"""),167.99)</f>
        <v>167.99</v>
      </c>
      <c r="K268" s="1">
        <f>IFERROR(__xludf.DUMMYFUNCTION("""COMPUTED_VALUE"""),167.99)</f>
        <v>167.99</v>
      </c>
    </row>
    <row r="269">
      <c r="A269" s="1">
        <f>IFERROR(__xludf.DUMMYFUNCTION("""COMPUTED_VALUE"""),1000.0)</f>
        <v>1000</v>
      </c>
      <c r="B269" s="1">
        <f>IFERROR(__xludf.DUMMYFUNCTION("""COMPUTED_VALUE"""),183656.0)</f>
        <v>183656</v>
      </c>
      <c r="C269" s="1">
        <f>IFERROR(__xludf.DUMMYFUNCTION("""COMPUTED_VALUE"""),2026.0)</f>
        <v>2026</v>
      </c>
      <c r="D269" s="1">
        <f>IFERROR(__xludf.DUMMYFUNCTION("""COMPUTED_VALUE"""),46333.0)</f>
        <v>46333</v>
      </c>
      <c r="E269" s="1" t="str">
        <f>IFERROR(__xludf.DUMMYFUNCTION("""COMPUTED_VALUE"""),"VF")</f>
        <v>VF</v>
      </c>
      <c r="F269" s="1">
        <f>IFERROR(__xludf.DUMMYFUNCTION("""COMPUTED_VALUE"""),1.0)</f>
        <v>1</v>
      </c>
      <c r="G269" s="1" t="str">
        <f>IFERROR(__xludf.DUMMYFUNCTION("""COMPUTED_VALUE"""),"PR049")</f>
        <v>PR049</v>
      </c>
      <c r="H269" s="1" t="str">
        <f>IFERROR(__xludf.DUMMYFUNCTION("""COMPUTED_VALUE"""),"VD019")</f>
        <v>VD019</v>
      </c>
      <c r="I269" s="1">
        <f>IFERROR(__xludf.DUMMYFUNCTION("""COMPUTED_VALUE"""),4.0)</f>
        <v>4</v>
      </c>
      <c r="J269" s="1">
        <f>IFERROR(__xludf.DUMMYFUNCTION("""COMPUTED_VALUE"""),132.92)</f>
        <v>132.92</v>
      </c>
      <c r="K269" s="1">
        <f>IFERROR(__xludf.DUMMYFUNCTION("""COMPUTED_VALUE"""),132.92)</f>
        <v>132.92</v>
      </c>
    </row>
    <row r="270">
      <c r="A270" s="1">
        <f>IFERROR(__xludf.DUMMYFUNCTION("""COMPUTED_VALUE"""),1000.0)</f>
        <v>1000</v>
      </c>
      <c r="B270" s="1">
        <f>IFERROR(__xludf.DUMMYFUNCTION("""COMPUTED_VALUE"""),183656.0)</f>
        <v>183656</v>
      </c>
      <c r="C270" s="1">
        <f>IFERROR(__xludf.DUMMYFUNCTION("""COMPUTED_VALUE"""),2026.0)</f>
        <v>2026</v>
      </c>
      <c r="D270" s="1">
        <f>IFERROR(__xludf.DUMMYFUNCTION("""COMPUTED_VALUE"""),46333.0)</f>
        <v>46333</v>
      </c>
      <c r="E270" s="1" t="str">
        <f>IFERROR(__xludf.DUMMYFUNCTION("""COMPUTED_VALUE"""),"VF")</f>
        <v>VF</v>
      </c>
      <c r="F270" s="1">
        <f>IFERROR(__xludf.DUMMYFUNCTION("""COMPUTED_VALUE"""),2.0)</f>
        <v>2</v>
      </c>
      <c r="G270" s="1" t="str">
        <f>IFERROR(__xludf.DUMMYFUNCTION("""COMPUTED_VALUE"""),"PR045")</f>
        <v>PR045</v>
      </c>
      <c r="H270" s="1" t="str">
        <f>IFERROR(__xludf.DUMMYFUNCTION("""COMPUTED_VALUE"""),"VD015")</f>
        <v>VD015</v>
      </c>
      <c r="I270" s="1">
        <f>IFERROR(__xludf.DUMMYFUNCTION("""COMPUTED_VALUE"""),18.0)</f>
        <v>18</v>
      </c>
      <c r="J270" s="1">
        <f>IFERROR(__xludf.DUMMYFUNCTION("""COMPUTED_VALUE"""),1357.2)</f>
        <v>1357.2</v>
      </c>
      <c r="K270" s="1">
        <f>IFERROR(__xludf.DUMMYFUNCTION("""COMPUTED_VALUE"""),1357.2)</f>
        <v>1357.2</v>
      </c>
    </row>
    <row r="271">
      <c r="A271" s="1">
        <f>IFERROR(__xludf.DUMMYFUNCTION("""COMPUTED_VALUE"""),1000.0)</f>
        <v>1000</v>
      </c>
      <c r="B271" s="1">
        <f>IFERROR(__xludf.DUMMYFUNCTION("""COMPUTED_VALUE"""),183657.0)</f>
        <v>183657</v>
      </c>
      <c r="C271" s="1">
        <f>IFERROR(__xludf.DUMMYFUNCTION("""COMPUTED_VALUE"""),2026.0)</f>
        <v>2026</v>
      </c>
      <c r="D271" s="1">
        <f>IFERROR(__xludf.DUMMYFUNCTION("""COMPUTED_VALUE"""),46333.0)</f>
        <v>46333</v>
      </c>
      <c r="E271" s="1" t="str">
        <f>IFERROR(__xludf.DUMMYFUNCTION("""COMPUTED_VALUE"""),"VF")</f>
        <v>VF</v>
      </c>
      <c r="F271" s="1">
        <f>IFERROR(__xludf.DUMMYFUNCTION("""COMPUTED_VALUE"""),1.0)</f>
        <v>1</v>
      </c>
      <c r="G271" s="1" t="str">
        <f>IFERROR(__xludf.DUMMYFUNCTION("""COMPUTED_VALUE"""),"PR037")</f>
        <v>PR037</v>
      </c>
      <c r="H271" s="1" t="str">
        <f>IFERROR(__xludf.DUMMYFUNCTION("""COMPUTED_VALUE"""),"VD029")</f>
        <v>VD029</v>
      </c>
      <c r="I271" s="1">
        <f>IFERROR(__xludf.DUMMYFUNCTION("""COMPUTED_VALUE"""),6.0)</f>
        <v>6</v>
      </c>
      <c r="J271" s="1">
        <f>IFERROR(__xludf.DUMMYFUNCTION("""COMPUTED_VALUE"""),915.6)</f>
        <v>915.6</v>
      </c>
      <c r="K271" s="1">
        <f>IFERROR(__xludf.DUMMYFUNCTION("""COMPUTED_VALUE"""),915.6)</f>
        <v>915.6</v>
      </c>
    </row>
    <row r="272">
      <c r="A272" s="1">
        <f>IFERROR(__xludf.DUMMYFUNCTION("""COMPUTED_VALUE"""),2000.0)</f>
        <v>2000</v>
      </c>
      <c r="B272" s="1">
        <f>IFERROR(__xludf.DUMMYFUNCTION("""COMPUTED_VALUE"""),183658.0)</f>
        <v>183658</v>
      </c>
      <c r="C272" s="1">
        <f>IFERROR(__xludf.DUMMYFUNCTION("""COMPUTED_VALUE"""),2026.0)</f>
        <v>2026</v>
      </c>
      <c r="D272" s="1">
        <f>IFERROR(__xludf.DUMMYFUNCTION("""COMPUTED_VALUE"""),46333.0)</f>
        <v>46333</v>
      </c>
      <c r="E272" s="1" t="str">
        <f>IFERROR(__xludf.DUMMYFUNCTION("""COMPUTED_VALUE"""),"VF")</f>
        <v>VF</v>
      </c>
      <c r="F272" s="1">
        <f>IFERROR(__xludf.DUMMYFUNCTION("""COMPUTED_VALUE"""),1.0)</f>
        <v>1</v>
      </c>
      <c r="G272" s="1" t="str">
        <f>IFERROR(__xludf.DUMMYFUNCTION("""COMPUTED_VALUE"""),"PR021")</f>
        <v>PR021</v>
      </c>
      <c r="H272" s="1" t="str">
        <f>IFERROR(__xludf.DUMMYFUNCTION("""COMPUTED_VALUE"""),"VD017")</f>
        <v>VD017</v>
      </c>
      <c r="I272" s="1">
        <f>IFERROR(__xludf.DUMMYFUNCTION("""COMPUTED_VALUE"""),10.0)</f>
        <v>10</v>
      </c>
      <c r="J272" s="1">
        <f>IFERROR(__xludf.DUMMYFUNCTION("""COMPUTED_VALUE"""),3331.9)</f>
        <v>3331.9</v>
      </c>
      <c r="K272" s="1">
        <f>IFERROR(__xludf.DUMMYFUNCTION("""COMPUTED_VALUE"""),3331.9)</f>
        <v>3331.9</v>
      </c>
    </row>
    <row r="273">
      <c r="A273" s="1">
        <f>IFERROR(__xludf.DUMMYFUNCTION("""COMPUTED_VALUE"""),1000.0)</f>
        <v>1000</v>
      </c>
      <c r="B273" s="1">
        <f>IFERROR(__xludf.DUMMYFUNCTION("""COMPUTED_VALUE"""),183658.0)</f>
        <v>183658</v>
      </c>
      <c r="C273" s="1">
        <f>IFERROR(__xludf.DUMMYFUNCTION("""COMPUTED_VALUE"""),2026.0)</f>
        <v>2026</v>
      </c>
      <c r="D273" s="1">
        <f>IFERROR(__xludf.DUMMYFUNCTION("""COMPUTED_VALUE"""),46333.0)</f>
        <v>46333</v>
      </c>
      <c r="E273" s="1" t="str">
        <f>IFERROR(__xludf.DUMMYFUNCTION("""COMPUTED_VALUE"""),"VF")</f>
        <v>VF</v>
      </c>
      <c r="F273" s="1">
        <f>IFERROR(__xludf.DUMMYFUNCTION("""COMPUTED_VALUE"""),2.0)</f>
        <v>2</v>
      </c>
      <c r="G273" s="1" t="str">
        <f>IFERROR(__xludf.DUMMYFUNCTION("""COMPUTED_VALUE"""),"PR034")</f>
        <v>PR034</v>
      </c>
      <c r="H273" s="1" t="str">
        <f>IFERROR(__xludf.DUMMYFUNCTION("""COMPUTED_VALUE"""),"VD045")</f>
        <v>VD045</v>
      </c>
      <c r="I273" s="1">
        <f>IFERROR(__xludf.DUMMYFUNCTION("""COMPUTED_VALUE"""),8.0)</f>
        <v>8</v>
      </c>
      <c r="J273" s="1">
        <f>IFERROR(__xludf.DUMMYFUNCTION("""COMPUTED_VALUE"""),719.2)</f>
        <v>719.2</v>
      </c>
      <c r="K273" s="1">
        <f>IFERROR(__xludf.DUMMYFUNCTION("""COMPUTED_VALUE"""),719.2)</f>
        <v>719.2</v>
      </c>
    </row>
    <row r="274">
      <c r="A274" s="1">
        <f>IFERROR(__xludf.DUMMYFUNCTION("""COMPUTED_VALUE"""),1000.0)</f>
        <v>1000</v>
      </c>
      <c r="B274" s="1">
        <f>IFERROR(__xludf.DUMMYFUNCTION("""COMPUTED_VALUE"""),183659.0)</f>
        <v>183659</v>
      </c>
      <c r="C274" s="1">
        <f>IFERROR(__xludf.DUMMYFUNCTION("""COMPUTED_VALUE"""),2026.0)</f>
        <v>2026</v>
      </c>
      <c r="D274" s="1">
        <f>IFERROR(__xludf.DUMMYFUNCTION("""COMPUTED_VALUE"""),46333.0)</f>
        <v>46333</v>
      </c>
      <c r="E274" s="1" t="str">
        <f>IFERROR(__xludf.DUMMYFUNCTION("""COMPUTED_VALUE"""),"VF")</f>
        <v>VF</v>
      </c>
      <c r="F274" s="1">
        <f>IFERROR(__xludf.DUMMYFUNCTION("""COMPUTED_VALUE"""),1.0)</f>
        <v>1</v>
      </c>
      <c r="G274" s="1" t="str">
        <f>IFERROR(__xludf.DUMMYFUNCTION("""COMPUTED_VALUE"""),"PR047")</f>
        <v>PR047</v>
      </c>
      <c r="H274" s="1" t="str">
        <f>IFERROR(__xludf.DUMMYFUNCTION("""COMPUTED_VALUE"""),"VD041")</f>
        <v>VD041</v>
      </c>
      <c r="I274" s="1">
        <f>IFERROR(__xludf.DUMMYFUNCTION("""COMPUTED_VALUE"""),8.0)</f>
        <v>8</v>
      </c>
      <c r="J274" s="1">
        <f>IFERROR(__xludf.DUMMYFUNCTION("""COMPUTED_VALUE"""),2388.78)</f>
        <v>2388.78</v>
      </c>
      <c r="K274" s="1">
        <f>IFERROR(__xludf.DUMMYFUNCTION("""COMPUTED_VALUE"""),2388.78)</f>
        <v>2388.78</v>
      </c>
    </row>
    <row r="275">
      <c r="A275" s="1">
        <f>IFERROR(__xludf.DUMMYFUNCTION("""COMPUTED_VALUE"""),2000.0)</f>
        <v>2000</v>
      </c>
      <c r="B275" s="1">
        <f>IFERROR(__xludf.DUMMYFUNCTION("""COMPUTED_VALUE"""),183659.0)</f>
        <v>183659</v>
      </c>
      <c r="C275" s="1">
        <f>IFERROR(__xludf.DUMMYFUNCTION("""COMPUTED_VALUE"""),2026.0)</f>
        <v>2026</v>
      </c>
      <c r="D275" s="1">
        <f>IFERROR(__xludf.DUMMYFUNCTION("""COMPUTED_VALUE"""),46332.0)</f>
        <v>46332</v>
      </c>
      <c r="E275" s="1" t="str">
        <f>IFERROR(__xludf.DUMMYFUNCTION("""COMPUTED_VALUE"""),"VF")</f>
        <v>VF</v>
      </c>
      <c r="F275" s="1">
        <f>IFERROR(__xludf.DUMMYFUNCTION("""COMPUTED_VALUE"""),2.0)</f>
        <v>2</v>
      </c>
      <c r="G275" s="1" t="str">
        <f>IFERROR(__xludf.DUMMYFUNCTION("""COMPUTED_VALUE"""),"PR025")</f>
        <v>PR025</v>
      </c>
      <c r="H275" s="1" t="str">
        <f>IFERROR(__xludf.DUMMYFUNCTION("""COMPUTED_VALUE"""),"VD033")</f>
        <v>VD033</v>
      </c>
      <c r="I275" s="1">
        <f>IFERROR(__xludf.DUMMYFUNCTION("""COMPUTED_VALUE"""),4.0)</f>
        <v>4</v>
      </c>
      <c r="J275" s="1">
        <f>IFERROR(__xludf.DUMMYFUNCTION("""COMPUTED_VALUE"""),1295.57)</f>
        <v>1295.57</v>
      </c>
      <c r="K275" s="1">
        <f>IFERROR(__xludf.DUMMYFUNCTION("""COMPUTED_VALUE"""),1295.57)</f>
        <v>1295.57</v>
      </c>
    </row>
    <row r="276">
      <c r="A276" s="1">
        <f>IFERROR(__xludf.DUMMYFUNCTION("""COMPUTED_VALUE"""),1000.0)</f>
        <v>1000</v>
      </c>
      <c r="B276" s="1">
        <f>IFERROR(__xludf.DUMMYFUNCTION("""COMPUTED_VALUE"""),183660.0)</f>
        <v>183660</v>
      </c>
      <c r="C276" s="1">
        <f>IFERROR(__xludf.DUMMYFUNCTION("""COMPUTED_VALUE"""),2026.0)</f>
        <v>2026</v>
      </c>
      <c r="D276" s="1">
        <f>IFERROR(__xludf.DUMMYFUNCTION("""COMPUTED_VALUE"""),46332.0)</f>
        <v>46332</v>
      </c>
      <c r="E276" s="1" t="str">
        <f>IFERROR(__xludf.DUMMYFUNCTION("""COMPUTED_VALUE"""),"VF")</f>
        <v>VF</v>
      </c>
      <c r="F276" s="1">
        <f>IFERROR(__xludf.DUMMYFUNCTION("""COMPUTED_VALUE"""),1.0)</f>
        <v>1</v>
      </c>
      <c r="G276" s="1" t="str">
        <f>IFERROR(__xludf.DUMMYFUNCTION("""COMPUTED_VALUE"""),"PR056")</f>
        <v>PR056</v>
      </c>
      <c r="H276" s="1" t="str">
        <f>IFERROR(__xludf.DUMMYFUNCTION("""COMPUTED_VALUE"""),"VD025")</f>
        <v>VD025</v>
      </c>
      <c r="I276" s="1">
        <f>IFERROR(__xludf.DUMMYFUNCTION("""COMPUTED_VALUE"""),30.0)</f>
        <v>30</v>
      </c>
      <c r="J276" s="1">
        <f>IFERROR(__xludf.DUMMYFUNCTION("""COMPUTED_VALUE"""),2697.0)</f>
        <v>2697</v>
      </c>
      <c r="K276" s="1">
        <f>IFERROR(__xludf.DUMMYFUNCTION("""COMPUTED_VALUE"""),2697.0)</f>
        <v>2697</v>
      </c>
    </row>
    <row r="277">
      <c r="A277" s="1">
        <f>IFERROR(__xludf.DUMMYFUNCTION("""COMPUTED_VALUE"""),1000.0)</f>
        <v>1000</v>
      </c>
      <c r="B277" s="1">
        <f>IFERROR(__xludf.DUMMYFUNCTION("""COMPUTED_VALUE"""),183661.0)</f>
        <v>183661</v>
      </c>
      <c r="C277" s="1">
        <f>IFERROR(__xludf.DUMMYFUNCTION("""COMPUTED_VALUE"""),2026.0)</f>
        <v>2026</v>
      </c>
      <c r="D277" s="1">
        <f>IFERROR(__xludf.DUMMYFUNCTION("""COMPUTED_VALUE"""),46332.0)</f>
        <v>46332</v>
      </c>
      <c r="E277" s="1" t="str">
        <f>IFERROR(__xludf.DUMMYFUNCTION("""COMPUTED_VALUE"""),"VF")</f>
        <v>VF</v>
      </c>
      <c r="F277" s="1">
        <f>IFERROR(__xludf.DUMMYFUNCTION("""COMPUTED_VALUE"""),1.0)</f>
        <v>1</v>
      </c>
      <c r="G277" s="1" t="str">
        <f>IFERROR(__xludf.DUMMYFUNCTION("""COMPUTED_VALUE"""),"PR017")</f>
        <v>PR017</v>
      </c>
      <c r="H277" s="1" t="str">
        <f>IFERROR(__xludf.DUMMYFUNCTION("""COMPUTED_VALUE"""),"VD014")</f>
        <v>VD014</v>
      </c>
      <c r="I277" s="1">
        <f>IFERROR(__xludf.DUMMYFUNCTION("""COMPUTED_VALUE"""),10.0)</f>
        <v>10</v>
      </c>
      <c r="J277" s="1">
        <f>IFERROR(__xludf.DUMMYFUNCTION("""COMPUTED_VALUE"""),310.96)</f>
        <v>310.96</v>
      </c>
      <c r="K277" s="1">
        <f>IFERROR(__xludf.DUMMYFUNCTION("""COMPUTED_VALUE"""),310.96)</f>
        <v>310.96</v>
      </c>
    </row>
    <row r="278">
      <c r="A278" s="1">
        <f>IFERROR(__xludf.DUMMYFUNCTION("""COMPUTED_VALUE"""),2000.0)</f>
        <v>2000</v>
      </c>
      <c r="B278" s="1">
        <f>IFERROR(__xludf.DUMMYFUNCTION("""COMPUTED_VALUE"""),183661.0)</f>
        <v>183661</v>
      </c>
      <c r="C278" s="1">
        <f>IFERROR(__xludf.DUMMYFUNCTION("""COMPUTED_VALUE"""),2026.0)</f>
        <v>2026</v>
      </c>
      <c r="D278" s="1">
        <f>IFERROR(__xludf.DUMMYFUNCTION("""COMPUTED_VALUE"""),46332.0)</f>
        <v>46332</v>
      </c>
      <c r="E278" s="1" t="str">
        <f>IFERROR(__xludf.DUMMYFUNCTION("""COMPUTED_VALUE"""),"VF")</f>
        <v>VF</v>
      </c>
      <c r="F278" s="1">
        <f>IFERROR(__xludf.DUMMYFUNCTION("""COMPUTED_VALUE"""),2.0)</f>
        <v>2</v>
      </c>
      <c r="G278" s="1" t="str">
        <f>IFERROR(__xludf.DUMMYFUNCTION("""COMPUTED_VALUE"""),"PR057")</f>
        <v>PR057</v>
      </c>
      <c r="H278" s="1" t="str">
        <f>IFERROR(__xludf.DUMMYFUNCTION("""COMPUTED_VALUE"""),"VD025")</f>
        <v>VD025</v>
      </c>
      <c r="I278" s="1">
        <f>IFERROR(__xludf.DUMMYFUNCTION("""COMPUTED_VALUE"""),3.0)</f>
        <v>3</v>
      </c>
      <c r="J278" s="1">
        <f>IFERROR(__xludf.DUMMYFUNCTION("""COMPUTED_VALUE"""),269.7)</f>
        <v>269.7</v>
      </c>
      <c r="K278" s="1">
        <f>IFERROR(__xludf.DUMMYFUNCTION("""COMPUTED_VALUE"""),269.7)</f>
        <v>269.7</v>
      </c>
    </row>
    <row r="279">
      <c r="A279" s="1">
        <f>IFERROR(__xludf.DUMMYFUNCTION("""COMPUTED_VALUE"""),1000.0)</f>
        <v>1000</v>
      </c>
      <c r="B279" s="1">
        <f>IFERROR(__xludf.DUMMYFUNCTION("""COMPUTED_VALUE"""),183662.0)</f>
        <v>183662</v>
      </c>
      <c r="C279" s="1">
        <f>IFERROR(__xludf.DUMMYFUNCTION("""COMPUTED_VALUE"""),2026.0)</f>
        <v>2026</v>
      </c>
      <c r="D279" s="1">
        <f>IFERROR(__xludf.DUMMYFUNCTION("""COMPUTED_VALUE"""),46332.0)</f>
        <v>46332</v>
      </c>
      <c r="E279" s="1" t="str">
        <f>IFERROR(__xludf.DUMMYFUNCTION("""COMPUTED_VALUE"""),"VF")</f>
        <v>VF</v>
      </c>
      <c r="F279" s="1">
        <f>IFERROR(__xludf.DUMMYFUNCTION("""COMPUTED_VALUE"""),1.0)</f>
        <v>1</v>
      </c>
      <c r="G279" s="1" t="str">
        <f>IFERROR(__xludf.DUMMYFUNCTION("""COMPUTED_VALUE"""),"PR033")</f>
        <v>PR033</v>
      </c>
      <c r="H279" s="1" t="str">
        <f>IFERROR(__xludf.DUMMYFUNCTION("""COMPUTED_VALUE"""),"VD016")</f>
        <v>VD016</v>
      </c>
      <c r="I279" s="1">
        <f>IFERROR(__xludf.DUMMYFUNCTION("""COMPUTED_VALUE"""),3.0)</f>
        <v>3</v>
      </c>
      <c r="J279" s="1">
        <f>IFERROR(__xludf.DUMMYFUNCTION("""COMPUTED_VALUE"""),818.69)</f>
        <v>818.69</v>
      </c>
      <c r="K279" s="1">
        <f>IFERROR(__xludf.DUMMYFUNCTION("""COMPUTED_VALUE"""),818.69)</f>
        <v>818.69</v>
      </c>
    </row>
    <row r="280">
      <c r="A280" s="1">
        <f>IFERROR(__xludf.DUMMYFUNCTION("""COMPUTED_VALUE"""),1000.0)</f>
        <v>1000</v>
      </c>
      <c r="B280" s="1">
        <f>IFERROR(__xludf.DUMMYFUNCTION("""COMPUTED_VALUE"""),183662.0)</f>
        <v>183662</v>
      </c>
      <c r="C280" s="1">
        <f>IFERROR(__xludf.DUMMYFUNCTION("""COMPUTED_VALUE"""),2026.0)</f>
        <v>2026</v>
      </c>
      <c r="D280" s="1">
        <f>IFERROR(__xludf.DUMMYFUNCTION("""COMPUTED_VALUE"""),46331.0)</f>
        <v>46331</v>
      </c>
      <c r="E280" s="1" t="str">
        <f>IFERROR(__xludf.DUMMYFUNCTION("""COMPUTED_VALUE"""),"VF")</f>
        <v>VF</v>
      </c>
      <c r="F280" s="1">
        <f>IFERROR(__xludf.DUMMYFUNCTION("""COMPUTED_VALUE"""),2.0)</f>
        <v>2</v>
      </c>
      <c r="G280" s="1" t="str">
        <f>IFERROR(__xludf.DUMMYFUNCTION("""COMPUTED_VALUE"""),"PR029")</f>
        <v>PR029</v>
      </c>
      <c r="H280" s="1" t="str">
        <f>IFERROR(__xludf.DUMMYFUNCTION("""COMPUTED_VALUE"""),"VD038")</f>
        <v>VD038</v>
      </c>
      <c r="I280" s="1">
        <f>IFERROR(__xludf.DUMMYFUNCTION("""COMPUTED_VALUE"""),3.0)</f>
        <v>3</v>
      </c>
      <c r="J280" s="1">
        <f>IFERROR(__xludf.DUMMYFUNCTION("""COMPUTED_VALUE"""),818.55)</f>
        <v>818.55</v>
      </c>
      <c r="K280" s="1">
        <f>IFERROR(__xludf.DUMMYFUNCTION("""COMPUTED_VALUE"""),818.55)</f>
        <v>818.55</v>
      </c>
    </row>
    <row r="281">
      <c r="A281" s="1">
        <f>IFERROR(__xludf.DUMMYFUNCTION("""COMPUTED_VALUE"""),1000.0)</f>
        <v>1000</v>
      </c>
      <c r="B281" s="1">
        <f>IFERROR(__xludf.DUMMYFUNCTION("""COMPUTED_VALUE"""),183663.0)</f>
        <v>183663</v>
      </c>
      <c r="C281" s="1">
        <f>IFERROR(__xludf.DUMMYFUNCTION("""COMPUTED_VALUE"""),2026.0)</f>
        <v>2026</v>
      </c>
      <c r="D281" s="1">
        <f>IFERROR(__xludf.DUMMYFUNCTION("""COMPUTED_VALUE"""),46331.0)</f>
        <v>46331</v>
      </c>
      <c r="E281" s="1" t="str">
        <f>IFERROR(__xludf.DUMMYFUNCTION("""COMPUTED_VALUE"""),"VF")</f>
        <v>VF</v>
      </c>
      <c r="F281" s="1">
        <f>IFERROR(__xludf.DUMMYFUNCTION("""COMPUTED_VALUE"""),1.0)</f>
        <v>1</v>
      </c>
      <c r="G281" s="1" t="str">
        <f>IFERROR(__xludf.DUMMYFUNCTION("""COMPUTED_VALUE"""),"PR060")</f>
        <v>PR060</v>
      </c>
      <c r="H281" s="1" t="str">
        <f>IFERROR(__xludf.DUMMYFUNCTION("""COMPUTED_VALUE"""),"VD039")</f>
        <v>VD039</v>
      </c>
      <c r="I281" s="1">
        <f>IFERROR(__xludf.DUMMYFUNCTION("""COMPUTED_VALUE"""),7.0)</f>
        <v>7</v>
      </c>
      <c r="J281" s="1">
        <f>IFERROR(__xludf.DUMMYFUNCTION("""COMPUTED_VALUE"""),1386.0)</f>
        <v>1386</v>
      </c>
      <c r="K281" s="1">
        <f>IFERROR(__xludf.DUMMYFUNCTION("""COMPUTED_VALUE"""),1386.0)</f>
        <v>1386</v>
      </c>
    </row>
    <row r="282">
      <c r="A282" s="1">
        <f>IFERROR(__xludf.DUMMYFUNCTION("""COMPUTED_VALUE"""),1000.0)</f>
        <v>1000</v>
      </c>
      <c r="B282" s="1">
        <f>IFERROR(__xludf.DUMMYFUNCTION("""COMPUTED_VALUE"""),183663.0)</f>
        <v>183663</v>
      </c>
      <c r="C282" s="1">
        <f>IFERROR(__xludf.DUMMYFUNCTION("""COMPUTED_VALUE"""),2026.0)</f>
        <v>2026</v>
      </c>
      <c r="D282" s="1">
        <f>IFERROR(__xludf.DUMMYFUNCTION("""COMPUTED_VALUE"""),46331.0)</f>
        <v>46331</v>
      </c>
      <c r="E282" s="1" t="str">
        <f>IFERROR(__xludf.DUMMYFUNCTION("""COMPUTED_VALUE"""),"VF")</f>
        <v>VF</v>
      </c>
      <c r="F282" s="1">
        <f>IFERROR(__xludf.DUMMYFUNCTION("""COMPUTED_VALUE"""),2.0)</f>
        <v>2</v>
      </c>
      <c r="G282" s="1" t="str">
        <f>IFERROR(__xludf.DUMMYFUNCTION("""COMPUTED_VALUE"""),"PR031")</f>
        <v>PR031</v>
      </c>
      <c r="H282" s="1" t="str">
        <f>IFERROR(__xludf.DUMMYFUNCTION("""COMPUTED_VALUE"""),"VD029")</f>
        <v>VD029</v>
      </c>
      <c r="I282" s="1">
        <f>IFERROR(__xludf.DUMMYFUNCTION("""COMPUTED_VALUE"""),6.0)</f>
        <v>6</v>
      </c>
      <c r="J282" s="1">
        <f>IFERROR(__xludf.DUMMYFUNCTION("""COMPUTED_VALUE"""),1484.7)</f>
        <v>1484.7</v>
      </c>
      <c r="K282" s="1">
        <f>IFERROR(__xludf.DUMMYFUNCTION("""COMPUTED_VALUE"""),1484.7)</f>
        <v>1484.7</v>
      </c>
    </row>
    <row r="283">
      <c r="A283" s="1">
        <f>IFERROR(__xludf.DUMMYFUNCTION("""COMPUTED_VALUE"""),1000.0)</f>
        <v>1000</v>
      </c>
      <c r="B283" s="1">
        <f>IFERROR(__xludf.DUMMYFUNCTION("""COMPUTED_VALUE"""),183664.0)</f>
        <v>183664</v>
      </c>
      <c r="C283" s="1">
        <f>IFERROR(__xludf.DUMMYFUNCTION("""COMPUTED_VALUE"""),2026.0)</f>
        <v>2026</v>
      </c>
      <c r="D283" s="1">
        <f>IFERROR(__xludf.DUMMYFUNCTION("""COMPUTED_VALUE"""),46330.0)</f>
        <v>46330</v>
      </c>
      <c r="E283" s="1" t="str">
        <f>IFERROR(__xludf.DUMMYFUNCTION("""COMPUTED_VALUE"""),"VF")</f>
        <v>VF</v>
      </c>
      <c r="F283" s="1">
        <f>IFERROR(__xludf.DUMMYFUNCTION("""COMPUTED_VALUE"""),1.0)</f>
        <v>1</v>
      </c>
      <c r="G283" s="1" t="str">
        <f>IFERROR(__xludf.DUMMYFUNCTION("""COMPUTED_VALUE"""),"PR038")</f>
        <v>PR038</v>
      </c>
      <c r="H283" s="1" t="str">
        <f>IFERROR(__xludf.DUMMYFUNCTION("""COMPUTED_VALUE"""),"VD036")</f>
        <v>VD036</v>
      </c>
      <c r="I283" s="1">
        <f>IFERROR(__xludf.DUMMYFUNCTION("""COMPUTED_VALUE"""),21.0)</f>
        <v>21</v>
      </c>
      <c r="J283" s="1">
        <f>IFERROR(__xludf.DUMMYFUNCTION("""COMPUTED_VALUE"""),3240.97)</f>
        <v>3240.97</v>
      </c>
      <c r="K283" s="1">
        <f>IFERROR(__xludf.DUMMYFUNCTION("""COMPUTED_VALUE"""),3240.97)</f>
        <v>3240.97</v>
      </c>
    </row>
    <row r="284">
      <c r="A284" s="1">
        <f>IFERROR(__xludf.DUMMYFUNCTION("""COMPUTED_VALUE"""),1000.0)</f>
        <v>1000</v>
      </c>
      <c r="B284" s="1">
        <f>IFERROR(__xludf.DUMMYFUNCTION("""COMPUTED_VALUE"""),183665.0)</f>
        <v>183665</v>
      </c>
      <c r="C284" s="1">
        <f>IFERROR(__xludf.DUMMYFUNCTION("""COMPUTED_VALUE"""),2026.0)</f>
        <v>2026</v>
      </c>
      <c r="D284" s="1">
        <f>IFERROR(__xludf.DUMMYFUNCTION("""COMPUTED_VALUE"""),46330.0)</f>
        <v>46330</v>
      </c>
      <c r="E284" s="1" t="str">
        <f>IFERROR(__xludf.DUMMYFUNCTION("""COMPUTED_VALUE"""),"VF")</f>
        <v>VF</v>
      </c>
      <c r="F284" s="1">
        <f>IFERROR(__xludf.DUMMYFUNCTION("""COMPUTED_VALUE"""),1.0)</f>
        <v>1</v>
      </c>
      <c r="G284" s="1" t="str">
        <f>IFERROR(__xludf.DUMMYFUNCTION("""COMPUTED_VALUE"""),"PR054")</f>
        <v>PR054</v>
      </c>
      <c r="H284" s="1" t="str">
        <f>IFERROR(__xludf.DUMMYFUNCTION("""COMPUTED_VALUE"""),"VD041")</f>
        <v>VD041</v>
      </c>
      <c r="I284" s="1">
        <f>IFERROR(__xludf.DUMMYFUNCTION("""COMPUTED_VALUE"""),10.0)</f>
        <v>10</v>
      </c>
      <c r="J284" s="1">
        <f>IFERROR(__xludf.DUMMYFUNCTION("""COMPUTED_VALUE"""),499.0)</f>
        <v>499</v>
      </c>
      <c r="K284" s="1">
        <f>IFERROR(__xludf.DUMMYFUNCTION("""COMPUTED_VALUE"""),499.0)</f>
        <v>499</v>
      </c>
    </row>
    <row r="285">
      <c r="A285" s="1">
        <f>IFERROR(__xludf.DUMMYFUNCTION("""COMPUTED_VALUE"""),1000.0)</f>
        <v>1000</v>
      </c>
      <c r="B285" s="1">
        <f>IFERROR(__xludf.DUMMYFUNCTION("""COMPUTED_VALUE"""),183666.0)</f>
        <v>183666</v>
      </c>
      <c r="C285" s="1">
        <f>IFERROR(__xludf.DUMMYFUNCTION("""COMPUTED_VALUE"""),2026.0)</f>
        <v>2026</v>
      </c>
      <c r="D285" s="1">
        <f>IFERROR(__xludf.DUMMYFUNCTION("""COMPUTED_VALUE"""),46330.0)</f>
        <v>46330</v>
      </c>
      <c r="E285" s="1" t="str">
        <f>IFERROR(__xludf.DUMMYFUNCTION("""COMPUTED_VALUE"""),"VF")</f>
        <v>VF</v>
      </c>
      <c r="F285" s="1">
        <f>IFERROR(__xludf.DUMMYFUNCTION("""COMPUTED_VALUE"""),1.0)</f>
        <v>1</v>
      </c>
      <c r="G285" s="1" t="str">
        <f>IFERROR(__xludf.DUMMYFUNCTION("""COMPUTED_VALUE"""),"PR022")</f>
        <v>PR022</v>
      </c>
      <c r="H285" s="1" t="str">
        <f>IFERROR(__xludf.DUMMYFUNCTION("""COMPUTED_VALUE"""),"VD045")</f>
        <v>VD045</v>
      </c>
      <c r="I285" s="1">
        <f>IFERROR(__xludf.DUMMYFUNCTION("""COMPUTED_VALUE"""),1.0)</f>
        <v>1</v>
      </c>
      <c r="J285" s="1">
        <f>IFERROR(__xludf.DUMMYFUNCTION("""COMPUTED_VALUE"""),306.0)</f>
        <v>306</v>
      </c>
      <c r="K285" s="1">
        <f>IFERROR(__xludf.DUMMYFUNCTION("""COMPUTED_VALUE"""),306.0)</f>
        <v>306</v>
      </c>
    </row>
    <row r="286">
      <c r="A286" s="1">
        <f>IFERROR(__xludf.DUMMYFUNCTION("""COMPUTED_VALUE"""),2000.0)</f>
        <v>2000</v>
      </c>
      <c r="B286" s="1">
        <f>IFERROR(__xludf.DUMMYFUNCTION("""COMPUTED_VALUE"""),183667.0)</f>
        <v>183667</v>
      </c>
      <c r="C286" s="1">
        <f>IFERROR(__xludf.DUMMYFUNCTION("""COMPUTED_VALUE"""),2026.0)</f>
        <v>2026</v>
      </c>
      <c r="D286" s="1">
        <f>IFERROR(__xludf.DUMMYFUNCTION("""COMPUTED_VALUE"""),46329.0)</f>
        <v>46329</v>
      </c>
      <c r="E286" s="1" t="str">
        <f>IFERROR(__xludf.DUMMYFUNCTION("""COMPUTED_VALUE"""),"VF")</f>
        <v>VF</v>
      </c>
      <c r="F286" s="1">
        <f>IFERROR(__xludf.DUMMYFUNCTION("""COMPUTED_VALUE"""),1.0)</f>
        <v>1</v>
      </c>
      <c r="G286" s="1" t="str">
        <f>IFERROR(__xludf.DUMMYFUNCTION("""COMPUTED_VALUE"""),"PR034")</f>
        <v>PR034</v>
      </c>
      <c r="H286" s="1" t="str">
        <f>IFERROR(__xludf.DUMMYFUNCTION("""COMPUTED_VALUE"""),"VD033")</f>
        <v>VD033</v>
      </c>
      <c r="I286" s="1">
        <f>IFERROR(__xludf.DUMMYFUNCTION("""COMPUTED_VALUE"""),18.0)</f>
        <v>18</v>
      </c>
      <c r="J286" s="1">
        <f>IFERROR(__xludf.DUMMYFUNCTION("""COMPUTED_VALUE"""),1747.66)</f>
        <v>1747.66</v>
      </c>
      <c r="K286" s="1">
        <f>IFERROR(__xludf.DUMMYFUNCTION("""COMPUTED_VALUE"""),1747.66)</f>
        <v>1747.66</v>
      </c>
    </row>
    <row r="287">
      <c r="A287" s="1">
        <f>IFERROR(__xludf.DUMMYFUNCTION("""COMPUTED_VALUE"""),1000.0)</f>
        <v>1000</v>
      </c>
      <c r="B287" s="1">
        <f>IFERROR(__xludf.DUMMYFUNCTION("""COMPUTED_VALUE"""),183668.0)</f>
        <v>183668</v>
      </c>
      <c r="C287" s="1">
        <f>IFERROR(__xludf.DUMMYFUNCTION("""COMPUTED_VALUE"""),2026.0)</f>
        <v>2026</v>
      </c>
      <c r="D287" s="1">
        <f>IFERROR(__xludf.DUMMYFUNCTION("""COMPUTED_VALUE"""),46329.0)</f>
        <v>46329</v>
      </c>
      <c r="E287" s="1" t="str">
        <f>IFERROR(__xludf.DUMMYFUNCTION("""COMPUTED_VALUE"""),"VF")</f>
        <v>VF</v>
      </c>
      <c r="F287" s="1">
        <f>IFERROR(__xludf.DUMMYFUNCTION("""COMPUTED_VALUE"""),1.0)</f>
        <v>1</v>
      </c>
      <c r="G287" s="1" t="str">
        <f>IFERROR(__xludf.DUMMYFUNCTION("""COMPUTED_VALUE"""),"PR010")</f>
        <v>PR010</v>
      </c>
      <c r="H287" s="1" t="str">
        <f>IFERROR(__xludf.DUMMYFUNCTION("""COMPUTED_VALUE"""),"VD034")</f>
        <v>VD034</v>
      </c>
      <c r="I287" s="1">
        <f>IFERROR(__xludf.DUMMYFUNCTION("""COMPUTED_VALUE"""),12.0)</f>
        <v>12</v>
      </c>
      <c r="J287" s="1">
        <f>IFERROR(__xludf.DUMMYFUNCTION("""COMPUTED_VALUE"""),538.8)</f>
        <v>538.8</v>
      </c>
      <c r="K287" s="1">
        <f>IFERROR(__xludf.DUMMYFUNCTION("""COMPUTED_VALUE"""),538.8)</f>
        <v>538.8</v>
      </c>
    </row>
    <row r="288">
      <c r="A288" s="1">
        <f>IFERROR(__xludf.DUMMYFUNCTION("""COMPUTED_VALUE"""),2000.0)</f>
        <v>2000</v>
      </c>
      <c r="B288" s="1">
        <f>IFERROR(__xludf.DUMMYFUNCTION("""COMPUTED_VALUE"""),183668.0)</f>
        <v>183668</v>
      </c>
      <c r="C288" s="1">
        <f>IFERROR(__xludf.DUMMYFUNCTION("""COMPUTED_VALUE"""),2026.0)</f>
        <v>2026</v>
      </c>
      <c r="D288" s="1">
        <f>IFERROR(__xludf.DUMMYFUNCTION("""COMPUTED_VALUE"""),46329.0)</f>
        <v>46329</v>
      </c>
      <c r="E288" s="1" t="str">
        <f>IFERROR(__xludf.DUMMYFUNCTION("""COMPUTED_VALUE"""),"VF")</f>
        <v>VF</v>
      </c>
      <c r="F288" s="1">
        <f>IFERROR(__xludf.DUMMYFUNCTION("""COMPUTED_VALUE"""),2.0)</f>
        <v>2</v>
      </c>
      <c r="G288" s="1" t="str">
        <f>IFERROR(__xludf.DUMMYFUNCTION("""COMPUTED_VALUE"""),"PR058")</f>
        <v>PR058</v>
      </c>
      <c r="H288" s="1" t="str">
        <f>IFERROR(__xludf.DUMMYFUNCTION("""COMPUTED_VALUE"""),"VD031")</f>
        <v>VD031</v>
      </c>
      <c r="I288" s="1">
        <f>IFERROR(__xludf.DUMMYFUNCTION("""COMPUTED_VALUE"""),10.0)</f>
        <v>10</v>
      </c>
      <c r="J288" s="1">
        <f>IFERROR(__xludf.DUMMYFUNCTION("""COMPUTED_VALUE"""),1890.0)</f>
        <v>1890</v>
      </c>
      <c r="K288" s="1">
        <f>IFERROR(__xludf.DUMMYFUNCTION("""COMPUTED_VALUE"""),1890.0)</f>
        <v>1890</v>
      </c>
    </row>
    <row r="289">
      <c r="A289" s="1">
        <f>IFERROR(__xludf.DUMMYFUNCTION("""COMPUTED_VALUE"""),2000.0)</f>
        <v>2000</v>
      </c>
      <c r="B289" s="1">
        <f>IFERROR(__xludf.DUMMYFUNCTION("""COMPUTED_VALUE"""),183668.0)</f>
        <v>183668</v>
      </c>
      <c r="C289" s="1">
        <f>IFERROR(__xludf.DUMMYFUNCTION("""COMPUTED_VALUE"""),2026.0)</f>
        <v>2026</v>
      </c>
      <c r="D289" s="1">
        <f>IFERROR(__xludf.DUMMYFUNCTION("""COMPUTED_VALUE"""),46329.0)</f>
        <v>46329</v>
      </c>
      <c r="E289" s="1" t="str">
        <f>IFERROR(__xludf.DUMMYFUNCTION("""COMPUTED_VALUE"""),"VF")</f>
        <v>VF</v>
      </c>
      <c r="F289" s="1">
        <f>IFERROR(__xludf.DUMMYFUNCTION("""COMPUTED_VALUE"""),3.0)</f>
        <v>3</v>
      </c>
      <c r="G289" s="1" t="str">
        <f>IFERROR(__xludf.DUMMYFUNCTION("""COMPUTED_VALUE"""),"PR012")</f>
        <v>PR012</v>
      </c>
      <c r="H289" s="1" t="str">
        <f>IFERROR(__xludf.DUMMYFUNCTION("""COMPUTED_VALUE"""),"VD015")</f>
        <v>VD015</v>
      </c>
      <c r="I289" s="1">
        <f>IFERROR(__xludf.DUMMYFUNCTION("""COMPUTED_VALUE"""),2.0)</f>
        <v>2</v>
      </c>
      <c r="J289" s="1">
        <f>IFERROR(__xludf.DUMMYFUNCTION("""COMPUTED_VALUE"""),103.67)</f>
        <v>103.67</v>
      </c>
      <c r="K289" s="1">
        <f>IFERROR(__xludf.DUMMYFUNCTION("""COMPUTED_VALUE"""),103.67)</f>
        <v>103.67</v>
      </c>
    </row>
    <row r="290">
      <c r="A290" s="1">
        <f>IFERROR(__xludf.DUMMYFUNCTION("""COMPUTED_VALUE"""),1000.0)</f>
        <v>1000</v>
      </c>
      <c r="B290" s="1">
        <f>IFERROR(__xludf.DUMMYFUNCTION("""COMPUTED_VALUE"""),183669.0)</f>
        <v>183669</v>
      </c>
      <c r="C290" s="1">
        <f>IFERROR(__xludf.DUMMYFUNCTION("""COMPUTED_VALUE"""),2026.0)</f>
        <v>2026</v>
      </c>
      <c r="D290" s="1">
        <f>IFERROR(__xludf.DUMMYFUNCTION("""COMPUTED_VALUE"""),46329.0)</f>
        <v>46329</v>
      </c>
      <c r="E290" s="1" t="str">
        <f>IFERROR(__xludf.DUMMYFUNCTION("""COMPUTED_VALUE"""),"VF")</f>
        <v>VF</v>
      </c>
      <c r="F290" s="1">
        <f>IFERROR(__xludf.DUMMYFUNCTION("""COMPUTED_VALUE"""),1.0)</f>
        <v>1</v>
      </c>
      <c r="G290" s="1" t="str">
        <f>IFERROR(__xludf.DUMMYFUNCTION("""COMPUTED_VALUE"""),"PR004")</f>
        <v>PR004</v>
      </c>
      <c r="H290" s="1" t="str">
        <f>IFERROR(__xludf.DUMMYFUNCTION("""COMPUTED_VALUE"""),"VD031")</f>
        <v>VD031</v>
      </c>
      <c r="I290" s="1">
        <f>IFERROR(__xludf.DUMMYFUNCTION("""COMPUTED_VALUE"""),1.0)</f>
        <v>1</v>
      </c>
      <c r="J290" s="1">
        <f>IFERROR(__xludf.DUMMYFUNCTION("""COMPUTED_VALUE"""),149.35)</f>
        <v>149.35</v>
      </c>
      <c r="K290" s="1">
        <f>IFERROR(__xludf.DUMMYFUNCTION("""COMPUTED_VALUE"""),149.35)</f>
        <v>149.35</v>
      </c>
    </row>
    <row r="291">
      <c r="A291" s="1">
        <f>IFERROR(__xludf.DUMMYFUNCTION("""COMPUTED_VALUE"""),1000.0)</f>
        <v>1000</v>
      </c>
      <c r="B291" s="1">
        <f>IFERROR(__xludf.DUMMYFUNCTION("""COMPUTED_VALUE"""),183670.0)</f>
        <v>183670</v>
      </c>
      <c r="C291" s="1">
        <f>IFERROR(__xludf.DUMMYFUNCTION("""COMPUTED_VALUE"""),2026.0)</f>
        <v>2026</v>
      </c>
      <c r="D291" s="1">
        <f>IFERROR(__xludf.DUMMYFUNCTION("""COMPUTED_VALUE"""),46329.0)</f>
        <v>46329</v>
      </c>
      <c r="E291" s="1" t="str">
        <f>IFERROR(__xludf.DUMMYFUNCTION("""COMPUTED_VALUE"""),"VF")</f>
        <v>VF</v>
      </c>
      <c r="F291" s="1">
        <f>IFERROR(__xludf.DUMMYFUNCTION("""COMPUTED_VALUE"""),1.0)</f>
        <v>1</v>
      </c>
      <c r="G291" s="1" t="str">
        <f>IFERROR(__xludf.DUMMYFUNCTION("""COMPUTED_VALUE"""),"PR027")</f>
        <v>PR027</v>
      </c>
      <c r="H291" s="1" t="str">
        <f>IFERROR(__xludf.DUMMYFUNCTION("""COMPUTED_VALUE"""),"VD030")</f>
        <v>VD030</v>
      </c>
      <c r="I291" s="1">
        <f>IFERROR(__xludf.DUMMYFUNCTION("""COMPUTED_VALUE"""),6.0)</f>
        <v>6</v>
      </c>
      <c r="J291" s="1">
        <f>IFERROR(__xludf.DUMMYFUNCTION("""COMPUTED_VALUE"""),770.4)</f>
        <v>770.4</v>
      </c>
      <c r="K291" s="1">
        <f>IFERROR(__xludf.DUMMYFUNCTION("""COMPUTED_VALUE"""),770.4)</f>
        <v>770.4</v>
      </c>
    </row>
    <row r="292">
      <c r="A292" s="1">
        <f>IFERROR(__xludf.DUMMYFUNCTION("""COMPUTED_VALUE"""),1000.0)</f>
        <v>1000</v>
      </c>
      <c r="B292" s="1">
        <f>IFERROR(__xludf.DUMMYFUNCTION("""COMPUTED_VALUE"""),183671.0)</f>
        <v>183671</v>
      </c>
      <c r="C292" s="1">
        <f>IFERROR(__xludf.DUMMYFUNCTION("""COMPUTED_VALUE"""),2026.0)</f>
        <v>2026</v>
      </c>
      <c r="D292" s="1">
        <f>IFERROR(__xludf.DUMMYFUNCTION("""COMPUTED_VALUE"""),46329.0)</f>
        <v>46329</v>
      </c>
      <c r="E292" s="1" t="str">
        <f>IFERROR(__xludf.DUMMYFUNCTION("""COMPUTED_VALUE"""),"VF")</f>
        <v>VF</v>
      </c>
      <c r="F292" s="1">
        <f>IFERROR(__xludf.DUMMYFUNCTION("""COMPUTED_VALUE"""),1.0)</f>
        <v>1</v>
      </c>
      <c r="G292" s="1" t="str">
        <f>IFERROR(__xludf.DUMMYFUNCTION("""COMPUTED_VALUE"""),"PR020")</f>
        <v>PR020</v>
      </c>
      <c r="H292" s="1" t="str">
        <f>IFERROR(__xludf.DUMMYFUNCTION("""COMPUTED_VALUE"""),"VD032")</f>
        <v>VD032</v>
      </c>
      <c r="I292" s="1">
        <f>IFERROR(__xludf.DUMMYFUNCTION("""COMPUTED_VALUE"""),18.0)</f>
        <v>18</v>
      </c>
      <c r="J292" s="1">
        <f>IFERROR(__xludf.DUMMYFUNCTION("""COMPUTED_VALUE"""),5668.11)</f>
        <v>5668.11</v>
      </c>
      <c r="K292" s="1">
        <f>IFERROR(__xludf.DUMMYFUNCTION("""COMPUTED_VALUE"""),5668.11)</f>
        <v>5668.11</v>
      </c>
    </row>
    <row r="293">
      <c r="A293" s="1">
        <f>IFERROR(__xludf.DUMMYFUNCTION("""COMPUTED_VALUE"""),1000.0)</f>
        <v>1000</v>
      </c>
      <c r="B293" s="1">
        <f>IFERROR(__xludf.DUMMYFUNCTION("""COMPUTED_VALUE"""),183671.0)</f>
        <v>183671</v>
      </c>
      <c r="C293" s="1">
        <f>IFERROR(__xludf.DUMMYFUNCTION("""COMPUTED_VALUE"""),2026.0)</f>
        <v>2026</v>
      </c>
      <c r="D293" s="1">
        <f>IFERROR(__xludf.DUMMYFUNCTION("""COMPUTED_VALUE"""),46329.0)</f>
        <v>46329</v>
      </c>
      <c r="E293" s="1" t="str">
        <f>IFERROR(__xludf.DUMMYFUNCTION("""COMPUTED_VALUE"""),"VF")</f>
        <v>VF</v>
      </c>
      <c r="F293" s="1">
        <f>IFERROR(__xludf.DUMMYFUNCTION("""COMPUTED_VALUE"""),2.0)</f>
        <v>2</v>
      </c>
      <c r="G293" s="1" t="str">
        <f>IFERROR(__xludf.DUMMYFUNCTION("""COMPUTED_VALUE"""),"PR016")</f>
        <v>PR016</v>
      </c>
      <c r="H293" s="1" t="str">
        <f>IFERROR(__xludf.DUMMYFUNCTION("""COMPUTED_VALUE"""),"VD032")</f>
        <v>VD032</v>
      </c>
      <c r="I293" s="1">
        <f>IFERROR(__xludf.DUMMYFUNCTION("""COMPUTED_VALUE"""),12.0)</f>
        <v>12</v>
      </c>
      <c r="J293" s="1">
        <f>IFERROR(__xludf.DUMMYFUNCTION("""COMPUTED_VALUE"""),320.12)</f>
        <v>320.12</v>
      </c>
      <c r="K293" s="1">
        <f>IFERROR(__xludf.DUMMYFUNCTION("""COMPUTED_VALUE"""),320.12)</f>
        <v>320.12</v>
      </c>
    </row>
    <row r="294">
      <c r="A294" s="1">
        <f>IFERROR(__xludf.DUMMYFUNCTION("""COMPUTED_VALUE"""),1000.0)</f>
        <v>1000</v>
      </c>
      <c r="B294" s="1">
        <f>IFERROR(__xludf.DUMMYFUNCTION("""COMPUTED_VALUE"""),183671.0)</f>
        <v>183671</v>
      </c>
      <c r="C294" s="1">
        <f>IFERROR(__xludf.DUMMYFUNCTION("""COMPUTED_VALUE"""),2026.0)</f>
        <v>2026</v>
      </c>
      <c r="D294" s="1">
        <f>IFERROR(__xludf.DUMMYFUNCTION("""COMPUTED_VALUE"""),46329.0)</f>
        <v>46329</v>
      </c>
      <c r="E294" s="1" t="str">
        <f>IFERROR(__xludf.DUMMYFUNCTION("""COMPUTED_VALUE"""),"VF")</f>
        <v>VF</v>
      </c>
      <c r="F294" s="1">
        <f>IFERROR(__xludf.DUMMYFUNCTION("""COMPUTED_VALUE"""),3.0)</f>
        <v>3</v>
      </c>
      <c r="G294" s="1" t="str">
        <f>IFERROR(__xludf.DUMMYFUNCTION("""COMPUTED_VALUE"""),"PR056")</f>
        <v>PR056</v>
      </c>
      <c r="H294" s="1" t="str">
        <f>IFERROR(__xludf.DUMMYFUNCTION("""COMPUTED_VALUE"""),"VD015")</f>
        <v>VD015</v>
      </c>
      <c r="I294" s="1">
        <f>IFERROR(__xludf.DUMMYFUNCTION("""COMPUTED_VALUE"""),1.0)</f>
        <v>1</v>
      </c>
      <c r="J294" s="1">
        <f>IFERROR(__xludf.DUMMYFUNCTION("""COMPUTED_VALUE"""),96.19)</f>
        <v>96.19</v>
      </c>
      <c r="K294" s="1">
        <f>IFERROR(__xludf.DUMMYFUNCTION("""COMPUTED_VALUE"""),96.19)</f>
        <v>96.19</v>
      </c>
    </row>
    <row r="295">
      <c r="A295" s="1">
        <f>IFERROR(__xludf.DUMMYFUNCTION("""COMPUTED_VALUE"""),1000.0)</f>
        <v>1000</v>
      </c>
      <c r="B295" s="1">
        <f>IFERROR(__xludf.DUMMYFUNCTION("""COMPUTED_VALUE"""),183672.0)</f>
        <v>183672</v>
      </c>
      <c r="C295" s="1">
        <f>IFERROR(__xludf.DUMMYFUNCTION("""COMPUTED_VALUE"""),2026.0)</f>
        <v>2026</v>
      </c>
      <c r="D295" s="1">
        <f>IFERROR(__xludf.DUMMYFUNCTION("""COMPUTED_VALUE"""),46329.0)</f>
        <v>46329</v>
      </c>
      <c r="E295" s="1" t="str">
        <f>IFERROR(__xludf.DUMMYFUNCTION("""COMPUTED_VALUE"""),"VF")</f>
        <v>VF</v>
      </c>
      <c r="F295" s="1">
        <f>IFERROR(__xludf.DUMMYFUNCTION("""COMPUTED_VALUE"""),1.0)</f>
        <v>1</v>
      </c>
      <c r="G295" s="1" t="str">
        <f>IFERROR(__xludf.DUMMYFUNCTION("""COMPUTED_VALUE"""),"PR017")</f>
        <v>PR017</v>
      </c>
      <c r="H295" s="1" t="str">
        <f>IFERROR(__xludf.DUMMYFUNCTION("""COMPUTED_VALUE"""),"VD016")</f>
        <v>VD016</v>
      </c>
      <c r="I295" s="1">
        <f>IFERROR(__xludf.DUMMYFUNCTION("""COMPUTED_VALUE"""),8.0)</f>
        <v>8</v>
      </c>
      <c r="J295" s="1">
        <f>IFERROR(__xludf.DUMMYFUNCTION("""COMPUTED_VALUE"""),241.59)</f>
        <v>241.59</v>
      </c>
      <c r="K295" s="1">
        <f>IFERROR(__xludf.DUMMYFUNCTION("""COMPUTED_VALUE"""),241.59)</f>
        <v>241.59</v>
      </c>
    </row>
    <row r="296">
      <c r="A296" s="1">
        <f>IFERROR(__xludf.DUMMYFUNCTION("""COMPUTED_VALUE"""),1000.0)</f>
        <v>1000</v>
      </c>
      <c r="B296" s="1">
        <f>IFERROR(__xludf.DUMMYFUNCTION("""COMPUTED_VALUE"""),183672.0)</f>
        <v>183672</v>
      </c>
      <c r="C296" s="1">
        <f>IFERROR(__xludf.DUMMYFUNCTION("""COMPUTED_VALUE"""),2026.0)</f>
        <v>2026</v>
      </c>
      <c r="D296" s="1">
        <f>IFERROR(__xludf.DUMMYFUNCTION("""COMPUTED_VALUE"""),46329.0)</f>
        <v>46329</v>
      </c>
      <c r="E296" s="1" t="str">
        <f>IFERROR(__xludf.DUMMYFUNCTION("""COMPUTED_VALUE"""),"VF")</f>
        <v>VF</v>
      </c>
      <c r="F296" s="1">
        <f>IFERROR(__xludf.DUMMYFUNCTION("""COMPUTED_VALUE"""),2.0)</f>
        <v>2</v>
      </c>
      <c r="G296" s="1" t="str">
        <f>IFERROR(__xludf.DUMMYFUNCTION("""COMPUTED_VALUE"""),"PR001")</f>
        <v>PR001</v>
      </c>
      <c r="H296" s="1" t="str">
        <f>IFERROR(__xludf.DUMMYFUNCTION("""COMPUTED_VALUE"""),"VD044")</f>
        <v>VD044</v>
      </c>
      <c r="I296" s="1">
        <f>IFERROR(__xludf.DUMMYFUNCTION("""COMPUTED_VALUE"""),6.0)</f>
        <v>6</v>
      </c>
      <c r="J296" s="1">
        <f>IFERROR(__xludf.DUMMYFUNCTION("""COMPUTED_VALUE"""),403.31)</f>
        <v>403.31</v>
      </c>
      <c r="K296" s="1">
        <f>IFERROR(__xludf.DUMMYFUNCTION("""COMPUTED_VALUE"""),403.31)</f>
        <v>403.31</v>
      </c>
    </row>
    <row r="297">
      <c r="A297" s="1">
        <f>IFERROR(__xludf.DUMMYFUNCTION("""COMPUTED_VALUE"""),1000.0)</f>
        <v>1000</v>
      </c>
      <c r="B297" s="1">
        <f>IFERROR(__xludf.DUMMYFUNCTION("""COMPUTED_VALUE"""),183673.0)</f>
        <v>183673</v>
      </c>
      <c r="C297" s="1">
        <f>IFERROR(__xludf.DUMMYFUNCTION("""COMPUTED_VALUE"""),2026.0)</f>
        <v>2026</v>
      </c>
      <c r="D297" s="1">
        <f>IFERROR(__xludf.DUMMYFUNCTION("""COMPUTED_VALUE"""),46328.0)</f>
        <v>46328</v>
      </c>
      <c r="E297" s="1" t="str">
        <f>IFERROR(__xludf.DUMMYFUNCTION("""COMPUTED_VALUE"""),"VF")</f>
        <v>VF</v>
      </c>
      <c r="F297" s="1">
        <f>IFERROR(__xludf.DUMMYFUNCTION("""COMPUTED_VALUE"""),1.0)</f>
        <v>1</v>
      </c>
      <c r="G297" s="1" t="str">
        <f>IFERROR(__xludf.DUMMYFUNCTION("""COMPUTED_VALUE"""),"PR059")</f>
        <v>PR059</v>
      </c>
      <c r="H297" s="1" t="str">
        <f>IFERROR(__xludf.DUMMYFUNCTION("""COMPUTED_VALUE"""),"VD042")</f>
        <v>VD042</v>
      </c>
      <c r="I297" s="1">
        <f>IFERROR(__xludf.DUMMYFUNCTION("""COMPUTED_VALUE"""),21.0)</f>
        <v>21</v>
      </c>
      <c r="J297" s="1">
        <f>IFERROR(__xludf.DUMMYFUNCTION("""COMPUTED_VALUE"""),3817.8)</f>
        <v>3817.8</v>
      </c>
      <c r="K297" s="1">
        <f>IFERROR(__xludf.DUMMYFUNCTION("""COMPUTED_VALUE"""),3817.8)</f>
        <v>3817.8</v>
      </c>
    </row>
    <row r="298">
      <c r="A298" s="1">
        <f>IFERROR(__xludf.DUMMYFUNCTION("""COMPUTED_VALUE"""),1000.0)</f>
        <v>1000</v>
      </c>
      <c r="B298" s="1">
        <f>IFERROR(__xludf.DUMMYFUNCTION("""COMPUTED_VALUE"""),183673.0)</f>
        <v>183673</v>
      </c>
      <c r="C298" s="1">
        <f>IFERROR(__xludf.DUMMYFUNCTION("""COMPUTED_VALUE"""),2026.0)</f>
        <v>2026</v>
      </c>
      <c r="D298" s="1">
        <f>IFERROR(__xludf.DUMMYFUNCTION("""COMPUTED_VALUE"""),46328.0)</f>
        <v>46328</v>
      </c>
      <c r="E298" s="1" t="str">
        <f>IFERROR(__xludf.DUMMYFUNCTION("""COMPUTED_VALUE"""),"VF")</f>
        <v>VF</v>
      </c>
      <c r="F298" s="1">
        <f>IFERROR(__xludf.DUMMYFUNCTION("""COMPUTED_VALUE"""),2.0)</f>
        <v>2</v>
      </c>
      <c r="G298" s="1" t="str">
        <f>IFERROR(__xludf.DUMMYFUNCTION("""COMPUTED_VALUE"""),"PR039")</f>
        <v>PR039</v>
      </c>
      <c r="H298" s="1" t="str">
        <f>IFERROR(__xludf.DUMMYFUNCTION("""COMPUTED_VALUE"""),"VD013")</f>
        <v>VD013</v>
      </c>
      <c r="I298" s="1">
        <f>IFERROR(__xludf.DUMMYFUNCTION("""COMPUTED_VALUE"""),3.0)</f>
        <v>3</v>
      </c>
      <c r="J298" s="1">
        <f>IFERROR(__xludf.DUMMYFUNCTION("""COMPUTED_VALUE"""),438.0)</f>
        <v>438</v>
      </c>
      <c r="K298" s="1">
        <f>IFERROR(__xludf.DUMMYFUNCTION("""COMPUTED_VALUE"""),438.0)</f>
        <v>438</v>
      </c>
    </row>
    <row r="299">
      <c r="A299" s="1">
        <f>IFERROR(__xludf.DUMMYFUNCTION("""COMPUTED_VALUE"""),1000.0)</f>
        <v>1000</v>
      </c>
      <c r="B299" s="1">
        <f>IFERROR(__xludf.DUMMYFUNCTION("""COMPUTED_VALUE"""),183674.0)</f>
        <v>183674</v>
      </c>
      <c r="C299" s="1">
        <f>IFERROR(__xludf.DUMMYFUNCTION("""COMPUTED_VALUE"""),2026.0)</f>
        <v>2026</v>
      </c>
      <c r="D299" s="1">
        <f>IFERROR(__xludf.DUMMYFUNCTION("""COMPUTED_VALUE"""),46328.0)</f>
        <v>46328</v>
      </c>
      <c r="E299" s="1" t="str">
        <f>IFERROR(__xludf.DUMMYFUNCTION("""COMPUTED_VALUE"""),"VF")</f>
        <v>VF</v>
      </c>
      <c r="F299" s="1">
        <f>IFERROR(__xludf.DUMMYFUNCTION("""COMPUTED_VALUE"""),1.0)</f>
        <v>1</v>
      </c>
      <c r="G299" s="1" t="str">
        <f>IFERROR(__xludf.DUMMYFUNCTION("""COMPUTED_VALUE"""),"PR035")</f>
        <v>PR035</v>
      </c>
      <c r="H299" s="1" t="str">
        <f>IFERROR(__xludf.DUMMYFUNCTION("""COMPUTED_VALUE"""),"VD011")</f>
        <v>VD011</v>
      </c>
      <c r="I299" s="1">
        <f>IFERROR(__xludf.DUMMYFUNCTION("""COMPUTED_VALUE"""),4.0)</f>
        <v>4</v>
      </c>
      <c r="J299" s="1">
        <f>IFERROR(__xludf.DUMMYFUNCTION("""COMPUTED_VALUE"""),383.88)</f>
        <v>383.88</v>
      </c>
      <c r="K299" s="1">
        <f>IFERROR(__xludf.DUMMYFUNCTION("""COMPUTED_VALUE"""),383.88)</f>
        <v>383.88</v>
      </c>
    </row>
    <row r="300">
      <c r="A300" s="1">
        <f>IFERROR(__xludf.DUMMYFUNCTION("""COMPUTED_VALUE"""),1000.0)</f>
        <v>1000</v>
      </c>
      <c r="B300" s="1">
        <f>IFERROR(__xludf.DUMMYFUNCTION("""COMPUTED_VALUE"""),183675.0)</f>
        <v>183675</v>
      </c>
      <c r="C300" s="1">
        <f>IFERROR(__xludf.DUMMYFUNCTION("""COMPUTED_VALUE"""),2026.0)</f>
        <v>2026</v>
      </c>
      <c r="D300" s="1">
        <f>IFERROR(__xludf.DUMMYFUNCTION("""COMPUTED_VALUE"""),46328.0)</f>
        <v>46328</v>
      </c>
      <c r="E300" s="1" t="str">
        <f>IFERROR(__xludf.DUMMYFUNCTION("""COMPUTED_VALUE"""),"VF")</f>
        <v>VF</v>
      </c>
      <c r="F300" s="1">
        <f>IFERROR(__xludf.DUMMYFUNCTION("""COMPUTED_VALUE"""),1.0)</f>
        <v>1</v>
      </c>
      <c r="G300" s="1" t="str">
        <f>IFERROR(__xludf.DUMMYFUNCTION("""COMPUTED_VALUE"""),"PR051")</f>
        <v>PR051</v>
      </c>
      <c r="H300" s="1" t="str">
        <f>IFERROR(__xludf.DUMMYFUNCTION("""COMPUTED_VALUE"""),"VD041")</f>
        <v>VD041</v>
      </c>
      <c r="I300" s="1">
        <f>IFERROR(__xludf.DUMMYFUNCTION("""COMPUTED_VALUE"""),30.0)</f>
        <v>30</v>
      </c>
      <c r="J300" s="1">
        <f>IFERROR(__xludf.DUMMYFUNCTION("""COMPUTED_VALUE"""),1026.48)</f>
        <v>1026.48</v>
      </c>
      <c r="K300" s="1">
        <f>IFERROR(__xludf.DUMMYFUNCTION("""COMPUTED_VALUE"""),1026.48)</f>
        <v>1026.48</v>
      </c>
    </row>
    <row r="301">
      <c r="A301" s="1">
        <f>IFERROR(__xludf.DUMMYFUNCTION("""COMPUTED_VALUE"""),2000.0)</f>
        <v>2000</v>
      </c>
      <c r="B301" s="1">
        <f>IFERROR(__xludf.DUMMYFUNCTION("""COMPUTED_VALUE"""),183676.0)</f>
        <v>183676</v>
      </c>
      <c r="C301" s="1">
        <f>IFERROR(__xludf.DUMMYFUNCTION("""COMPUTED_VALUE"""),2026.0)</f>
        <v>2026</v>
      </c>
      <c r="D301" s="1">
        <f>IFERROR(__xludf.DUMMYFUNCTION("""COMPUTED_VALUE"""),46328.0)</f>
        <v>46328</v>
      </c>
      <c r="E301" s="1" t="str">
        <f>IFERROR(__xludf.DUMMYFUNCTION("""COMPUTED_VALUE"""),"VF")</f>
        <v>VF</v>
      </c>
      <c r="F301" s="1">
        <f>IFERROR(__xludf.DUMMYFUNCTION("""COMPUTED_VALUE"""),1.0)</f>
        <v>1</v>
      </c>
      <c r="G301" s="1" t="str">
        <f>IFERROR(__xludf.DUMMYFUNCTION("""COMPUTED_VALUE"""),"PR047")</f>
        <v>PR047</v>
      </c>
      <c r="H301" s="1" t="str">
        <f>IFERROR(__xludf.DUMMYFUNCTION("""COMPUTED_VALUE"""),"VD034")</f>
        <v>VD034</v>
      </c>
      <c r="I301" s="1">
        <f>IFERROR(__xludf.DUMMYFUNCTION("""COMPUTED_VALUE"""),6.0)</f>
        <v>6</v>
      </c>
      <c r="J301" s="1">
        <f>IFERROR(__xludf.DUMMYFUNCTION("""COMPUTED_VALUE"""),1774.19)</f>
        <v>1774.19</v>
      </c>
      <c r="K301" s="1">
        <f>IFERROR(__xludf.DUMMYFUNCTION("""COMPUTED_VALUE"""),1774.19)</f>
        <v>1774.19</v>
      </c>
    </row>
    <row r="302">
      <c r="A302" s="1">
        <f>IFERROR(__xludf.DUMMYFUNCTION("""COMPUTED_VALUE"""),2000.0)</f>
        <v>2000</v>
      </c>
      <c r="B302" s="1">
        <f>IFERROR(__xludf.DUMMYFUNCTION("""COMPUTED_VALUE"""),183676.0)</f>
        <v>183676</v>
      </c>
      <c r="C302" s="1">
        <f>IFERROR(__xludf.DUMMYFUNCTION("""COMPUTED_VALUE"""),2026.0)</f>
        <v>2026</v>
      </c>
      <c r="D302" s="1">
        <f>IFERROR(__xludf.DUMMYFUNCTION("""COMPUTED_VALUE"""),46328.0)</f>
        <v>46328</v>
      </c>
      <c r="E302" s="1" t="str">
        <f>IFERROR(__xludf.DUMMYFUNCTION("""COMPUTED_VALUE"""),"VF")</f>
        <v>VF</v>
      </c>
      <c r="F302" s="1">
        <f>IFERROR(__xludf.DUMMYFUNCTION("""COMPUTED_VALUE"""),2.0)</f>
        <v>2</v>
      </c>
      <c r="G302" s="1" t="str">
        <f>IFERROR(__xludf.DUMMYFUNCTION("""COMPUTED_VALUE"""),"PR008")</f>
        <v>PR008</v>
      </c>
      <c r="H302" s="1" t="str">
        <f>IFERROR(__xludf.DUMMYFUNCTION("""COMPUTED_VALUE"""),"VD025")</f>
        <v>VD025</v>
      </c>
      <c r="I302" s="1">
        <f>IFERROR(__xludf.DUMMYFUNCTION("""COMPUTED_VALUE"""),12.0)</f>
        <v>12</v>
      </c>
      <c r="J302" s="1">
        <f>IFERROR(__xludf.DUMMYFUNCTION("""COMPUTED_VALUE"""),1121.95)</f>
        <v>1121.95</v>
      </c>
      <c r="K302" s="1">
        <f>IFERROR(__xludf.DUMMYFUNCTION("""COMPUTED_VALUE"""),1121.95)</f>
        <v>1121.95</v>
      </c>
    </row>
    <row r="303">
      <c r="A303" s="1">
        <f>IFERROR(__xludf.DUMMYFUNCTION("""COMPUTED_VALUE"""),2000.0)</f>
        <v>2000</v>
      </c>
      <c r="B303" s="1">
        <f>IFERROR(__xludf.DUMMYFUNCTION("""COMPUTED_VALUE"""),183676.0)</f>
        <v>183676</v>
      </c>
      <c r="C303" s="1">
        <f>IFERROR(__xludf.DUMMYFUNCTION("""COMPUTED_VALUE"""),2026.0)</f>
        <v>2026</v>
      </c>
      <c r="D303" s="1">
        <f>IFERROR(__xludf.DUMMYFUNCTION("""COMPUTED_VALUE"""),46327.0)</f>
        <v>46327</v>
      </c>
      <c r="E303" s="1" t="str">
        <f>IFERROR(__xludf.DUMMYFUNCTION("""COMPUTED_VALUE"""),"VF")</f>
        <v>VF</v>
      </c>
      <c r="F303" s="1">
        <f>IFERROR(__xludf.DUMMYFUNCTION("""COMPUTED_VALUE"""),3.0)</f>
        <v>3</v>
      </c>
      <c r="G303" s="1" t="str">
        <f>IFERROR(__xludf.DUMMYFUNCTION("""COMPUTED_VALUE"""),"PR045")</f>
        <v>PR045</v>
      </c>
      <c r="H303" s="1" t="str">
        <f>IFERROR(__xludf.DUMMYFUNCTION("""COMPUTED_VALUE"""),"VD035")</f>
        <v>VD035</v>
      </c>
      <c r="I303" s="1">
        <f>IFERROR(__xludf.DUMMYFUNCTION("""COMPUTED_VALUE"""),8.0)</f>
        <v>8</v>
      </c>
      <c r="J303" s="1">
        <f>IFERROR(__xludf.DUMMYFUNCTION("""COMPUTED_VALUE"""),609.0)</f>
        <v>609</v>
      </c>
      <c r="K303" s="1">
        <f>IFERROR(__xludf.DUMMYFUNCTION("""COMPUTED_VALUE"""),609.0)</f>
        <v>609</v>
      </c>
    </row>
    <row r="304">
      <c r="A304" s="1">
        <f>IFERROR(__xludf.DUMMYFUNCTION("""COMPUTED_VALUE"""),1000.0)</f>
        <v>1000</v>
      </c>
      <c r="B304" s="1">
        <f>IFERROR(__xludf.DUMMYFUNCTION("""COMPUTED_VALUE"""),183677.0)</f>
        <v>183677</v>
      </c>
      <c r="C304" s="1">
        <f>IFERROR(__xludf.DUMMYFUNCTION("""COMPUTED_VALUE"""),2026.0)</f>
        <v>2026</v>
      </c>
      <c r="D304" s="1">
        <f>IFERROR(__xludf.DUMMYFUNCTION("""COMPUTED_VALUE"""),46327.0)</f>
        <v>46327</v>
      </c>
      <c r="E304" s="1" t="str">
        <f>IFERROR(__xludf.DUMMYFUNCTION("""COMPUTED_VALUE"""),"VF")</f>
        <v>VF</v>
      </c>
      <c r="F304" s="1">
        <f>IFERROR(__xludf.DUMMYFUNCTION("""COMPUTED_VALUE"""),1.0)</f>
        <v>1</v>
      </c>
      <c r="G304" s="1" t="str">
        <f>IFERROR(__xludf.DUMMYFUNCTION("""COMPUTED_VALUE"""),"PR029")</f>
        <v>PR029</v>
      </c>
      <c r="H304" s="1" t="str">
        <f>IFERROR(__xludf.DUMMYFUNCTION("""COMPUTED_VALUE"""),"VD043")</f>
        <v>VD043</v>
      </c>
      <c r="I304" s="1">
        <f>IFERROR(__xludf.DUMMYFUNCTION("""COMPUTED_VALUE"""),21.0)</f>
        <v>21</v>
      </c>
      <c r="J304" s="1">
        <f>IFERROR(__xludf.DUMMYFUNCTION("""COMPUTED_VALUE"""),5462.1)</f>
        <v>5462.1</v>
      </c>
      <c r="K304" s="1">
        <f>IFERROR(__xludf.DUMMYFUNCTION("""COMPUTED_VALUE"""),5462.1)</f>
        <v>5462.1</v>
      </c>
    </row>
    <row r="305">
      <c r="A305" s="1">
        <f>IFERROR(__xludf.DUMMYFUNCTION("""COMPUTED_VALUE"""),2000.0)</f>
        <v>2000</v>
      </c>
      <c r="B305" s="1">
        <f>IFERROR(__xludf.DUMMYFUNCTION("""COMPUTED_VALUE"""),183678.0)</f>
        <v>183678</v>
      </c>
      <c r="C305" s="1">
        <f>IFERROR(__xludf.DUMMYFUNCTION("""COMPUTED_VALUE"""),2026.0)</f>
        <v>2026</v>
      </c>
      <c r="D305" s="1">
        <f>IFERROR(__xludf.DUMMYFUNCTION("""COMPUTED_VALUE"""),46327.0)</f>
        <v>46327</v>
      </c>
      <c r="E305" s="1" t="str">
        <f>IFERROR(__xludf.DUMMYFUNCTION("""COMPUTED_VALUE"""),"VF")</f>
        <v>VF</v>
      </c>
      <c r="F305" s="1">
        <f>IFERROR(__xludf.DUMMYFUNCTION("""COMPUTED_VALUE"""),1.0)</f>
        <v>1</v>
      </c>
      <c r="G305" s="1" t="str">
        <f>IFERROR(__xludf.DUMMYFUNCTION("""COMPUTED_VALUE"""),"PR054")</f>
        <v>PR054</v>
      </c>
      <c r="H305" s="1" t="str">
        <f>IFERROR(__xludf.DUMMYFUNCTION("""COMPUTED_VALUE"""),"VD015")</f>
        <v>VD015</v>
      </c>
      <c r="I305" s="1">
        <f>IFERROR(__xludf.DUMMYFUNCTION("""COMPUTED_VALUE"""),2.0)</f>
        <v>2</v>
      </c>
      <c r="J305" s="1">
        <f>IFERROR(__xludf.DUMMYFUNCTION("""COMPUTED_VALUE"""),105.79)</f>
        <v>105.79</v>
      </c>
      <c r="K305" s="1">
        <f>IFERROR(__xludf.DUMMYFUNCTION("""COMPUTED_VALUE"""),105.79)</f>
        <v>105.79</v>
      </c>
    </row>
    <row r="306">
      <c r="A306" s="1">
        <f>IFERROR(__xludf.DUMMYFUNCTION("""COMPUTED_VALUE"""),1000.0)</f>
        <v>1000</v>
      </c>
      <c r="B306" s="1">
        <f>IFERROR(__xludf.DUMMYFUNCTION("""COMPUTED_VALUE"""),183679.0)</f>
        <v>183679</v>
      </c>
      <c r="C306" s="1">
        <f>IFERROR(__xludf.DUMMYFUNCTION("""COMPUTED_VALUE"""),2026.0)</f>
        <v>2026</v>
      </c>
      <c r="D306" s="1">
        <f>IFERROR(__xludf.DUMMYFUNCTION("""COMPUTED_VALUE"""),46327.0)</f>
        <v>46327</v>
      </c>
      <c r="E306" s="1" t="str">
        <f>IFERROR(__xludf.DUMMYFUNCTION("""COMPUTED_VALUE"""),"VF")</f>
        <v>VF</v>
      </c>
      <c r="F306" s="1">
        <f>IFERROR(__xludf.DUMMYFUNCTION("""COMPUTED_VALUE"""),1.0)</f>
        <v>1</v>
      </c>
      <c r="G306" s="1" t="str">
        <f>IFERROR(__xludf.DUMMYFUNCTION("""COMPUTED_VALUE"""),"PR033")</f>
        <v>PR033</v>
      </c>
      <c r="H306" s="1" t="str">
        <f>IFERROR(__xludf.DUMMYFUNCTION("""COMPUTED_VALUE"""),"VD025")</f>
        <v>VD025</v>
      </c>
      <c r="I306" s="1">
        <f>IFERROR(__xludf.DUMMYFUNCTION("""COMPUTED_VALUE"""),4.0)</f>
        <v>4</v>
      </c>
      <c r="J306" s="1">
        <f>IFERROR(__xludf.DUMMYFUNCTION("""COMPUTED_VALUE"""),1133.16)</f>
        <v>1133.16</v>
      </c>
      <c r="K306" s="1">
        <f>IFERROR(__xludf.DUMMYFUNCTION("""COMPUTED_VALUE"""),1133.16)</f>
        <v>1133.16</v>
      </c>
    </row>
    <row r="307">
      <c r="A307" s="1">
        <f>IFERROR(__xludf.DUMMYFUNCTION("""COMPUTED_VALUE"""),1000.0)</f>
        <v>1000</v>
      </c>
      <c r="B307" s="1">
        <f>IFERROR(__xludf.DUMMYFUNCTION("""COMPUTED_VALUE"""),183680.0)</f>
        <v>183680</v>
      </c>
      <c r="C307" s="1">
        <f>IFERROR(__xludf.DUMMYFUNCTION("""COMPUTED_VALUE"""),2026.0)</f>
        <v>2026</v>
      </c>
      <c r="D307" s="1">
        <f>IFERROR(__xludf.DUMMYFUNCTION("""COMPUTED_VALUE"""),46326.0)</f>
        <v>46326</v>
      </c>
      <c r="E307" s="1" t="str">
        <f>IFERROR(__xludf.DUMMYFUNCTION("""COMPUTED_VALUE"""),"VF")</f>
        <v>VF</v>
      </c>
      <c r="F307" s="1">
        <f>IFERROR(__xludf.DUMMYFUNCTION("""COMPUTED_VALUE"""),1.0)</f>
        <v>1</v>
      </c>
      <c r="G307" s="1" t="str">
        <f>IFERROR(__xludf.DUMMYFUNCTION("""COMPUTED_VALUE"""),"PR001")</f>
        <v>PR001</v>
      </c>
      <c r="H307" s="1" t="str">
        <f>IFERROR(__xludf.DUMMYFUNCTION("""COMPUTED_VALUE"""),"VD021")</f>
        <v>VD021</v>
      </c>
      <c r="I307" s="1">
        <f>IFERROR(__xludf.DUMMYFUNCTION("""COMPUTED_VALUE"""),6.0)</f>
        <v>6</v>
      </c>
      <c r="J307" s="1">
        <f>IFERROR(__xludf.DUMMYFUNCTION("""COMPUTED_VALUE"""),430.99)</f>
        <v>430.99</v>
      </c>
      <c r="K307" s="1">
        <f>IFERROR(__xludf.DUMMYFUNCTION("""COMPUTED_VALUE"""),430.99)</f>
        <v>430.99</v>
      </c>
    </row>
    <row r="308">
      <c r="A308" s="1">
        <f>IFERROR(__xludf.DUMMYFUNCTION("""COMPUTED_VALUE"""),1000.0)</f>
        <v>1000</v>
      </c>
      <c r="B308" s="1">
        <f>IFERROR(__xludf.DUMMYFUNCTION("""COMPUTED_VALUE"""),183681.0)</f>
        <v>183681</v>
      </c>
      <c r="C308" s="1">
        <f>IFERROR(__xludf.DUMMYFUNCTION("""COMPUTED_VALUE"""),2026.0)</f>
        <v>2026</v>
      </c>
      <c r="D308" s="1">
        <f>IFERROR(__xludf.DUMMYFUNCTION("""COMPUTED_VALUE"""),46326.0)</f>
        <v>46326</v>
      </c>
      <c r="E308" s="1" t="str">
        <f>IFERROR(__xludf.DUMMYFUNCTION("""COMPUTED_VALUE"""),"VF")</f>
        <v>VF</v>
      </c>
      <c r="F308" s="1">
        <f>IFERROR(__xludf.DUMMYFUNCTION("""COMPUTED_VALUE"""),1.0)</f>
        <v>1</v>
      </c>
      <c r="G308" s="1" t="str">
        <f>IFERROR(__xludf.DUMMYFUNCTION("""COMPUTED_VALUE"""),"PR010")</f>
        <v>PR010</v>
      </c>
      <c r="H308" s="1" t="str">
        <f>IFERROR(__xludf.DUMMYFUNCTION("""COMPUTED_VALUE"""),"VD029")</f>
        <v>VD029</v>
      </c>
      <c r="I308" s="1">
        <f>IFERROR(__xludf.DUMMYFUNCTION("""COMPUTED_VALUE"""),3.0)</f>
        <v>3</v>
      </c>
      <c r="J308" s="1">
        <f>IFERROR(__xludf.DUMMYFUNCTION("""COMPUTED_VALUE"""),134.7)</f>
        <v>134.7</v>
      </c>
      <c r="K308" s="1">
        <f>IFERROR(__xludf.DUMMYFUNCTION("""COMPUTED_VALUE"""),134.7)</f>
        <v>134.7</v>
      </c>
    </row>
    <row r="309">
      <c r="A309" s="1">
        <f>IFERROR(__xludf.DUMMYFUNCTION("""COMPUTED_VALUE"""),1000.0)</f>
        <v>1000</v>
      </c>
      <c r="B309" s="1">
        <f>IFERROR(__xludf.DUMMYFUNCTION("""COMPUTED_VALUE"""),183681.0)</f>
        <v>183681</v>
      </c>
      <c r="C309" s="1">
        <f>IFERROR(__xludf.DUMMYFUNCTION("""COMPUTED_VALUE"""),2026.0)</f>
        <v>2026</v>
      </c>
      <c r="D309" s="1">
        <f>IFERROR(__xludf.DUMMYFUNCTION("""COMPUTED_VALUE"""),46326.0)</f>
        <v>46326</v>
      </c>
      <c r="E309" s="1" t="str">
        <f>IFERROR(__xludf.DUMMYFUNCTION("""COMPUTED_VALUE"""),"VF")</f>
        <v>VF</v>
      </c>
      <c r="F309" s="1">
        <f>IFERROR(__xludf.DUMMYFUNCTION("""COMPUTED_VALUE"""),2.0)</f>
        <v>2</v>
      </c>
      <c r="G309" s="1" t="str">
        <f>IFERROR(__xludf.DUMMYFUNCTION("""COMPUTED_VALUE"""),"PR005")</f>
        <v>PR005</v>
      </c>
      <c r="H309" s="1" t="str">
        <f>IFERROR(__xludf.DUMMYFUNCTION("""COMPUTED_VALUE"""),"VD038")</f>
        <v>VD038</v>
      </c>
      <c r="I309" s="1">
        <f>IFERROR(__xludf.DUMMYFUNCTION("""COMPUTED_VALUE"""),10.0)</f>
        <v>10</v>
      </c>
      <c r="J309" s="1">
        <f>IFERROR(__xludf.DUMMYFUNCTION("""COMPUTED_VALUE"""),2728.95)</f>
        <v>2728.95</v>
      </c>
      <c r="K309" s="1">
        <f>IFERROR(__xludf.DUMMYFUNCTION("""COMPUTED_VALUE"""),2728.95)</f>
        <v>2728.95</v>
      </c>
    </row>
    <row r="310">
      <c r="A310" s="1">
        <f>IFERROR(__xludf.DUMMYFUNCTION("""COMPUTED_VALUE"""),1000.0)</f>
        <v>1000</v>
      </c>
      <c r="B310" s="1">
        <f>IFERROR(__xludf.DUMMYFUNCTION("""COMPUTED_VALUE"""),183682.0)</f>
        <v>183682</v>
      </c>
      <c r="C310" s="1">
        <f>IFERROR(__xludf.DUMMYFUNCTION("""COMPUTED_VALUE"""),2026.0)</f>
        <v>2026</v>
      </c>
      <c r="D310" s="1">
        <f>IFERROR(__xludf.DUMMYFUNCTION("""COMPUTED_VALUE"""),46326.0)</f>
        <v>46326</v>
      </c>
      <c r="E310" s="1" t="str">
        <f>IFERROR(__xludf.DUMMYFUNCTION("""COMPUTED_VALUE"""),"VF")</f>
        <v>VF</v>
      </c>
      <c r="F310" s="1">
        <f>IFERROR(__xludf.DUMMYFUNCTION("""COMPUTED_VALUE"""),1.0)</f>
        <v>1</v>
      </c>
      <c r="G310" s="1" t="str">
        <f>IFERROR(__xludf.DUMMYFUNCTION("""COMPUTED_VALUE"""),"PR040")</f>
        <v>PR040</v>
      </c>
      <c r="H310" s="1" t="str">
        <f>IFERROR(__xludf.DUMMYFUNCTION("""COMPUTED_VALUE"""),"VD045")</f>
        <v>VD045</v>
      </c>
      <c r="I310" s="1">
        <f>IFERROR(__xludf.DUMMYFUNCTION("""COMPUTED_VALUE"""),21.0)</f>
        <v>21</v>
      </c>
      <c r="J310" s="1">
        <f>IFERROR(__xludf.DUMMYFUNCTION("""COMPUTED_VALUE"""),1543.5)</f>
        <v>1543.5</v>
      </c>
      <c r="K310" s="1">
        <f>IFERROR(__xludf.DUMMYFUNCTION("""COMPUTED_VALUE"""),1543.5)</f>
        <v>1543.5</v>
      </c>
    </row>
    <row r="311">
      <c r="A311" s="1">
        <f>IFERROR(__xludf.DUMMYFUNCTION("""COMPUTED_VALUE"""),1000.0)</f>
        <v>1000</v>
      </c>
      <c r="B311" s="1">
        <f>IFERROR(__xludf.DUMMYFUNCTION("""COMPUTED_VALUE"""),183683.0)</f>
        <v>183683</v>
      </c>
      <c r="C311" s="1">
        <f>IFERROR(__xludf.DUMMYFUNCTION("""COMPUTED_VALUE"""),2026.0)</f>
        <v>2026</v>
      </c>
      <c r="D311" s="1">
        <f>IFERROR(__xludf.DUMMYFUNCTION("""COMPUTED_VALUE"""),46326.0)</f>
        <v>46326</v>
      </c>
      <c r="E311" s="1" t="str">
        <f>IFERROR(__xludf.DUMMYFUNCTION("""COMPUTED_VALUE"""),"VF")</f>
        <v>VF</v>
      </c>
      <c r="F311" s="1">
        <f>IFERROR(__xludf.DUMMYFUNCTION("""COMPUTED_VALUE"""),1.0)</f>
        <v>1</v>
      </c>
      <c r="G311" s="1" t="str">
        <f>IFERROR(__xludf.DUMMYFUNCTION("""COMPUTED_VALUE"""),"PR017")</f>
        <v>PR017</v>
      </c>
      <c r="H311" s="1" t="str">
        <f>IFERROR(__xludf.DUMMYFUNCTION("""COMPUTED_VALUE"""),"VD029")</f>
        <v>VD029</v>
      </c>
      <c r="I311" s="1">
        <f>IFERROR(__xludf.DUMMYFUNCTION("""COMPUTED_VALUE"""),27.0)</f>
        <v>27</v>
      </c>
      <c r="J311" s="1">
        <f>IFERROR(__xludf.DUMMYFUNCTION("""COMPUTED_VALUE"""),815.37)</f>
        <v>815.37</v>
      </c>
      <c r="K311" s="1">
        <f>IFERROR(__xludf.DUMMYFUNCTION("""COMPUTED_VALUE"""),815.37)</f>
        <v>815.37</v>
      </c>
    </row>
    <row r="312">
      <c r="A312" s="1">
        <f>IFERROR(__xludf.DUMMYFUNCTION("""COMPUTED_VALUE"""),1000.0)</f>
        <v>1000</v>
      </c>
      <c r="B312" s="1">
        <f>IFERROR(__xludf.DUMMYFUNCTION("""COMPUTED_VALUE"""),183683.0)</f>
        <v>183683</v>
      </c>
      <c r="C312" s="1">
        <f>IFERROR(__xludf.DUMMYFUNCTION("""COMPUTED_VALUE"""),2026.0)</f>
        <v>2026</v>
      </c>
      <c r="D312" s="1">
        <f>IFERROR(__xludf.DUMMYFUNCTION("""COMPUTED_VALUE"""),46326.0)</f>
        <v>46326</v>
      </c>
      <c r="E312" s="1" t="str">
        <f>IFERROR(__xludf.DUMMYFUNCTION("""COMPUTED_VALUE"""),"VF")</f>
        <v>VF</v>
      </c>
      <c r="F312" s="1">
        <f>IFERROR(__xludf.DUMMYFUNCTION("""COMPUTED_VALUE"""),2.0)</f>
        <v>2</v>
      </c>
      <c r="G312" s="1" t="str">
        <f>IFERROR(__xludf.DUMMYFUNCTION("""COMPUTED_VALUE"""),"PR045")</f>
        <v>PR045</v>
      </c>
      <c r="H312" s="1" t="str">
        <f>IFERROR(__xludf.DUMMYFUNCTION("""COMPUTED_VALUE"""),"VD041")</f>
        <v>VD041</v>
      </c>
      <c r="I312" s="1">
        <f>IFERROR(__xludf.DUMMYFUNCTION("""COMPUTED_VALUE"""),10.0)</f>
        <v>10</v>
      </c>
      <c r="J312" s="1">
        <f>IFERROR(__xludf.DUMMYFUNCTION("""COMPUTED_VALUE"""),768.5)</f>
        <v>768.5</v>
      </c>
      <c r="K312" s="1">
        <f>IFERROR(__xludf.DUMMYFUNCTION("""COMPUTED_VALUE"""),768.5)</f>
        <v>768.5</v>
      </c>
    </row>
    <row r="313">
      <c r="A313" s="1">
        <f>IFERROR(__xludf.DUMMYFUNCTION("""COMPUTED_VALUE"""),1000.0)</f>
        <v>1000</v>
      </c>
      <c r="B313" s="1">
        <f>IFERROR(__xludf.DUMMYFUNCTION("""COMPUTED_VALUE"""),183684.0)</f>
        <v>183684</v>
      </c>
      <c r="C313" s="1">
        <f>IFERROR(__xludf.DUMMYFUNCTION("""COMPUTED_VALUE"""),2026.0)</f>
        <v>2026</v>
      </c>
      <c r="D313" s="1">
        <f>IFERROR(__xludf.DUMMYFUNCTION("""COMPUTED_VALUE"""),46326.0)</f>
        <v>46326</v>
      </c>
      <c r="E313" s="1" t="str">
        <f>IFERROR(__xludf.DUMMYFUNCTION("""COMPUTED_VALUE"""),"VF")</f>
        <v>VF</v>
      </c>
      <c r="F313" s="1">
        <f>IFERROR(__xludf.DUMMYFUNCTION("""COMPUTED_VALUE"""),1.0)</f>
        <v>1</v>
      </c>
      <c r="G313" s="1" t="str">
        <f>IFERROR(__xludf.DUMMYFUNCTION("""COMPUTED_VALUE"""),"PR014")</f>
        <v>PR014</v>
      </c>
      <c r="H313" s="1" t="str">
        <f>IFERROR(__xludf.DUMMYFUNCTION("""COMPUTED_VALUE"""),"VD018")</f>
        <v>VD018</v>
      </c>
      <c r="I313" s="1">
        <f>IFERROR(__xludf.DUMMYFUNCTION("""COMPUTED_VALUE"""),27.0)</f>
        <v>27</v>
      </c>
      <c r="J313" s="1">
        <f>IFERROR(__xludf.DUMMYFUNCTION("""COMPUTED_VALUE"""),1141.94)</f>
        <v>1141.94</v>
      </c>
      <c r="K313" s="1">
        <f>IFERROR(__xludf.DUMMYFUNCTION("""COMPUTED_VALUE"""),1141.94)</f>
        <v>1141.94</v>
      </c>
    </row>
    <row r="314">
      <c r="A314" s="1">
        <f>IFERROR(__xludf.DUMMYFUNCTION("""COMPUTED_VALUE"""),1000.0)</f>
        <v>1000</v>
      </c>
      <c r="B314" s="1">
        <f>IFERROR(__xludf.DUMMYFUNCTION("""COMPUTED_VALUE"""),183685.0)</f>
        <v>183685</v>
      </c>
      <c r="C314" s="1">
        <f>IFERROR(__xludf.DUMMYFUNCTION("""COMPUTED_VALUE"""),2026.0)</f>
        <v>2026</v>
      </c>
      <c r="D314" s="1">
        <f>IFERROR(__xludf.DUMMYFUNCTION("""COMPUTED_VALUE"""),46325.0)</f>
        <v>46325</v>
      </c>
      <c r="E314" s="1" t="str">
        <f>IFERROR(__xludf.DUMMYFUNCTION("""COMPUTED_VALUE"""),"VF")</f>
        <v>VF</v>
      </c>
      <c r="F314" s="1">
        <f>IFERROR(__xludf.DUMMYFUNCTION("""COMPUTED_VALUE"""),1.0)</f>
        <v>1</v>
      </c>
      <c r="G314" s="1" t="str">
        <f>IFERROR(__xludf.DUMMYFUNCTION("""COMPUTED_VALUE"""),"PR028")</f>
        <v>PR028</v>
      </c>
      <c r="H314" s="1" t="str">
        <f>IFERROR(__xludf.DUMMYFUNCTION("""COMPUTED_VALUE"""),"VD015")</f>
        <v>VD015</v>
      </c>
      <c r="I314" s="1">
        <f>IFERROR(__xludf.DUMMYFUNCTION("""COMPUTED_VALUE"""),15.0)</f>
        <v>15</v>
      </c>
      <c r="J314" s="1">
        <f>IFERROR(__xludf.DUMMYFUNCTION("""COMPUTED_VALUE"""),3785.99)</f>
        <v>3785.99</v>
      </c>
      <c r="K314" s="1">
        <f>IFERROR(__xludf.DUMMYFUNCTION("""COMPUTED_VALUE"""),3785.99)</f>
        <v>3785.99</v>
      </c>
    </row>
    <row r="315">
      <c r="A315" s="1">
        <f>IFERROR(__xludf.DUMMYFUNCTION("""COMPUTED_VALUE"""),1000.0)</f>
        <v>1000</v>
      </c>
      <c r="B315" s="1">
        <f>IFERROR(__xludf.DUMMYFUNCTION("""COMPUTED_VALUE"""),183686.0)</f>
        <v>183686</v>
      </c>
      <c r="C315" s="1">
        <f>IFERROR(__xludf.DUMMYFUNCTION("""COMPUTED_VALUE"""),2026.0)</f>
        <v>2026</v>
      </c>
      <c r="D315" s="1">
        <f>IFERROR(__xludf.DUMMYFUNCTION("""COMPUTED_VALUE"""),46325.0)</f>
        <v>46325</v>
      </c>
      <c r="E315" s="1" t="str">
        <f>IFERROR(__xludf.DUMMYFUNCTION("""COMPUTED_VALUE"""),"VF")</f>
        <v>VF</v>
      </c>
      <c r="F315" s="1">
        <f>IFERROR(__xludf.DUMMYFUNCTION("""COMPUTED_VALUE"""),1.0)</f>
        <v>1</v>
      </c>
      <c r="G315" s="1" t="str">
        <f>IFERROR(__xludf.DUMMYFUNCTION("""COMPUTED_VALUE"""),"PR046")</f>
        <v>PR046</v>
      </c>
      <c r="H315" s="1" t="str">
        <f>IFERROR(__xludf.DUMMYFUNCTION("""COMPUTED_VALUE"""),"VD021")</f>
        <v>VD021</v>
      </c>
      <c r="I315" s="1">
        <f>IFERROR(__xludf.DUMMYFUNCTION("""COMPUTED_VALUE"""),14.0)</f>
        <v>14</v>
      </c>
      <c r="J315" s="1">
        <f>IFERROR(__xludf.DUMMYFUNCTION("""COMPUTED_VALUE"""),4180.36)</f>
        <v>4180.36</v>
      </c>
      <c r="K315" s="1">
        <f>IFERROR(__xludf.DUMMYFUNCTION("""COMPUTED_VALUE"""),4180.36)</f>
        <v>4180.36</v>
      </c>
    </row>
    <row r="316">
      <c r="A316" s="1">
        <f>IFERROR(__xludf.DUMMYFUNCTION("""COMPUTED_VALUE"""),1000.0)</f>
        <v>1000</v>
      </c>
      <c r="B316" s="1">
        <f>IFERROR(__xludf.DUMMYFUNCTION("""COMPUTED_VALUE"""),183687.0)</f>
        <v>183687</v>
      </c>
      <c r="C316" s="1">
        <f>IFERROR(__xludf.DUMMYFUNCTION("""COMPUTED_VALUE"""),2026.0)</f>
        <v>2026</v>
      </c>
      <c r="D316" s="1">
        <f>IFERROR(__xludf.DUMMYFUNCTION("""COMPUTED_VALUE"""),46325.0)</f>
        <v>46325</v>
      </c>
      <c r="E316" s="1" t="str">
        <f>IFERROR(__xludf.DUMMYFUNCTION("""COMPUTED_VALUE"""),"VF")</f>
        <v>VF</v>
      </c>
      <c r="F316" s="1">
        <f>IFERROR(__xludf.DUMMYFUNCTION("""COMPUTED_VALUE"""),1.0)</f>
        <v>1</v>
      </c>
      <c r="G316" s="1" t="str">
        <f>IFERROR(__xludf.DUMMYFUNCTION("""COMPUTED_VALUE"""),"PR043")</f>
        <v>PR043</v>
      </c>
      <c r="H316" s="1" t="str">
        <f>IFERROR(__xludf.DUMMYFUNCTION("""COMPUTED_VALUE"""),"VD015")</f>
        <v>VD015</v>
      </c>
      <c r="I316" s="1">
        <f>IFERROR(__xludf.DUMMYFUNCTION("""COMPUTED_VALUE"""),20.0)</f>
        <v>20</v>
      </c>
      <c r="J316" s="1">
        <f>IFERROR(__xludf.DUMMYFUNCTION("""COMPUTED_VALUE"""),1595.0)</f>
        <v>1595</v>
      </c>
      <c r="K316" s="1">
        <f>IFERROR(__xludf.DUMMYFUNCTION("""COMPUTED_VALUE"""),1595.0)</f>
        <v>1595</v>
      </c>
    </row>
    <row r="317">
      <c r="A317" s="1">
        <f>IFERROR(__xludf.DUMMYFUNCTION("""COMPUTED_VALUE"""),1000.0)</f>
        <v>1000</v>
      </c>
      <c r="B317" s="1">
        <f>IFERROR(__xludf.DUMMYFUNCTION("""COMPUTED_VALUE"""),183688.0)</f>
        <v>183688</v>
      </c>
      <c r="C317" s="1">
        <f>IFERROR(__xludf.DUMMYFUNCTION("""COMPUTED_VALUE"""),2026.0)</f>
        <v>2026</v>
      </c>
      <c r="D317" s="1">
        <f>IFERROR(__xludf.DUMMYFUNCTION("""COMPUTED_VALUE"""),46324.0)</f>
        <v>46324</v>
      </c>
      <c r="E317" s="1" t="str">
        <f>IFERROR(__xludf.DUMMYFUNCTION("""COMPUTED_VALUE"""),"VF")</f>
        <v>VF</v>
      </c>
      <c r="F317" s="1">
        <f>IFERROR(__xludf.DUMMYFUNCTION("""COMPUTED_VALUE"""),1.0)</f>
        <v>1</v>
      </c>
      <c r="G317" s="1" t="str">
        <f>IFERROR(__xludf.DUMMYFUNCTION("""COMPUTED_VALUE"""),"PR030")</f>
        <v>PR030</v>
      </c>
      <c r="H317" s="1" t="str">
        <f>IFERROR(__xludf.DUMMYFUNCTION("""COMPUTED_VALUE"""),"VD017")</f>
        <v>VD017</v>
      </c>
      <c r="I317" s="1">
        <f>IFERROR(__xludf.DUMMYFUNCTION("""COMPUTED_VALUE"""),18.0)</f>
        <v>18</v>
      </c>
      <c r="J317" s="1">
        <f>IFERROR(__xludf.DUMMYFUNCTION("""COMPUTED_VALUE"""),4865.33)</f>
        <v>4865.33</v>
      </c>
      <c r="K317" s="1">
        <f>IFERROR(__xludf.DUMMYFUNCTION("""COMPUTED_VALUE"""),4865.33)</f>
        <v>4865.33</v>
      </c>
    </row>
    <row r="318">
      <c r="A318" s="1">
        <f>IFERROR(__xludf.DUMMYFUNCTION("""COMPUTED_VALUE"""),1000.0)</f>
        <v>1000</v>
      </c>
      <c r="B318" s="1">
        <f>IFERROR(__xludf.DUMMYFUNCTION("""COMPUTED_VALUE"""),183688.0)</f>
        <v>183688</v>
      </c>
      <c r="C318" s="1">
        <f>IFERROR(__xludf.DUMMYFUNCTION("""COMPUTED_VALUE"""),2026.0)</f>
        <v>2026</v>
      </c>
      <c r="D318" s="1">
        <f>IFERROR(__xludf.DUMMYFUNCTION("""COMPUTED_VALUE"""),46324.0)</f>
        <v>46324</v>
      </c>
      <c r="E318" s="1" t="str">
        <f>IFERROR(__xludf.DUMMYFUNCTION("""COMPUTED_VALUE"""),"VF")</f>
        <v>VF</v>
      </c>
      <c r="F318" s="1">
        <f>IFERROR(__xludf.DUMMYFUNCTION("""COMPUTED_VALUE"""),2.0)</f>
        <v>2</v>
      </c>
      <c r="G318" s="1" t="str">
        <f>IFERROR(__xludf.DUMMYFUNCTION("""COMPUTED_VALUE"""),"PR047")</f>
        <v>PR047</v>
      </c>
      <c r="H318" s="1" t="str">
        <f>IFERROR(__xludf.DUMMYFUNCTION("""COMPUTED_VALUE"""),"VD024")</f>
        <v>VD024</v>
      </c>
      <c r="I318" s="1">
        <f>IFERROR(__xludf.DUMMYFUNCTION("""COMPUTED_VALUE"""),24.0)</f>
        <v>24</v>
      </c>
      <c r="J318" s="1">
        <f>IFERROR(__xludf.DUMMYFUNCTION("""COMPUTED_VALUE"""),7027.18)</f>
        <v>7027.18</v>
      </c>
      <c r="K318" s="1">
        <f>IFERROR(__xludf.DUMMYFUNCTION("""COMPUTED_VALUE"""),7027.18)</f>
        <v>7027.18</v>
      </c>
    </row>
    <row r="319">
      <c r="A319" s="1">
        <f>IFERROR(__xludf.DUMMYFUNCTION("""COMPUTED_VALUE"""),1000.0)</f>
        <v>1000</v>
      </c>
      <c r="B319" s="1">
        <f>IFERROR(__xludf.DUMMYFUNCTION("""COMPUTED_VALUE"""),183689.0)</f>
        <v>183689</v>
      </c>
      <c r="C319" s="1">
        <f>IFERROR(__xludf.DUMMYFUNCTION("""COMPUTED_VALUE"""),2026.0)</f>
        <v>2026</v>
      </c>
      <c r="D319" s="1">
        <f>IFERROR(__xludf.DUMMYFUNCTION("""COMPUTED_VALUE"""),46324.0)</f>
        <v>46324</v>
      </c>
      <c r="E319" s="1" t="str">
        <f>IFERROR(__xludf.DUMMYFUNCTION("""COMPUTED_VALUE"""),"VF")</f>
        <v>VF</v>
      </c>
      <c r="F319" s="1">
        <f>IFERROR(__xludf.DUMMYFUNCTION("""COMPUTED_VALUE"""),1.0)</f>
        <v>1</v>
      </c>
      <c r="G319" s="1" t="str">
        <f>IFERROR(__xludf.DUMMYFUNCTION("""COMPUTED_VALUE"""),"PR010")</f>
        <v>PR010</v>
      </c>
      <c r="H319" s="1" t="str">
        <f>IFERROR(__xludf.DUMMYFUNCTION("""COMPUTED_VALUE"""),"VD028")</f>
        <v>VD028</v>
      </c>
      <c r="I319" s="1">
        <f>IFERROR(__xludf.DUMMYFUNCTION("""COMPUTED_VALUE"""),2.0)</f>
        <v>2</v>
      </c>
      <c r="J319" s="1">
        <f>IFERROR(__xludf.DUMMYFUNCTION("""COMPUTED_VALUE"""),95.19)</f>
        <v>95.19</v>
      </c>
      <c r="K319" s="1">
        <f>IFERROR(__xludf.DUMMYFUNCTION("""COMPUTED_VALUE"""),95.19)</f>
        <v>95.19</v>
      </c>
    </row>
    <row r="320">
      <c r="A320" s="1">
        <f>IFERROR(__xludf.DUMMYFUNCTION("""COMPUTED_VALUE"""),2000.0)</f>
        <v>2000</v>
      </c>
      <c r="B320" s="1">
        <f>IFERROR(__xludf.DUMMYFUNCTION("""COMPUTED_VALUE"""),183689.0)</f>
        <v>183689</v>
      </c>
      <c r="C320" s="1">
        <f>IFERROR(__xludf.DUMMYFUNCTION("""COMPUTED_VALUE"""),2026.0)</f>
        <v>2026</v>
      </c>
      <c r="D320" s="1">
        <f>IFERROR(__xludf.DUMMYFUNCTION("""COMPUTED_VALUE"""),46324.0)</f>
        <v>46324</v>
      </c>
      <c r="E320" s="1" t="str">
        <f>IFERROR(__xludf.DUMMYFUNCTION("""COMPUTED_VALUE"""),"VF")</f>
        <v>VF</v>
      </c>
      <c r="F320" s="1">
        <f>IFERROR(__xludf.DUMMYFUNCTION("""COMPUTED_VALUE"""),2.0)</f>
        <v>2</v>
      </c>
      <c r="G320" s="1" t="str">
        <f>IFERROR(__xludf.DUMMYFUNCTION("""COMPUTED_VALUE"""),"PR001")</f>
        <v>PR001</v>
      </c>
      <c r="H320" s="1" t="str">
        <f>IFERROR(__xludf.DUMMYFUNCTION("""COMPUTED_VALUE"""),"VD035")</f>
        <v>VD035</v>
      </c>
      <c r="I320" s="1">
        <f>IFERROR(__xludf.DUMMYFUNCTION("""COMPUTED_VALUE"""),1.0)</f>
        <v>1</v>
      </c>
      <c r="J320" s="1">
        <f>IFERROR(__xludf.DUMMYFUNCTION("""COMPUTED_VALUE"""),72.49)</f>
        <v>72.49</v>
      </c>
      <c r="K320" s="1">
        <f>IFERROR(__xludf.DUMMYFUNCTION("""COMPUTED_VALUE"""),72.49)</f>
        <v>72.49</v>
      </c>
    </row>
    <row r="321">
      <c r="A321" s="1">
        <f>IFERROR(__xludf.DUMMYFUNCTION("""COMPUTED_VALUE"""),2000.0)</f>
        <v>2000</v>
      </c>
      <c r="B321" s="1">
        <f>IFERROR(__xludf.DUMMYFUNCTION("""COMPUTED_VALUE"""),183690.0)</f>
        <v>183690</v>
      </c>
      <c r="C321" s="1">
        <f>IFERROR(__xludf.DUMMYFUNCTION("""COMPUTED_VALUE"""),2026.0)</f>
        <v>2026</v>
      </c>
      <c r="D321" s="1">
        <f>IFERROR(__xludf.DUMMYFUNCTION("""COMPUTED_VALUE"""),46323.0)</f>
        <v>46323</v>
      </c>
      <c r="E321" s="1" t="str">
        <f>IFERROR(__xludf.DUMMYFUNCTION("""COMPUTED_VALUE"""),"VF")</f>
        <v>VF</v>
      </c>
      <c r="F321" s="1">
        <f>IFERROR(__xludf.DUMMYFUNCTION("""COMPUTED_VALUE"""),1.0)</f>
        <v>1</v>
      </c>
      <c r="G321" s="1" t="str">
        <f>IFERROR(__xludf.DUMMYFUNCTION("""COMPUTED_VALUE"""),"PR014")</f>
        <v>PR014</v>
      </c>
      <c r="H321" s="1" t="str">
        <f>IFERROR(__xludf.DUMMYFUNCTION("""COMPUTED_VALUE"""),"VD030")</f>
        <v>VD030</v>
      </c>
      <c r="I321" s="1">
        <f>IFERROR(__xludf.DUMMYFUNCTION("""COMPUTED_VALUE"""),9.0)</f>
        <v>9</v>
      </c>
      <c r="J321" s="1">
        <f>IFERROR(__xludf.DUMMYFUNCTION("""COMPUTED_VALUE"""),377.06)</f>
        <v>377.06</v>
      </c>
      <c r="K321" s="1">
        <f>IFERROR(__xludf.DUMMYFUNCTION("""COMPUTED_VALUE"""),377.06)</f>
        <v>377.06</v>
      </c>
    </row>
    <row r="322">
      <c r="A322" s="1">
        <f>IFERROR(__xludf.DUMMYFUNCTION("""COMPUTED_VALUE"""),2000.0)</f>
        <v>2000</v>
      </c>
      <c r="B322" s="1">
        <f>IFERROR(__xludf.DUMMYFUNCTION("""COMPUTED_VALUE"""),183691.0)</f>
        <v>183691</v>
      </c>
      <c r="C322" s="1">
        <f>IFERROR(__xludf.DUMMYFUNCTION("""COMPUTED_VALUE"""),2026.0)</f>
        <v>2026</v>
      </c>
      <c r="D322" s="1">
        <f>IFERROR(__xludf.DUMMYFUNCTION("""COMPUTED_VALUE"""),46323.0)</f>
        <v>46323</v>
      </c>
      <c r="E322" s="1" t="str">
        <f>IFERROR(__xludf.DUMMYFUNCTION("""COMPUTED_VALUE"""),"VF")</f>
        <v>VF</v>
      </c>
      <c r="F322" s="1">
        <f>IFERROR(__xludf.DUMMYFUNCTION("""COMPUTED_VALUE"""),1.0)</f>
        <v>1</v>
      </c>
      <c r="G322" s="1" t="str">
        <f>IFERROR(__xludf.DUMMYFUNCTION("""COMPUTED_VALUE"""),"PR041")</f>
        <v>PR041</v>
      </c>
      <c r="H322" s="1" t="str">
        <f>IFERROR(__xludf.DUMMYFUNCTION("""COMPUTED_VALUE"""),"VD042")</f>
        <v>VD042</v>
      </c>
      <c r="I322" s="1">
        <f>IFERROR(__xludf.DUMMYFUNCTION("""COMPUTED_VALUE"""),2.0)</f>
        <v>2</v>
      </c>
      <c r="J322" s="1">
        <f>IFERROR(__xludf.DUMMYFUNCTION("""COMPUTED_VALUE"""),109.8)</f>
        <v>109.8</v>
      </c>
      <c r="K322" s="1">
        <f>IFERROR(__xludf.DUMMYFUNCTION("""COMPUTED_VALUE"""),109.8)</f>
        <v>109.8</v>
      </c>
    </row>
    <row r="323">
      <c r="A323" s="1">
        <f>IFERROR(__xludf.DUMMYFUNCTION("""COMPUTED_VALUE"""),1000.0)</f>
        <v>1000</v>
      </c>
      <c r="B323" s="1">
        <f>IFERROR(__xludf.DUMMYFUNCTION("""COMPUTED_VALUE"""),183691.0)</f>
        <v>183691</v>
      </c>
      <c r="C323" s="1">
        <f>IFERROR(__xludf.DUMMYFUNCTION("""COMPUTED_VALUE"""),2026.0)</f>
        <v>2026</v>
      </c>
      <c r="D323" s="1">
        <f>IFERROR(__xludf.DUMMYFUNCTION("""COMPUTED_VALUE"""),46323.0)</f>
        <v>46323</v>
      </c>
      <c r="E323" s="1" t="str">
        <f>IFERROR(__xludf.DUMMYFUNCTION("""COMPUTED_VALUE"""),"VF")</f>
        <v>VF</v>
      </c>
      <c r="F323" s="1">
        <f>IFERROR(__xludf.DUMMYFUNCTION("""COMPUTED_VALUE"""),2.0)</f>
        <v>2</v>
      </c>
      <c r="G323" s="1" t="str">
        <f>IFERROR(__xludf.DUMMYFUNCTION("""COMPUTED_VALUE"""),"PR037")</f>
        <v>PR037</v>
      </c>
      <c r="H323" s="1" t="str">
        <f>IFERROR(__xludf.DUMMYFUNCTION("""COMPUTED_VALUE"""),"VD028")</f>
        <v>VD028</v>
      </c>
      <c r="I323" s="1">
        <f>IFERROR(__xludf.DUMMYFUNCTION("""COMPUTED_VALUE"""),8.0)</f>
        <v>8</v>
      </c>
      <c r="J323" s="1">
        <f>IFERROR(__xludf.DUMMYFUNCTION("""COMPUTED_VALUE"""),1187.2)</f>
        <v>1187.2</v>
      </c>
      <c r="K323" s="1">
        <f>IFERROR(__xludf.DUMMYFUNCTION("""COMPUTED_VALUE"""),1187.2)</f>
        <v>1187.2</v>
      </c>
    </row>
    <row r="324">
      <c r="A324" s="1">
        <f>IFERROR(__xludf.DUMMYFUNCTION("""COMPUTED_VALUE"""),1000.0)</f>
        <v>1000</v>
      </c>
      <c r="B324" s="1">
        <f>IFERROR(__xludf.DUMMYFUNCTION("""COMPUTED_VALUE"""),183692.0)</f>
        <v>183692</v>
      </c>
      <c r="C324" s="1">
        <f>IFERROR(__xludf.DUMMYFUNCTION("""COMPUTED_VALUE"""),2026.0)</f>
        <v>2026</v>
      </c>
      <c r="D324" s="1">
        <f>IFERROR(__xludf.DUMMYFUNCTION("""COMPUTED_VALUE"""),46322.0)</f>
        <v>46322</v>
      </c>
      <c r="E324" s="1" t="str">
        <f>IFERROR(__xludf.DUMMYFUNCTION("""COMPUTED_VALUE"""),"VF")</f>
        <v>VF</v>
      </c>
      <c r="F324" s="1">
        <f>IFERROR(__xludf.DUMMYFUNCTION("""COMPUTED_VALUE"""),1.0)</f>
        <v>1</v>
      </c>
      <c r="G324" s="1" t="str">
        <f>IFERROR(__xludf.DUMMYFUNCTION("""COMPUTED_VALUE"""),"PR003")</f>
        <v>PR003</v>
      </c>
      <c r="H324" s="1" t="str">
        <f>IFERROR(__xludf.DUMMYFUNCTION("""COMPUTED_VALUE"""),"VD048")</f>
        <v>VD048</v>
      </c>
      <c r="I324" s="1">
        <f>IFERROR(__xludf.DUMMYFUNCTION("""COMPUTED_VALUE"""),3.0)</f>
        <v>3</v>
      </c>
      <c r="J324" s="1">
        <f>IFERROR(__xludf.DUMMYFUNCTION("""COMPUTED_VALUE"""),227.59)</f>
        <v>227.59</v>
      </c>
      <c r="K324" s="1">
        <f>IFERROR(__xludf.DUMMYFUNCTION("""COMPUTED_VALUE"""),227.59)</f>
        <v>227.59</v>
      </c>
    </row>
    <row r="325">
      <c r="A325" s="1">
        <f>IFERROR(__xludf.DUMMYFUNCTION("""COMPUTED_VALUE"""),1000.0)</f>
        <v>1000</v>
      </c>
      <c r="B325" s="1">
        <f>IFERROR(__xludf.DUMMYFUNCTION("""COMPUTED_VALUE"""),183692.0)</f>
        <v>183692</v>
      </c>
      <c r="C325" s="1">
        <f>IFERROR(__xludf.DUMMYFUNCTION("""COMPUTED_VALUE"""),2026.0)</f>
        <v>2026</v>
      </c>
      <c r="D325" s="1">
        <f>IFERROR(__xludf.DUMMYFUNCTION("""COMPUTED_VALUE"""),46322.0)</f>
        <v>46322</v>
      </c>
      <c r="E325" s="1" t="str">
        <f>IFERROR(__xludf.DUMMYFUNCTION("""COMPUTED_VALUE"""),"VF")</f>
        <v>VF</v>
      </c>
      <c r="F325" s="1">
        <f>IFERROR(__xludf.DUMMYFUNCTION("""COMPUTED_VALUE"""),2.0)</f>
        <v>2</v>
      </c>
      <c r="G325" s="1" t="str">
        <f>IFERROR(__xludf.DUMMYFUNCTION("""COMPUTED_VALUE"""),"PR006")</f>
        <v>PR006</v>
      </c>
      <c r="H325" s="1" t="str">
        <f>IFERROR(__xludf.DUMMYFUNCTION("""COMPUTED_VALUE"""),"VD012")</f>
        <v>VD012</v>
      </c>
      <c r="I325" s="1">
        <f>IFERROR(__xludf.DUMMYFUNCTION("""COMPUTED_VALUE"""),3.0)</f>
        <v>3</v>
      </c>
      <c r="J325" s="1">
        <f>IFERROR(__xludf.DUMMYFUNCTION("""COMPUTED_VALUE"""),122.09)</f>
        <v>122.09</v>
      </c>
      <c r="K325" s="1">
        <f>IFERROR(__xludf.DUMMYFUNCTION("""COMPUTED_VALUE"""),122.09)</f>
        <v>122.09</v>
      </c>
    </row>
    <row r="326">
      <c r="A326" s="1">
        <f>IFERROR(__xludf.DUMMYFUNCTION("""COMPUTED_VALUE"""),1000.0)</f>
        <v>1000</v>
      </c>
      <c r="B326" s="1">
        <f>IFERROR(__xludf.DUMMYFUNCTION("""COMPUTED_VALUE"""),183692.0)</f>
        <v>183692</v>
      </c>
      <c r="C326" s="1">
        <f>IFERROR(__xludf.DUMMYFUNCTION("""COMPUTED_VALUE"""),2026.0)</f>
        <v>2026</v>
      </c>
      <c r="D326" s="1">
        <f>IFERROR(__xludf.DUMMYFUNCTION("""COMPUTED_VALUE"""),46322.0)</f>
        <v>46322</v>
      </c>
      <c r="E326" s="1" t="str">
        <f>IFERROR(__xludf.DUMMYFUNCTION("""COMPUTED_VALUE"""),"VF")</f>
        <v>VF</v>
      </c>
      <c r="F326" s="1">
        <f>IFERROR(__xludf.DUMMYFUNCTION("""COMPUTED_VALUE"""),3.0)</f>
        <v>3</v>
      </c>
      <c r="G326" s="1" t="str">
        <f>IFERROR(__xludf.DUMMYFUNCTION("""COMPUTED_VALUE"""),"PR012")</f>
        <v>PR012</v>
      </c>
      <c r="H326" s="1" t="str">
        <f>IFERROR(__xludf.DUMMYFUNCTION("""COMPUTED_VALUE"""),"VD023")</f>
        <v>VD023</v>
      </c>
      <c r="I326" s="1">
        <f>IFERROR(__xludf.DUMMYFUNCTION("""COMPUTED_VALUE"""),16.0)</f>
        <v>16</v>
      </c>
      <c r="J326" s="1">
        <f>IFERROR(__xludf.DUMMYFUNCTION("""COMPUTED_VALUE"""),805.87)</f>
        <v>805.87</v>
      </c>
      <c r="K326" s="1">
        <f>IFERROR(__xludf.DUMMYFUNCTION("""COMPUTED_VALUE"""),805.87)</f>
        <v>805.87</v>
      </c>
    </row>
    <row r="327">
      <c r="A327" s="1">
        <f>IFERROR(__xludf.DUMMYFUNCTION("""COMPUTED_VALUE"""),1000.0)</f>
        <v>1000</v>
      </c>
      <c r="B327" s="1">
        <f>IFERROR(__xludf.DUMMYFUNCTION("""COMPUTED_VALUE"""),183692.0)</f>
        <v>183692</v>
      </c>
      <c r="C327" s="1">
        <f>IFERROR(__xludf.DUMMYFUNCTION("""COMPUTED_VALUE"""),2026.0)</f>
        <v>2026</v>
      </c>
      <c r="D327" s="1">
        <f>IFERROR(__xludf.DUMMYFUNCTION("""COMPUTED_VALUE"""),46322.0)</f>
        <v>46322</v>
      </c>
      <c r="E327" s="1" t="str">
        <f>IFERROR(__xludf.DUMMYFUNCTION("""COMPUTED_VALUE"""),"VF")</f>
        <v>VF</v>
      </c>
      <c r="F327" s="1">
        <f>IFERROR(__xludf.DUMMYFUNCTION("""COMPUTED_VALUE"""),4.0)</f>
        <v>4</v>
      </c>
      <c r="G327" s="1" t="str">
        <f>IFERROR(__xludf.DUMMYFUNCTION("""COMPUTED_VALUE"""),"PR028")</f>
        <v>PR028</v>
      </c>
      <c r="H327" s="1" t="str">
        <f>IFERROR(__xludf.DUMMYFUNCTION("""COMPUTED_VALUE"""),"VD015")</f>
        <v>VD015</v>
      </c>
      <c r="I327" s="1">
        <f>IFERROR(__xludf.DUMMYFUNCTION("""COMPUTED_VALUE"""),2.0)</f>
        <v>2</v>
      </c>
      <c r="J327" s="1">
        <f>IFERROR(__xludf.DUMMYFUNCTION("""COMPUTED_VALUE"""),549.78)</f>
        <v>549.78</v>
      </c>
      <c r="K327" s="1">
        <f>IFERROR(__xludf.DUMMYFUNCTION("""COMPUTED_VALUE"""),549.78)</f>
        <v>549.78</v>
      </c>
    </row>
    <row r="328">
      <c r="A328" s="1">
        <f>IFERROR(__xludf.DUMMYFUNCTION("""COMPUTED_VALUE"""),1000.0)</f>
        <v>1000</v>
      </c>
      <c r="B328" s="1">
        <f>IFERROR(__xludf.DUMMYFUNCTION("""COMPUTED_VALUE"""),183693.0)</f>
        <v>183693</v>
      </c>
      <c r="C328" s="1">
        <f>IFERROR(__xludf.DUMMYFUNCTION("""COMPUTED_VALUE"""),2026.0)</f>
        <v>2026</v>
      </c>
      <c r="D328" s="1">
        <f>IFERROR(__xludf.DUMMYFUNCTION("""COMPUTED_VALUE"""),46322.0)</f>
        <v>46322</v>
      </c>
      <c r="E328" s="1" t="str">
        <f>IFERROR(__xludf.DUMMYFUNCTION("""COMPUTED_VALUE"""),"VF")</f>
        <v>VF</v>
      </c>
      <c r="F328" s="1">
        <f>IFERROR(__xludf.DUMMYFUNCTION("""COMPUTED_VALUE"""),1.0)</f>
        <v>1</v>
      </c>
      <c r="G328" s="1" t="str">
        <f>IFERROR(__xludf.DUMMYFUNCTION("""COMPUTED_VALUE"""),"PR043")</f>
        <v>PR043</v>
      </c>
      <c r="H328" s="1" t="str">
        <f>IFERROR(__xludf.DUMMYFUNCTION("""COMPUTED_VALUE"""),"VD031")</f>
        <v>VD031</v>
      </c>
      <c r="I328" s="1">
        <f>IFERROR(__xludf.DUMMYFUNCTION("""COMPUTED_VALUE"""),6.0)</f>
        <v>6</v>
      </c>
      <c r="J328" s="1">
        <f>IFERROR(__xludf.DUMMYFUNCTION("""COMPUTED_VALUE"""),443.7)</f>
        <v>443.7</v>
      </c>
      <c r="K328" s="1">
        <f>IFERROR(__xludf.DUMMYFUNCTION("""COMPUTED_VALUE"""),443.7)</f>
        <v>443.7</v>
      </c>
    </row>
    <row r="329">
      <c r="A329" s="1">
        <f>IFERROR(__xludf.DUMMYFUNCTION("""COMPUTED_VALUE"""),1000.0)</f>
        <v>1000</v>
      </c>
      <c r="B329" s="1">
        <f>IFERROR(__xludf.DUMMYFUNCTION("""COMPUTED_VALUE"""),183693.0)</f>
        <v>183693</v>
      </c>
      <c r="C329" s="1">
        <f>IFERROR(__xludf.DUMMYFUNCTION("""COMPUTED_VALUE"""),2026.0)</f>
        <v>2026</v>
      </c>
      <c r="D329" s="1">
        <f>IFERROR(__xludf.DUMMYFUNCTION("""COMPUTED_VALUE"""),46322.0)</f>
        <v>46322</v>
      </c>
      <c r="E329" s="1" t="str">
        <f>IFERROR(__xludf.DUMMYFUNCTION("""COMPUTED_VALUE"""),"VF")</f>
        <v>VF</v>
      </c>
      <c r="F329" s="1">
        <f>IFERROR(__xludf.DUMMYFUNCTION("""COMPUTED_VALUE"""),2.0)</f>
        <v>2</v>
      </c>
      <c r="G329" s="1" t="str">
        <f>IFERROR(__xludf.DUMMYFUNCTION("""COMPUTED_VALUE"""),"PR031")</f>
        <v>PR031</v>
      </c>
      <c r="H329" s="1" t="str">
        <f>IFERROR(__xludf.DUMMYFUNCTION("""COMPUTED_VALUE"""),"VD023")</f>
        <v>VD023</v>
      </c>
      <c r="I329" s="1">
        <f>IFERROR(__xludf.DUMMYFUNCTION("""COMPUTED_VALUE"""),8.0)</f>
        <v>8</v>
      </c>
      <c r="J329" s="1">
        <f>IFERROR(__xludf.DUMMYFUNCTION("""COMPUTED_VALUE"""),1999.2)</f>
        <v>1999.2</v>
      </c>
      <c r="K329" s="1">
        <f>IFERROR(__xludf.DUMMYFUNCTION("""COMPUTED_VALUE"""),1999.2)</f>
        <v>1999.2</v>
      </c>
    </row>
    <row r="330">
      <c r="A330" s="1">
        <f>IFERROR(__xludf.DUMMYFUNCTION("""COMPUTED_VALUE"""),1000.0)</f>
        <v>1000</v>
      </c>
      <c r="B330" s="1">
        <f>IFERROR(__xludf.DUMMYFUNCTION("""COMPUTED_VALUE"""),183694.0)</f>
        <v>183694</v>
      </c>
      <c r="C330" s="1">
        <f>IFERROR(__xludf.DUMMYFUNCTION("""COMPUTED_VALUE"""),2026.0)</f>
        <v>2026</v>
      </c>
      <c r="D330" s="1">
        <f>IFERROR(__xludf.DUMMYFUNCTION("""COMPUTED_VALUE"""),46322.0)</f>
        <v>46322</v>
      </c>
      <c r="E330" s="1" t="str">
        <f>IFERROR(__xludf.DUMMYFUNCTION("""COMPUTED_VALUE"""),"VF")</f>
        <v>VF</v>
      </c>
      <c r="F330" s="1">
        <f>IFERROR(__xludf.DUMMYFUNCTION("""COMPUTED_VALUE"""),1.0)</f>
        <v>1</v>
      </c>
      <c r="G330" s="1" t="str">
        <f>IFERROR(__xludf.DUMMYFUNCTION("""COMPUTED_VALUE"""),"PR005")</f>
        <v>PR005</v>
      </c>
      <c r="H330" s="1" t="str">
        <f>IFERROR(__xludf.DUMMYFUNCTION("""COMPUTED_VALUE"""),"VD030")</f>
        <v>VD030</v>
      </c>
      <c r="I330" s="1">
        <f>IFERROR(__xludf.DUMMYFUNCTION("""COMPUTED_VALUE"""),15.0)</f>
        <v>15</v>
      </c>
      <c r="J330" s="1">
        <f>IFERROR(__xludf.DUMMYFUNCTION("""COMPUTED_VALUE"""),4210.38)</f>
        <v>4210.38</v>
      </c>
      <c r="K330" s="1">
        <f>IFERROR(__xludf.DUMMYFUNCTION("""COMPUTED_VALUE"""),4210.38)</f>
        <v>4210.38</v>
      </c>
    </row>
    <row r="331">
      <c r="A331" s="1">
        <f>IFERROR(__xludf.DUMMYFUNCTION("""COMPUTED_VALUE"""),1000.0)</f>
        <v>1000</v>
      </c>
      <c r="B331" s="1">
        <f>IFERROR(__xludf.DUMMYFUNCTION("""COMPUTED_VALUE"""),183695.0)</f>
        <v>183695</v>
      </c>
      <c r="C331" s="1">
        <f>IFERROR(__xludf.DUMMYFUNCTION("""COMPUTED_VALUE"""),2026.0)</f>
        <v>2026</v>
      </c>
      <c r="D331" s="1">
        <f>IFERROR(__xludf.DUMMYFUNCTION("""COMPUTED_VALUE"""),46322.0)</f>
        <v>46322</v>
      </c>
      <c r="E331" s="1" t="str">
        <f>IFERROR(__xludf.DUMMYFUNCTION("""COMPUTED_VALUE"""),"VF")</f>
        <v>VF</v>
      </c>
      <c r="F331" s="1">
        <f>IFERROR(__xludf.DUMMYFUNCTION("""COMPUTED_VALUE"""),1.0)</f>
        <v>1</v>
      </c>
      <c r="G331" s="1" t="str">
        <f>IFERROR(__xludf.DUMMYFUNCTION("""COMPUTED_VALUE"""),"PR051")</f>
        <v>PR051</v>
      </c>
      <c r="H331" s="1" t="str">
        <f>IFERROR(__xludf.DUMMYFUNCTION("""COMPUTED_VALUE"""),"VD041")</f>
        <v>VD041</v>
      </c>
      <c r="I331" s="1">
        <f>IFERROR(__xludf.DUMMYFUNCTION("""COMPUTED_VALUE"""),5.0)</f>
        <v>5</v>
      </c>
      <c r="J331" s="1">
        <f>IFERROR(__xludf.DUMMYFUNCTION("""COMPUTED_VALUE"""),171.08)</f>
        <v>171.08</v>
      </c>
      <c r="K331" s="1">
        <f>IFERROR(__xludf.DUMMYFUNCTION("""COMPUTED_VALUE"""),171.08)</f>
        <v>171.08</v>
      </c>
    </row>
    <row r="332">
      <c r="A332" s="1">
        <f>IFERROR(__xludf.DUMMYFUNCTION("""COMPUTED_VALUE"""),1000.0)</f>
        <v>1000</v>
      </c>
      <c r="B332" s="1">
        <f>IFERROR(__xludf.DUMMYFUNCTION("""COMPUTED_VALUE"""),183696.0)</f>
        <v>183696</v>
      </c>
      <c r="C332" s="1">
        <f>IFERROR(__xludf.DUMMYFUNCTION("""COMPUTED_VALUE"""),2026.0)</f>
        <v>2026</v>
      </c>
      <c r="D332" s="1">
        <f>IFERROR(__xludf.DUMMYFUNCTION("""COMPUTED_VALUE"""),46322.0)</f>
        <v>46322</v>
      </c>
      <c r="E332" s="1" t="str">
        <f>IFERROR(__xludf.DUMMYFUNCTION("""COMPUTED_VALUE"""),"VF")</f>
        <v>VF</v>
      </c>
      <c r="F332" s="1">
        <f>IFERROR(__xludf.DUMMYFUNCTION("""COMPUTED_VALUE"""),1.0)</f>
        <v>1</v>
      </c>
      <c r="G332" s="1" t="str">
        <f>IFERROR(__xludf.DUMMYFUNCTION("""COMPUTED_VALUE"""),"PR018")</f>
        <v>PR018</v>
      </c>
      <c r="H332" s="1" t="str">
        <f>IFERROR(__xludf.DUMMYFUNCTION("""COMPUTED_VALUE"""),"VD028")</f>
        <v>VD028</v>
      </c>
      <c r="I332" s="1">
        <f>IFERROR(__xludf.DUMMYFUNCTION("""COMPUTED_VALUE"""),12.0)</f>
        <v>12</v>
      </c>
      <c r="J332" s="1">
        <f>IFERROR(__xludf.DUMMYFUNCTION("""COMPUTED_VALUE"""),430.33)</f>
        <v>430.33</v>
      </c>
      <c r="K332" s="1">
        <f>IFERROR(__xludf.DUMMYFUNCTION("""COMPUTED_VALUE"""),430.33)</f>
        <v>430.33</v>
      </c>
    </row>
    <row r="333">
      <c r="A333" s="1">
        <f>IFERROR(__xludf.DUMMYFUNCTION("""COMPUTED_VALUE"""),2000.0)</f>
        <v>2000</v>
      </c>
      <c r="B333" s="1">
        <f>IFERROR(__xludf.DUMMYFUNCTION("""COMPUTED_VALUE"""),183697.0)</f>
        <v>183697</v>
      </c>
      <c r="C333" s="1">
        <f>IFERROR(__xludf.DUMMYFUNCTION("""COMPUTED_VALUE"""),2026.0)</f>
        <v>2026</v>
      </c>
      <c r="D333" s="1">
        <f>IFERROR(__xludf.DUMMYFUNCTION("""COMPUTED_VALUE"""),46322.0)</f>
        <v>46322</v>
      </c>
      <c r="E333" s="1" t="str">
        <f>IFERROR(__xludf.DUMMYFUNCTION("""COMPUTED_VALUE"""),"VF")</f>
        <v>VF</v>
      </c>
      <c r="F333" s="1">
        <f>IFERROR(__xludf.DUMMYFUNCTION("""COMPUTED_VALUE"""),1.0)</f>
        <v>1</v>
      </c>
      <c r="G333" s="1" t="str">
        <f>IFERROR(__xludf.DUMMYFUNCTION("""COMPUTED_VALUE"""),"PR016")</f>
        <v>PR016</v>
      </c>
      <c r="H333" s="1" t="str">
        <f>IFERROR(__xludf.DUMMYFUNCTION("""COMPUTED_VALUE"""),"VD042")</f>
        <v>VD042</v>
      </c>
      <c r="I333" s="1">
        <f>IFERROR(__xludf.DUMMYFUNCTION("""COMPUTED_VALUE"""),5.0)</f>
        <v>5</v>
      </c>
      <c r="J333" s="1">
        <f>IFERROR(__xludf.DUMMYFUNCTION("""COMPUTED_VALUE"""),138.57)</f>
        <v>138.57</v>
      </c>
      <c r="K333" s="1">
        <f>IFERROR(__xludf.DUMMYFUNCTION("""COMPUTED_VALUE"""),138.57)</f>
        <v>138.57</v>
      </c>
    </row>
    <row r="334">
      <c r="A334" s="1">
        <f>IFERROR(__xludf.DUMMYFUNCTION("""COMPUTED_VALUE"""),1000.0)</f>
        <v>1000</v>
      </c>
      <c r="B334" s="1">
        <f>IFERROR(__xludf.DUMMYFUNCTION("""COMPUTED_VALUE"""),183698.0)</f>
        <v>183698</v>
      </c>
      <c r="C334" s="1">
        <f>IFERROR(__xludf.DUMMYFUNCTION("""COMPUTED_VALUE"""),2026.0)</f>
        <v>2026</v>
      </c>
      <c r="D334" s="1">
        <f>IFERROR(__xludf.DUMMYFUNCTION("""COMPUTED_VALUE"""),46322.0)</f>
        <v>46322</v>
      </c>
      <c r="E334" s="1" t="str">
        <f>IFERROR(__xludf.DUMMYFUNCTION("""COMPUTED_VALUE"""),"VF")</f>
        <v>VF</v>
      </c>
      <c r="F334" s="1">
        <f>IFERROR(__xludf.DUMMYFUNCTION("""COMPUTED_VALUE"""),1.0)</f>
        <v>1</v>
      </c>
      <c r="G334" s="1" t="str">
        <f>IFERROR(__xludf.DUMMYFUNCTION("""COMPUTED_VALUE"""),"PR048")</f>
        <v>PR048</v>
      </c>
      <c r="H334" s="1" t="str">
        <f>IFERROR(__xludf.DUMMYFUNCTION("""COMPUTED_VALUE"""),"VD019")</f>
        <v>VD019</v>
      </c>
      <c r="I334" s="1">
        <f>IFERROR(__xludf.DUMMYFUNCTION("""COMPUTED_VALUE"""),2.0)</f>
        <v>2</v>
      </c>
      <c r="J334" s="1">
        <f>IFERROR(__xludf.DUMMYFUNCTION("""COMPUTED_VALUE"""),614.59)</f>
        <v>614.59</v>
      </c>
      <c r="K334" s="1">
        <f>IFERROR(__xludf.DUMMYFUNCTION("""COMPUTED_VALUE"""),614.59)</f>
        <v>614.59</v>
      </c>
    </row>
    <row r="335">
      <c r="A335" s="1">
        <f>IFERROR(__xludf.DUMMYFUNCTION("""COMPUTED_VALUE"""),1000.0)</f>
        <v>1000</v>
      </c>
      <c r="B335" s="1">
        <f>IFERROR(__xludf.DUMMYFUNCTION("""COMPUTED_VALUE"""),183699.0)</f>
        <v>183699</v>
      </c>
      <c r="C335" s="1">
        <f>IFERROR(__xludf.DUMMYFUNCTION("""COMPUTED_VALUE"""),2026.0)</f>
        <v>2026</v>
      </c>
      <c r="D335" s="1">
        <f>IFERROR(__xludf.DUMMYFUNCTION("""COMPUTED_VALUE"""),46322.0)</f>
        <v>46322</v>
      </c>
      <c r="E335" s="1" t="str">
        <f>IFERROR(__xludf.DUMMYFUNCTION("""COMPUTED_VALUE"""),"VF")</f>
        <v>VF</v>
      </c>
      <c r="F335" s="1">
        <f>IFERROR(__xludf.DUMMYFUNCTION("""COMPUTED_VALUE"""),1.0)</f>
        <v>1</v>
      </c>
      <c r="G335" s="1" t="str">
        <f>IFERROR(__xludf.DUMMYFUNCTION("""COMPUTED_VALUE"""),"PR036")</f>
        <v>PR036</v>
      </c>
      <c r="H335" s="1" t="str">
        <f>IFERROR(__xludf.DUMMYFUNCTION("""COMPUTED_VALUE"""),"VD036")</f>
        <v>VD036</v>
      </c>
      <c r="I335" s="1">
        <f>IFERROR(__xludf.DUMMYFUNCTION("""COMPUTED_VALUE"""),16.0)</f>
        <v>16</v>
      </c>
      <c r="J335" s="1">
        <f>IFERROR(__xludf.DUMMYFUNCTION("""COMPUTED_VALUE"""),1630.64)</f>
        <v>1630.64</v>
      </c>
      <c r="K335" s="1">
        <f>IFERROR(__xludf.DUMMYFUNCTION("""COMPUTED_VALUE"""),1630.64)</f>
        <v>1630.64</v>
      </c>
    </row>
    <row r="336">
      <c r="A336" s="1">
        <f>IFERROR(__xludf.DUMMYFUNCTION("""COMPUTED_VALUE"""),1000.0)</f>
        <v>1000</v>
      </c>
      <c r="B336" s="1">
        <f>IFERROR(__xludf.DUMMYFUNCTION("""COMPUTED_VALUE"""),183700.0)</f>
        <v>183700</v>
      </c>
      <c r="C336" s="1">
        <f>IFERROR(__xludf.DUMMYFUNCTION("""COMPUTED_VALUE"""),2026.0)</f>
        <v>2026</v>
      </c>
      <c r="D336" s="1">
        <f>IFERROR(__xludf.DUMMYFUNCTION("""COMPUTED_VALUE"""),46322.0)</f>
        <v>46322</v>
      </c>
      <c r="E336" s="1" t="str">
        <f>IFERROR(__xludf.DUMMYFUNCTION("""COMPUTED_VALUE"""),"VF")</f>
        <v>VF</v>
      </c>
      <c r="F336" s="1">
        <f>IFERROR(__xludf.DUMMYFUNCTION("""COMPUTED_VALUE"""),1.0)</f>
        <v>1</v>
      </c>
      <c r="G336" s="1" t="str">
        <f>IFERROR(__xludf.DUMMYFUNCTION("""COMPUTED_VALUE"""),"PR023")</f>
        <v>PR023</v>
      </c>
      <c r="H336" s="1" t="str">
        <f>IFERROR(__xludf.DUMMYFUNCTION("""COMPUTED_VALUE"""),"VD032")</f>
        <v>VD032</v>
      </c>
      <c r="I336" s="1">
        <f>IFERROR(__xludf.DUMMYFUNCTION("""COMPUTED_VALUE"""),8.0)</f>
        <v>8</v>
      </c>
      <c r="J336" s="1">
        <f>IFERROR(__xludf.DUMMYFUNCTION("""COMPUTED_VALUE"""),2199.12)</f>
        <v>2199.12</v>
      </c>
      <c r="K336" s="1">
        <f>IFERROR(__xludf.DUMMYFUNCTION("""COMPUTED_VALUE"""),2199.12)</f>
        <v>2199.12</v>
      </c>
    </row>
    <row r="337">
      <c r="A337" s="1">
        <f>IFERROR(__xludf.DUMMYFUNCTION("""COMPUTED_VALUE"""),1000.0)</f>
        <v>1000</v>
      </c>
      <c r="B337" s="1">
        <f>IFERROR(__xludf.DUMMYFUNCTION("""COMPUTED_VALUE"""),183701.0)</f>
        <v>183701</v>
      </c>
      <c r="C337" s="1">
        <f>IFERROR(__xludf.DUMMYFUNCTION("""COMPUTED_VALUE"""),2026.0)</f>
        <v>2026</v>
      </c>
      <c r="D337" s="1">
        <f>IFERROR(__xludf.DUMMYFUNCTION("""COMPUTED_VALUE"""),46322.0)</f>
        <v>46322</v>
      </c>
      <c r="E337" s="1" t="str">
        <f>IFERROR(__xludf.DUMMYFUNCTION("""COMPUTED_VALUE"""),"VF")</f>
        <v>VF</v>
      </c>
      <c r="F337" s="1">
        <f>IFERROR(__xludf.DUMMYFUNCTION("""COMPUTED_VALUE"""),1.0)</f>
        <v>1</v>
      </c>
      <c r="G337" s="1" t="str">
        <f>IFERROR(__xludf.DUMMYFUNCTION("""COMPUTED_VALUE"""),"PR038")</f>
        <v>PR038</v>
      </c>
      <c r="H337" s="1" t="str">
        <f>IFERROR(__xludf.DUMMYFUNCTION("""COMPUTED_VALUE"""),"VD032")</f>
        <v>VD032</v>
      </c>
      <c r="I337" s="1">
        <f>IFERROR(__xludf.DUMMYFUNCTION("""COMPUTED_VALUE"""),15.0)</f>
        <v>15</v>
      </c>
      <c r="J337" s="1">
        <f>IFERROR(__xludf.DUMMYFUNCTION("""COMPUTED_VALUE"""),2357.85)</f>
        <v>2357.85</v>
      </c>
      <c r="K337" s="1">
        <f>IFERROR(__xludf.DUMMYFUNCTION("""COMPUTED_VALUE"""),2357.85)</f>
        <v>2357.85</v>
      </c>
    </row>
    <row r="338">
      <c r="A338" s="1">
        <f>IFERROR(__xludf.DUMMYFUNCTION("""COMPUTED_VALUE"""),1000.0)</f>
        <v>1000</v>
      </c>
      <c r="B338" s="1">
        <f>IFERROR(__xludf.DUMMYFUNCTION("""COMPUTED_VALUE"""),183701.0)</f>
        <v>183701</v>
      </c>
      <c r="C338" s="1">
        <f>IFERROR(__xludf.DUMMYFUNCTION("""COMPUTED_VALUE"""),2026.0)</f>
        <v>2026</v>
      </c>
      <c r="D338" s="1">
        <f>IFERROR(__xludf.DUMMYFUNCTION("""COMPUTED_VALUE"""),46321.0)</f>
        <v>46321</v>
      </c>
      <c r="E338" s="1" t="str">
        <f>IFERROR(__xludf.DUMMYFUNCTION("""COMPUTED_VALUE"""),"VF")</f>
        <v>VF</v>
      </c>
      <c r="F338" s="1">
        <f>IFERROR(__xludf.DUMMYFUNCTION("""COMPUTED_VALUE"""),2.0)</f>
        <v>2</v>
      </c>
      <c r="G338" s="1" t="str">
        <f>IFERROR(__xludf.DUMMYFUNCTION("""COMPUTED_VALUE"""),"PR037")</f>
        <v>PR037</v>
      </c>
      <c r="H338" s="1" t="str">
        <f>IFERROR(__xludf.DUMMYFUNCTION("""COMPUTED_VALUE"""),"VD025")</f>
        <v>VD025</v>
      </c>
      <c r="I338" s="1">
        <f>IFERROR(__xludf.DUMMYFUNCTION("""COMPUTED_VALUE"""),27.0)</f>
        <v>27</v>
      </c>
      <c r="J338" s="1">
        <f>IFERROR(__xludf.DUMMYFUNCTION("""COMPUTED_VALUE"""),3780.0)</f>
        <v>3780</v>
      </c>
      <c r="K338" s="1">
        <f>IFERROR(__xludf.DUMMYFUNCTION("""COMPUTED_VALUE"""),3780.0)</f>
        <v>3780</v>
      </c>
    </row>
    <row r="339">
      <c r="A339" s="1">
        <f>IFERROR(__xludf.DUMMYFUNCTION("""COMPUTED_VALUE"""),1000.0)</f>
        <v>1000</v>
      </c>
      <c r="B339" s="1">
        <f>IFERROR(__xludf.DUMMYFUNCTION("""COMPUTED_VALUE"""),183701.0)</f>
        <v>183701</v>
      </c>
      <c r="C339" s="1">
        <f>IFERROR(__xludf.DUMMYFUNCTION("""COMPUTED_VALUE"""),2026.0)</f>
        <v>2026</v>
      </c>
      <c r="D339" s="1">
        <f>IFERROR(__xludf.DUMMYFUNCTION("""COMPUTED_VALUE"""),46321.0)</f>
        <v>46321</v>
      </c>
      <c r="E339" s="1" t="str">
        <f>IFERROR(__xludf.DUMMYFUNCTION("""COMPUTED_VALUE"""),"VF")</f>
        <v>VF</v>
      </c>
      <c r="F339" s="1">
        <f>IFERROR(__xludf.DUMMYFUNCTION("""COMPUTED_VALUE"""),3.0)</f>
        <v>3</v>
      </c>
      <c r="G339" s="1" t="str">
        <f>IFERROR(__xludf.DUMMYFUNCTION("""COMPUTED_VALUE"""),"PR020")</f>
        <v>PR020</v>
      </c>
      <c r="H339" s="1" t="str">
        <f>IFERROR(__xludf.DUMMYFUNCTION("""COMPUTED_VALUE"""),"VD016")</f>
        <v>VD016</v>
      </c>
      <c r="I339" s="1">
        <f>IFERROR(__xludf.DUMMYFUNCTION("""COMPUTED_VALUE"""),12.0)</f>
        <v>12</v>
      </c>
      <c r="J339" s="1">
        <f>IFERROR(__xludf.DUMMYFUNCTION("""COMPUTED_VALUE"""),3778.74)</f>
        <v>3778.74</v>
      </c>
      <c r="K339" s="1">
        <f>IFERROR(__xludf.DUMMYFUNCTION("""COMPUTED_VALUE"""),3778.74)</f>
        <v>3778.74</v>
      </c>
    </row>
    <row r="340">
      <c r="A340" s="1">
        <f>IFERROR(__xludf.DUMMYFUNCTION("""COMPUTED_VALUE"""),2000.0)</f>
        <v>2000</v>
      </c>
      <c r="B340" s="1">
        <f>IFERROR(__xludf.DUMMYFUNCTION("""COMPUTED_VALUE"""),183702.0)</f>
        <v>183702</v>
      </c>
      <c r="C340" s="1">
        <f>IFERROR(__xludf.DUMMYFUNCTION("""COMPUTED_VALUE"""),2026.0)</f>
        <v>2026</v>
      </c>
      <c r="D340" s="1">
        <f>IFERROR(__xludf.DUMMYFUNCTION("""COMPUTED_VALUE"""),46321.0)</f>
        <v>46321</v>
      </c>
      <c r="E340" s="1" t="str">
        <f>IFERROR(__xludf.DUMMYFUNCTION("""COMPUTED_VALUE"""),"VF")</f>
        <v>VF</v>
      </c>
      <c r="F340" s="1">
        <f>IFERROR(__xludf.DUMMYFUNCTION("""COMPUTED_VALUE"""),1.0)</f>
        <v>1</v>
      </c>
      <c r="G340" s="1" t="str">
        <f>IFERROR(__xludf.DUMMYFUNCTION("""COMPUTED_VALUE"""),"PR049")</f>
        <v>PR049</v>
      </c>
      <c r="H340" s="1" t="str">
        <f>IFERROR(__xludf.DUMMYFUNCTION("""COMPUTED_VALUE"""),"VD017")</f>
        <v>VD017</v>
      </c>
      <c r="I340" s="1">
        <f>IFERROR(__xludf.DUMMYFUNCTION("""COMPUTED_VALUE"""),21.0)</f>
        <v>21</v>
      </c>
      <c r="J340" s="1">
        <f>IFERROR(__xludf.DUMMYFUNCTION("""COMPUTED_VALUE"""),753.08)</f>
        <v>753.08</v>
      </c>
      <c r="K340" s="1">
        <f>IFERROR(__xludf.DUMMYFUNCTION("""COMPUTED_VALUE"""),753.08)</f>
        <v>753.08</v>
      </c>
    </row>
    <row r="341">
      <c r="A341" s="1">
        <f>IFERROR(__xludf.DUMMYFUNCTION("""COMPUTED_VALUE"""),1000.0)</f>
        <v>1000</v>
      </c>
      <c r="B341" s="1">
        <f>IFERROR(__xludf.DUMMYFUNCTION("""COMPUTED_VALUE"""),183703.0)</f>
        <v>183703</v>
      </c>
      <c r="C341" s="1">
        <f>IFERROR(__xludf.DUMMYFUNCTION("""COMPUTED_VALUE"""),2026.0)</f>
        <v>2026</v>
      </c>
      <c r="D341" s="1">
        <f>IFERROR(__xludf.DUMMYFUNCTION("""COMPUTED_VALUE"""),46321.0)</f>
        <v>46321</v>
      </c>
      <c r="E341" s="1" t="str">
        <f>IFERROR(__xludf.DUMMYFUNCTION("""COMPUTED_VALUE"""),"VF")</f>
        <v>VF</v>
      </c>
      <c r="F341" s="1">
        <f>IFERROR(__xludf.DUMMYFUNCTION("""COMPUTED_VALUE"""),1.0)</f>
        <v>1</v>
      </c>
      <c r="G341" s="1" t="str">
        <f>IFERROR(__xludf.DUMMYFUNCTION("""COMPUTED_VALUE"""),"PR007")</f>
        <v>PR007</v>
      </c>
      <c r="H341" s="1" t="str">
        <f>IFERROR(__xludf.DUMMYFUNCTION("""COMPUTED_VALUE"""),"VD029")</f>
        <v>VD029</v>
      </c>
      <c r="I341" s="1">
        <f>IFERROR(__xludf.DUMMYFUNCTION("""COMPUTED_VALUE"""),18.0)</f>
        <v>18</v>
      </c>
      <c r="J341" s="1">
        <f>IFERROR(__xludf.DUMMYFUNCTION("""COMPUTED_VALUE"""),1561.66)</f>
        <v>1561.66</v>
      </c>
      <c r="K341" s="1">
        <f>IFERROR(__xludf.DUMMYFUNCTION("""COMPUTED_VALUE"""),1561.66)</f>
        <v>1561.66</v>
      </c>
    </row>
    <row r="342">
      <c r="A342" s="1">
        <f>IFERROR(__xludf.DUMMYFUNCTION("""COMPUTED_VALUE"""),1000.0)</f>
        <v>1000</v>
      </c>
      <c r="B342" s="1">
        <f>IFERROR(__xludf.DUMMYFUNCTION("""COMPUTED_VALUE"""),183704.0)</f>
        <v>183704</v>
      </c>
      <c r="C342" s="1">
        <f>IFERROR(__xludf.DUMMYFUNCTION("""COMPUTED_VALUE"""),2026.0)</f>
        <v>2026</v>
      </c>
      <c r="D342" s="1">
        <f>IFERROR(__xludf.DUMMYFUNCTION("""COMPUTED_VALUE"""),46321.0)</f>
        <v>46321</v>
      </c>
      <c r="E342" s="1" t="str">
        <f>IFERROR(__xludf.DUMMYFUNCTION("""COMPUTED_VALUE"""),"VF")</f>
        <v>VF</v>
      </c>
      <c r="F342" s="1">
        <f>IFERROR(__xludf.DUMMYFUNCTION("""COMPUTED_VALUE"""),1.0)</f>
        <v>1</v>
      </c>
      <c r="G342" s="1" t="str">
        <f>IFERROR(__xludf.DUMMYFUNCTION("""COMPUTED_VALUE"""),"PR056")</f>
        <v>PR056</v>
      </c>
      <c r="H342" s="1" t="str">
        <f>IFERROR(__xludf.DUMMYFUNCTION("""COMPUTED_VALUE"""),"VD043")</f>
        <v>VD043</v>
      </c>
      <c r="I342" s="1">
        <f>IFERROR(__xludf.DUMMYFUNCTION("""COMPUTED_VALUE"""),3.0)</f>
        <v>3</v>
      </c>
      <c r="J342" s="1">
        <f>IFERROR(__xludf.DUMMYFUNCTION("""COMPUTED_VALUE"""),272.4)</f>
        <v>272.4</v>
      </c>
      <c r="K342" s="1">
        <f>IFERROR(__xludf.DUMMYFUNCTION("""COMPUTED_VALUE"""),272.4)</f>
        <v>272.4</v>
      </c>
    </row>
    <row r="343">
      <c r="A343" s="1">
        <f>IFERROR(__xludf.DUMMYFUNCTION("""COMPUTED_VALUE"""),2000.0)</f>
        <v>2000</v>
      </c>
      <c r="B343" s="1">
        <f>IFERROR(__xludf.DUMMYFUNCTION("""COMPUTED_VALUE"""),183704.0)</f>
        <v>183704</v>
      </c>
      <c r="C343" s="1">
        <f>IFERROR(__xludf.DUMMYFUNCTION("""COMPUTED_VALUE"""),2026.0)</f>
        <v>2026</v>
      </c>
      <c r="D343" s="1">
        <f>IFERROR(__xludf.DUMMYFUNCTION("""COMPUTED_VALUE"""),46321.0)</f>
        <v>46321</v>
      </c>
      <c r="E343" s="1" t="str">
        <f>IFERROR(__xludf.DUMMYFUNCTION("""COMPUTED_VALUE"""),"VF")</f>
        <v>VF</v>
      </c>
      <c r="F343" s="1">
        <f>IFERROR(__xludf.DUMMYFUNCTION("""COMPUTED_VALUE"""),2.0)</f>
        <v>2</v>
      </c>
      <c r="G343" s="1" t="str">
        <f>IFERROR(__xludf.DUMMYFUNCTION("""COMPUTED_VALUE"""),"PR019")</f>
        <v>PR019</v>
      </c>
      <c r="H343" s="1" t="str">
        <f>IFERROR(__xludf.DUMMYFUNCTION("""COMPUTED_VALUE"""),"VD039")</f>
        <v>VD039</v>
      </c>
      <c r="I343" s="1">
        <f>IFERROR(__xludf.DUMMYFUNCTION("""COMPUTED_VALUE"""),20.0)</f>
        <v>20</v>
      </c>
      <c r="J343" s="1">
        <f>IFERROR(__xludf.DUMMYFUNCTION("""COMPUTED_VALUE"""),1057.88)</f>
        <v>1057.88</v>
      </c>
      <c r="K343" s="1">
        <f>IFERROR(__xludf.DUMMYFUNCTION("""COMPUTED_VALUE"""),1057.88)</f>
        <v>1057.88</v>
      </c>
    </row>
    <row r="344">
      <c r="A344" s="1">
        <f>IFERROR(__xludf.DUMMYFUNCTION("""COMPUTED_VALUE"""),1000.0)</f>
        <v>1000</v>
      </c>
      <c r="B344" s="1">
        <f>IFERROR(__xludf.DUMMYFUNCTION("""COMPUTED_VALUE"""),183704.0)</f>
        <v>183704</v>
      </c>
      <c r="C344" s="1">
        <f>IFERROR(__xludf.DUMMYFUNCTION("""COMPUTED_VALUE"""),2026.0)</f>
        <v>2026</v>
      </c>
      <c r="D344" s="1">
        <f>IFERROR(__xludf.DUMMYFUNCTION("""COMPUTED_VALUE"""),46321.0)</f>
        <v>46321</v>
      </c>
      <c r="E344" s="1" t="str">
        <f>IFERROR(__xludf.DUMMYFUNCTION("""COMPUTED_VALUE"""),"VF")</f>
        <v>VF</v>
      </c>
      <c r="F344" s="1">
        <f>IFERROR(__xludf.DUMMYFUNCTION("""COMPUTED_VALUE"""),3.0)</f>
        <v>3</v>
      </c>
      <c r="G344" s="1" t="str">
        <f>IFERROR(__xludf.DUMMYFUNCTION("""COMPUTED_VALUE"""),"PR015")</f>
        <v>PR015</v>
      </c>
      <c r="H344" s="1" t="str">
        <f>IFERROR(__xludf.DUMMYFUNCTION("""COMPUTED_VALUE"""),"VD046")</f>
        <v>VD046</v>
      </c>
      <c r="I344" s="1">
        <f>IFERROR(__xludf.DUMMYFUNCTION("""COMPUTED_VALUE"""),3.0)</f>
        <v>3</v>
      </c>
      <c r="J344" s="1">
        <f>IFERROR(__xludf.DUMMYFUNCTION("""COMPUTED_VALUE"""),135.15)</f>
        <v>135.15</v>
      </c>
      <c r="K344" s="1">
        <f>IFERROR(__xludf.DUMMYFUNCTION("""COMPUTED_VALUE"""),135.15)</f>
        <v>135.15</v>
      </c>
    </row>
    <row r="345">
      <c r="A345" s="1">
        <f>IFERROR(__xludf.DUMMYFUNCTION("""COMPUTED_VALUE"""),1000.0)</f>
        <v>1000</v>
      </c>
      <c r="B345" s="1">
        <f>IFERROR(__xludf.DUMMYFUNCTION("""COMPUTED_VALUE"""),183704.0)</f>
        <v>183704</v>
      </c>
      <c r="C345" s="1">
        <f>IFERROR(__xludf.DUMMYFUNCTION("""COMPUTED_VALUE"""),2026.0)</f>
        <v>2026</v>
      </c>
      <c r="D345" s="1">
        <f>IFERROR(__xludf.DUMMYFUNCTION("""COMPUTED_VALUE"""),46321.0)</f>
        <v>46321</v>
      </c>
      <c r="E345" s="1" t="str">
        <f>IFERROR(__xludf.DUMMYFUNCTION("""COMPUTED_VALUE"""),"VF")</f>
        <v>VF</v>
      </c>
      <c r="F345" s="1">
        <f>IFERROR(__xludf.DUMMYFUNCTION("""COMPUTED_VALUE"""),4.0)</f>
        <v>4</v>
      </c>
      <c r="G345" s="1" t="str">
        <f>IFERROR(__xludf.DUMMYFUNCTION("""COMPUTED_VALUE"""),"PR019")</f>
        <v>PR019</v>
      </c>
      <c r="H345" s="1" t="str">
        <f>IFERROR(__xludf.DUMMYFUNCTION("""COMPUTED_VALUE"""),"VD043")</f>
        <v>VD043</v>
      </c>
      <c r="I345" s="1">
        <f>IFERROR(__xludf.DUMMYFUNCTION("""COMPUTED_VALUE"""),21.0)</f>
        <v>21</v>
      </c>
      <c r="J345" s="1">
        <f>IFERROR(__xludf.DUMMYFUNCTION("""COMPUTED_VALUE"""),1100.3)</f>
        <v>1100.3</v>
      </c>
      <c r="K345" s="1">
        <f>IFERROR(__xludf.DUMMYFUNCTION("""COMPUTED_VALUE"""),1100.3)</f>
        <v>1100.3</v>
      </c>
    </row>
    <row r="346">
      <c r="A346" s="1">
        <f>IFERROR(__xludf.DUMMYFUNCTION("""COMPUTED_VALUE"""),1000.0)</f>
        <v>1000</v>
      </c>
      <c r="B346" s="1">
        <f>IFERROR(__xludf.DUMMYFUNCTION("""COMPUTED_VALUE"""),183705.0)</f>
        <v>183705</v>
      </c>
      <c r="C346" s="1">
        <f>IFERROR(__xludf.DUMMYFUNCTION("""COMPUTED_VALUE"""),2026.0)</f>
        <v>2026</v>
      </c>
      <c r="D346" s="1">
        <f>IFERROR(__xludf.DUMMYFUNCTION("""COMPUTED_VALUE"""),46321.0)</f>
        <v>46321</v>
      </c>
      <c r="E346" s="1" t="str">
        <f>IFERROR(__xludf.DUMMYFUNCTION("""COMPUTED_VALUE"""),"VF")</f>
        <v>VF</v>
      </c>
      <c r="F346" s="1">
        <f>IFERROR(__xludf.DUMMYFUNCTION("""COMPUTED_VALUE"""),1.0)</f>
        <v>1</v>
      </c>
      <c r="G346" s="1" t="str">
        <f>IFERROR(__xludf.DUMMYFUNCTION("""COMPUTED_VALUE"""),"PR043")</f>
        <v>PR043</v>
      </c>
      <c r="H346" s="1" t="str">
        <f>IFERROR(__xludf.DUMMYFUNCTION("""COMPUTED_VALUE"""),"VD031")</f>
        <v>VD031</v>
      </c>
      <c r="I346" s="1">
        <f>IFERROR(__xludf.DUMMYFUNCTION("""COMPUTED_VALUE"""),9.0)</f>
        <v>9</v>
      </c>
      <c r="J346" s="1">
        <f>IFERROR(__xludf.DUMMYFUNCTION("""COMPUTED_VALUE"""),698.18)</f>
        <v>698.18</v>
      </c>
      <c r="K346" s="1">
        <f>IFERROR(__xludf.DUMMYFUNCTION("""COMPUTED_VALUE"""),698.18)</f>
        <v>698.18</v>
      </c>
    </row>
    <row r="347">
      <c r="A347" s="1">
        <f>IFERROR(__xludf.DUMMYFUNCTION("""COMPUTED_VALUE"""),2000.0)</f>
        <v>2000</v>
      </c>
      <c r="B347" s="1">
        <f>IFERROR(__xludf.DUMMYFUNCTION("""COMPUTED_VALUE"""),183705.0)</f>
        <v>183705</v>
      </c>
      <c r="C347" s="1">
        <f>IFERROR(__xludf.DUMMYFUNCTION("""COMPUTED_VALUE"""),2026.0)</f>
        <v>2026</v>
      </c>
      <c r="D347" s="1">
        <f>IFERROR(__xludf.DUMMYFUNCTION("""COMPUTED_VALUE"""),46321.0)</f>
        <v>46321</v>
      </c>
      <c r="E347" s="1" t="str">
        <f>IFERROR(__xludf.DUMMYFUNCTION("""COMPUTED_VALUE"""),"VF")</f>
        <v>VF</v>
      </c>
      <c r="F347" s="1">
        <f>IFERROR(__xludf.DUMMYFUNCTION("""COMPUTED_VALUE"""),2.0)</f>
        <v>2</v>
      </c>
      <c r="G347" s="1" t="str">
        <f>IFERROR(__xludf.DUMMYFUNCTION("""COMPUTED_VALUE"""),"PR038")</f>
        <v>PR038</v>
      </c>
      <c r="H347" s="1" t="str">
        <f>IFERROR(__xludf.DUMMYFUNCTION("""COMPUTED_VALUE"""),"VD015")</f>
        <v>VD015</v>
      </c>
      <c r="I347" s="1">
        <f>IFERROR(__xludf.DUMMYFUNCTION("""COMPUTED_VALUE"""),12.0)</f>
        <v>12</v>
      </c>
      <c r="J347" s="1">
        <f>IFERROR(__xludf.DUMMYFUNCTION("""COMPUTED_VALUE"""),1869.13)</f>
        <v>1869.13</v>
      </c>
      <c r="K347" s="1">
        <f>IFERROR(__xludf.DUMMYFUNCTION("""COMPUTED_VALUE"""),1869.13)</f>
        <v>1869.13</v>
      </c>
    </row>
    <row r="348">
      <c r="A348" s="1">
        <f>IFERROR(__xludf.DUMMYFUNCTION("""COMPUTED_VALUE"""),1000.0)</f>
        <v>1000</v>
      </c>
      <c r="B348" s="1">
        <f>IFERROR(__xludf.DUMMYFUNCTION("""COMPUTED_VALUE"""),183706.0)</f>
        <v>183706</v>
      </c>
      <c r="C348" s="1">
        <f>IFERROR(__xludf.DUMMYFUNCTION("""COMPUTED_VALUE"""),2026.0)</f>
        <v>2026</v>
      </c>
      <c r="D348" s="1">
        <f>IFERROR(__xludf.DUMMYFUNCTION("""COMPUTED_VALUE"""),46321.0)</f>
        <v>46321</v>
      </c>
      <c r="E348" s="1" t="str">
        <f>IFERROR(__xludf.DUMMYFUNCTION("""COMPUTED_VALUE"""),"VF")</f>
        <v>VF</v>
      </c>
      <c r="F348" s="1">
        <f>IFERROR(__xludf.DUMMYFUNCTION("""COMPUTED_VALUE"""),1.0)</f>
        <v>1</v>
      </c>
      <c r="G348" s="1" t="str">
        <f>IFERROR(__xludf.DUMMYFUNCTION("""COMPUTED_VALUE"""),"PR050")</f>
        <v>PR050</v>
      </c>
      <c r="H348" s="1" t="str">
        <f>IFERROR(__xludf.DUMMYFUNCTION("""COMPUTED_VALUE"""),"VD042")</f>
        <v>VD042</v>
      </c>
      <c r="I348" s="1">
        <f>IFERROR(__xludf.DUMMYFUNCTION("""COMPUTED_VALUE"""),1.0)</f>
        <v>1</v>
      </c>
      <c r="J348" s="1">
        <f>IFERROR(__xludf.DUMMYFUNCTION("""COMPUTED_VALUE"""),33.89)</f>
        <v>33.89</v>
      </c>
      <c r="K348" s="1">
        <f>IFERROR(__xludf.DUMMYFUNCTION("""COMPUTED_VALUE"""),33.89)</f>
        <v>33.89</v>
      </c>
    </row>
    <row r="349">
      <c r="A349" s="1">
        <f>IFERROR(__xludf.DUMMYFUNCTION("""COMPUTED_VALUE"""),1000.0)</f>
        <v>1000</v>
      </c>
      <c r="B349" s="1">
        <f>IFERROR(__xludf.DUMMYFUNCTION("""COMPUTED_VALUE"""),183707.0)</f>
        <v>183707</v>
      </c>
      <c r="C349" s="1">
        <f>IFERROR(__xludf.DUMMYFUNCTION("""COMPUTED_VALUE"""),2026.0)</f>
        <v>2026</v>
      </c>
      <c r="D349" s="1">
        <f>IFERROR(__xludf.DUMMYFUNCTION("""COMPUTED_VALUE"""),46320.0)</f>
        <v>46320</v>
      </c>
      <c r="E349" s="1" t="str">
        <f>IFERROR(__xludf.DUMMYFUNCTION("""COMPUTED_VALUE"""),"VF")</f>
        <v>VF</v>
      </c>
      <c r="F349" s="1">
        <f>IFERROR(__xludf.DUMMYFUNCTION("""COMPUTED_VALUE"""),1.0)</f>
        <v>1</v>
      </c>
      <c r="G349" s="1" t="str">
        <f>IFERROR(__xludf.DUMMYFUNCTION("""COMPUTED_VALUE"""),"PR005")</f>
        <v>PR005</v>
      </c>
      <c r="H349" s="1" t="str">
        <f>IFERROR(__xludf.DUMMYFUNCTION("""COMPUTED_VALUE"""),"VD022")</f>
        <v>VD022</v>
      </c>
      <c r="I349" s="1">
        <f>IFERROR(__xludf.DUMMYFUNCTION("""COMPUTED_VALUE"""),6.0)</f>
        <v>6</v>
      </c>
      <c r="J349" s="1">
        <f>IFERROR(__xludf.DUMMYFUNCTION("""COMPUTED_VALUE"""),1574.99)</f>
        <v>1574.99</v>
      </c>
      <c r="K349" s="1">
        <f>IFERROR(__xludf.DUMMYFUNCTION("""COMPUTED_VALUE"""),1574.99)</f>
        <v>1574.99</v>
      </c>
    </row>
    <row r="350">
      <c r="A350" s="1">
        <f>IFERROR(__xludf.DUMMYFUNCTION("""COMPUTED_VALUE"""),1000.0)</f>
        <v>1000</v>
      </c>
      <c r="B350" s="1">
        <f>IFERROR(__xludf.DUMMYFUNCTION("""COMPUTED_VALUE"""),183708.0)</f>
        <v>183708</v>
      </c>
      <c r="C350" s="1">
        <f>IFERROR(__xludf.DUMMYFUNCTION("""COMPUTED_VALUE"""),2026.0)</f>
        <v>2026</v>
      </c>
      <c r="D350" s="1">
        <f>IFERROR(__xludf.DUMMYFUNCTION("""COMPUTED_VALUE"""),46320.0)</f>
        <v>46320</v>
      </c>
      <c r="E350" s="1" t="str">
        <f>IFERROR(__xludf.DUMMYFUNCTION("""COMPUTED_VALUE"""),"VF")</f>
        <v>VF</v>
      </c>
      <c r="F350" s="1">
        <f>IFERROR(__xludf.DUMMYFUNCTION("""COMPUTED_VALUE"""),1.0)</f>
        <v>1</v>
      </c>
      <c r="G350" s="1" t="str">
        <f>IFERROR(__xludf.DUMMYFUNCTION("""COMPUTED_VALUE"""),"PR018")</f>
        <v>PR018</v>
      </c>
      <c r="H350" s="1" t="str">
        <f>IFERROR(__xludf.DUMMYFUNCTION("""COMPUTED_VALUE"""),"VD047")</f>
        <v>VD047</v>
      </c>
      <c r="I350" s="1">
        <f>IFERROR(__xludf.DUMMYFUNCTION("""COMPUTED_VALUE"""),6.0)</f>
        <v>6</v>
      </c>
      <c r="J350" s="1">
        <f>IFERROR(__xludf.DUMMYFUNCTION("""COMPUTED_VALUE"""),197.4)</f>
        <v>197.4</v>
      </c>
      <c r="K350" s="1">
        <f>IFERROR(__xludf.DUMMYFUNCTION("""COMPUTED_VALUE"""),197.4)</f>
        <v>197.4</v>
      </c>
    </row>
    <row r="351">
      <c r="A351" s="1">
        <f>IFERROR(__xludf.DUMMYFUNCTION("""COMPUTED_VALUE"""),2000.0)</f>
        <v>2000</v>
      </c>
      <c r="B351" s="1">
        <f>IFERROR(__xludf.DUMMYFUNCTION("""COMPUTED_VALUE"""),183709.0)</f>
        <v>183709</v>
      </c>
      <c r="C351" s="1">
        <f>IFERROR(__xludf.DUMMYFUNCTION("""COMPUTED_VALUE"""),2026.0)</f>
        <v>2026</v>
      </c>
      <c r="D351" s="1">
        <f>IFERROR(__xludf.DUMMYFUNCTION("""COMPUTED_VALUE"""),46319.0)</f>
        <v>46319</v>
      </c>
      <c r="E351" s="1" t="str">
        <f>IFERROR(__xludf.DUMMYFUNCTION("""COMPUTED_VALUE"""),"VF")</f>
        <v>VF</v>
      </c>
      <c r="F351" s="1">
        <f>IFERROR(__xludf.DUMMYFUNCTION("""COMPUTED_VALUE"""),1.0)</f>
        <v>1</v>
      </c>
      <c r="G351" s="1" t="str">
        <f>IFERROR(__xludf.DUMMYFUNCTION("""COMPUTED_VALUE"""),"PR057")</f>
        <v>PR057</v>
      </c>
      <c r="H351" s="1" t="str">
        <f>IFERROR(__xludf.DUMMYFUNCTION("""COMPUTED_VALUE"""),"VD043")</f>
        <v>VD043</v>
      </c>
      <c r="I351" s="1">
        <f>IFERROR(__xludf.DUMMYFUNCTION("""COMPUTED_VALUE"""),1.0)</f>
        <v>1</v>
      </c>
      <c r="J351" s="1">
        <f>IFERROR(__xludf.DUMMYFUNCTION("""COMPUTED_VALUE"""),96.19)</f>
        <v>96.19</v>
      </c>
      <c r="K351" s="1">
        <f>IFERROR(__xludf.DUMMYFUNCTION("""COMPUTED_VALUE"""),96.19)</f>
        <v>96.19</v>
      </c>
    </row>
    <row r="352">
      <c r="A352" s="1">
        <f>IFERROR(__xludf.DUMMYFUNCTION("""COMPUTED_VALUE"""),1000.0)</f>
        <v>1000</v>
      </c>
      <c r="B352" s="1">
        <f>IFERROR(__xludf.DUMMYFUNCTION("""COMPUTED_VALUE"""),183709.0)</f>
        <v>183709</v>
      </c>
      <c r="C352" s="1">
        <f>IFERROR(__xludf.DUMMYFUNCTION("""COMPUTED_VALUE"""),2026.0)</f>
        <v>2026</v>
      </c>
      <c r="D352" s="1">
        <f>IFERROR(__xludf.DUMMYFUNCTION("""COMPUTED_VALUE"""),46319.0)</f>
        <v>46319</v>
      </c>
      <c r="E352" s="1" t="str">
        <f>IFERROR(__xludf.DUMMYFUNCTION("""COMPUTED_VALUE"""),"VF")</f>
        <v>VF</v>
      </c>
      <c r="F352" s="1">
        <f>IFERROR(__xludf.DUMMYFUNCTION("""COMPUTED_VALUE"""),2.0)</f>
        <v>2</v>
      </c>
      <c r="G352" s="1" t="str">
        <f>IFERROR(__xludf.DUMMYFUNCTION("""COMPUTED_VALUE"""),"PR010")</f>
        <v>PR010</v>
      </c>
      <c r="H352" s="1" t="str">
        <f>IFERROR(__xludf.DUMMYFUNCTION("""COMPUTED_VALUE"""),"VD042")</f>
        <v>VD042</v>
      </c>
      <c r="I352" s="1">
        <f>IFERROR(__xludf.DUMMYFUNCTION("""COMPUTED_VALUE"""),16.0)</f>
        <v>16</v>
      </c>
      <c r="J352" s="1">
        <f>IFERROR(__xludf.DUMMYFUNCTION("""COMPUTED_VALUE"""),732.77)</f>
        <v>732.77</v>
      </c>
      <c r="K352" s="1">
        <f>IFERROR(__xludf.DUMMYFUNCTION("""COMPUTED_VALUE"""),732.77)</f>
        <v>732.77</v>
      </c>
    </row>
    <row r="353">
      <c r="A353" s="1">
        <f>IFERROR(__xludf.DUMMYFUNCTION("""COMPUTED_VALUE"""),1000.0)</f>
        <v>1000</v>
      </c>
      <c r="B353" s="1">
        <f>IFERROR(__xludf.DUMMYFUNCTION("""COMPUTED_VALUE"""),183710.0)</f>
        <v>183710</v>
      </c>
      <c r="C353" s="1">
        <f>IFERROR(__xludf.DUMMYFUNCTION("""COMPUTED_VALUE"""),2026.0)</f>
        <v>2026</v>
      </c>
      <c r="D353" s="1">
        <f>IFERROR(__xludf.DUMMYFUNCTION("""COMPUTED_VALUE"""),46319.0)</f>
        <v>46319</v>
      </c>
      <c r="E353" s="1" t="str">
        <f>IFERROR(__xludf.DUMMYFUNCTION("""COMPUTED_VALUE"""),"VF")</f>
        <v>VF</v>
      </c>
      <c r="F353" s="1">
        <f>IFERROR(__xludf.DUMMYFUNCTION("""COMPUTED_VALUE"""),1.0)</f>
        <v>1</v>
      </c>
      <c r="G353" s="1" t="str">
        <f>IFERROR(__xludf.DUMMYFUNCTION("""COMPUTED_VALUE"""),"PR001")</f>
        <v>PR001</v>
      </c>
      <c r="H353" s="1" t="str">
        <f>IFERROR(__xludf.DUMMYFUNCTION("""COMPUTED_VALUE"""),"VD034")</f>
        <v>VD034</v>
      </c>
      <c r="I353" s="1">
        <f>IFERROR(__xludf.DUMMYFUNCTION("""COMPUTED_VALUE"""),6.0)</f>
        <v>6</v>
      </c>
      <c r="J353" s="1">
        <f>IFERROR(__xludf.DUMMYFUNCTION("""COMPUTED_VALUE"""),419.12)</f>
        <v>419.12</v>
      </c>
      <c r="K353" s="1">
        <f>IFERROR(__xludf.DUMMYFUNCTION("""COMPUTED_VALUE"""),419.12)</f>
        <v>419.12</v>
      </c>
    </row>
    <row r="354">
      <c r="A354" s="1">
        <f>IFERROR(__xludf.DUMMYFUNCTION("""COMPUTED_VALUE"""),1000.0)</f>
        <v>1000</v>
      </c>
      <c r="B354" s="1">
        <f>IFERROR(__xludf.DUMMYFUNCTION("""COMPUTED_VALUE"""),183711.0)</f>
        <v>183711</v>
      </c>
      <c r="C354" s="1">
        <f>IFERROR(__xludf.DUMMYFUNCTION("""COMPUTED_VALUE"""),2026.0)</f>
        <v>2026</v>
      </c>
      <c r="D354" s="1">
        <f>IFERROR(__xludf.DUMMYFUNCTION("""COMPUTED_VALUE"""),46319.0)</f>
        <v>46319</v>
      </c>
      <c r="E354" s="1" t="str">
        <f>IFERROR(__xludf.DUMMYFUNCTION("""COMPUTED_VALUE"""),"VF")</f>
        <v>VF</v>
      </c>
      <c r="F354" s="1">
        <f>IFERROR(__xludf.DUMMYFUNCTION("""COMPUTED_VALUE"""),1.0)</f>
        <v>1</v>
      </c>
      <c r="G354" s="1" t="str">
        <f>IFERROR(__xludf.DUMMYFUNCTION("""COMPUTED_VALUE"""),"PR036")</f>
        <v>PR036</v>
      </c>
      <c r="H354" s="1" t="str">
        <f>IFERROR(__xludf.DUMMYFUNCTION("""COMPUTED_VALUE"""),"VD046")</f>
        <v>VD046</v>
      </c>
      <c r="I354" s="1">
        <f>IFERROR(__xludf.DUMMYFUNCTION("""COMPUTED_VALUE"""),7.0)</f>
        <v>7</v>
      </c>
      <c r="J354" s="1">
        <f>IFERROR(__xludf.DUMMYFUNCTION("""COMPUTED_VALUE"""),706.86)</f>
        <v>706.86</v>
      </c>
      <c r="K354" s="1">
        <f>IFERROR(__xludf.DUMMYFUNCTION("""COMPUTED_VALUE"""),706.86)</f>
        <v>706.86</v>
      </c>
    </row>
    <row r="355">
      <c r="A355" s="1">
        <f>IFERROR(__xludf.DUMMYFUNCTION("""COMPUTED_VALUE"""),1000.0)</f>
        <v>1000</v>
      </c>
      <c r="B355" s="1">
        <f>IFERROR(__xludf.DUMMYFUNCTION("""COMPUTED_VALUE"""),183712.0)</f>
        <v>183712</v>
      </c>
      <c r="C355" s="1">
        <f>IFERROR(__xludf.DUMMYFUNCTION("""COMPUTED_VALUE"""),2026.0)</f>
        <v>2026</v>
      </c>
      <c r="D355" s="1">
        <f>IFERROR(__xludf.DUMMYFUNCTION("""COMPUTED_VALUE"""),46318.0)</f>
        <v>46318</v>
      </c>
      <c r="E355" s="1" t="str">
        <f>IFERROR(__xludf.DUMMYFUNCTION("""COMPUTED_VALUE"""),"VF")</f>
        <v>VF</v>
      </c>
      <c r="F355" s="1">
        <f>IFERROR(__xludf.DUMMYFUNCTION("""COMPUTED_VALUE"""),1.0)</f>
        <v>1</v>
      </c>
      <c r="G355" s="1" t="str">
        <f>IFERROR(__xludf.DUMMYFUNCTION("""COMPUTED_VALUE"""),"PR051")</f>
        <v>PR051</v>
      </c>
      <c r="H355" s="1" t="str">
        <f>IFERROR(__xludf.DUMMYFUNCTION("""COMPUTED_VALUE"""),"VD026")</f>
        <v>VD026</v>
      </c>
      <c r="I355" s="1">
        <f>IFERROR(__xludf.DUMMYFUNCTION("""COMPUTED_VALUE"""),20.0)</f>
        <v>20</v>
      </c>
      <c r="J355" s="1">
        <f>IFERROR(__xludf.DUMMYFUNCTION("""COMPUTED_VALUE"""),704.06)</f>
        <v>704.06</v>
      </c>
      <c r="K355" s="1">
        <f>IFERROR(__xludf.DUMMYFUNCTION("""COMPUTED_VALUE"""),704.06)</f>
        <v>704.06</v>
      </c>
    </row>
    <row r="356">
      <c r="A356" s="1">
        <f>IFERROR(__xludf.DUMMYFUNCTION("""COMPUTED_VALUE"""),1000.0)</f>
        <v>1000</v>
      </c>
      <c r="B356" s="1">
        <f>IFERROR(__xludf.DUMMYFUNCTION("""COMPUTED_VALUE"""),183712.0)</f>
        <v>183712</v>
      </c>
      <c r="C356" s="1">
        <f>IFERROR(__xludf.DUMMYFUNCTION("""COMPUTED_VALUE"""),2026.0)</f>
        <v>2026</v>
      </c>
      <c r="D356" s="1">
        <f>IFERROR(__xludf.DUMMYFUNCTION("""COMPUTED_VALUE"""),46318.0)</f>
        <v>46318</v>
      </c>
      <c r="E356" s="1" t="str">
        <f>IFERROR(__xludf.DUMMYFUNCTION("""COMPUTED_VALUE"""),"VF")</f>
        <v>VF</v>
      </c>
      <c r="F356" s="1">
        <f>IFERROR(__xludf.DUMMYFUNCTION("""COMPUTED_VALUE"""),2.0)</f>
        <v>2</v>
      </c>
      <c r="G356" s="1" t="str">
        <f>IFERROR(__xludf.DUMMYFUNCTION("""COMPUTED_VALUE"""),"PR030")</f>
        <v>PR030</v>
      </c>
      <c r="H356" s="1" t="str">
        <f>IFERROR(__xludf.DUMMYFUNCTION("""COMPUTED_VALUE"""),"VD036")</f>
        <v>VD036</v>
      </c>
      <c r="I356" s="1">
        <f>IFERROR(__xludf.DUMMYFUNCTION("""COMPUTED_VALUE"""),21.0)</f>
        <v>21</v>
      </c>
      <c r="J356" s="1">
        <f>IFERROR(__xludf.DUMMYFUNCTION("""COMPUTED_VALUE"""),5457.9)</f>
        <v>5457.9</v>
      </c>
      <c r="K356" s="1">
        <f>IFERROR(__xludf.DUMMYFUNCTION("""COMPUTED_VALUE"""),5457.9)</f>
        <v>5457.9</v>
      </c>
    </row>
    <row r="357">
      <c r="A357" s="1">
        <f>IFERROR(__xludf.DUMMYFUNCTION("""COMPUTED_VALUE"""),1000.0)</f>
        <v>1000</v>
      </c>
      <c r="B357" s="1">
        <f>IFERROR(__xludf.DUMMYFUNCTION("""COMPUTED_VALUE"""),183713.0)</f>
        <v>183713</v>
      </c>
      <c r="C357" s="1">
        <f>IFERROR(__xludf.DUMMYFUNCTION("""COMPUTED_VALUE"""),2026.0)</f>
        <v>2026</v>
      </c>
      <c r="D357" s="1">
        <f>IFERROR(__xludf.DUMMYFUNCTION("""COMPUTED_VALUE"""),46317.0)</f>
        <v>46317</v>
      </c>
      <c r="E357" s="1" t="str">
        <f>IFERROR(__xludf.DUMMYFUNCTION("""COMPUTED_VALUE"""),"VF")</f>
        <v>VF</v>
      </c>
      <c r="F357" s="1">
        <f>IFERROR(__xludf.DUMMYFUNCTION("""COMPUTED_VALUE"""),1.0)</f>
        <v>1</v>
      </c>
      <c r="G357" s="1" t="str">
        <f>IFERROR(__xludf.DUMMYFUNCTION("""COMPUTED_VALUE"""),"PR045")</f>
        <v>PR045</v>
      </c>
      <c r="H357" s="1" t="str">
        <f>IFERROR(__xludf.DUMMYFUNCTION("""COMPUTED_VALUE"""),"VD039")</f>
        <v>VD039</v>
      </c>
      <c r="I357" s="1">
        <f>IFERROR(__xludf.DUMMYFUNCTION("""COMPUTED_VALUE"""),18.0)</f>
        <v>18</v>
      </c>
      <c r="J357" s="1">
        <f>IFERROR(__xludf.DUMMYFUNCTION("""COMPUTED_VALUE"""),1409.4)</f>
        <v>1409.4</v>
      </c>
      <c r="K357" s="1">
        <f>IFERROR(__xludf.DUMMYFUNCTION("""COMPUTED_VALUE"""),1409.4)</f>
        <v>1409.4</v>
      </c>
    </row>
    <row r="358">
      <c r="A358" s="1">
        <f>IFERROR(__xludf.DUMMYFUNCTION("""COMPUTED_VALUE"""),1000.0)</f>
        <v>1000</v>
      </c>
      <c r="B358" s="1">
        <f>IFERROR(__xludf.DUMMYFUNCTION("""COMPUTED_VALUE"""),183714.0)</f>
        <v>183714</v>
      </c>
      <c r="C358" s="1">
        <f>IFERROR(__xludf.DUMMYFUNCTION("""COMPUTED_VALUE"""),2026.0)</f>
        <v>2026</v>
      </c>
      <c r="D358" s="1">
        <f>IFERROR(__xludf.DUMMYFUNCTION("""COMPUTED_VALUE"""),46317.0)</f>
        <v>46317</v>
      </c>
      <c r="E358" s="1" t="str">
        <f>IFERROR(__xludf.DUMMYFUNCTION("""COMPUTED_VALUE"""),"VF")</f>
        <v>VF</v>
      </c>
      <c r="F358" s="1">
        <f>IFERROR(__xludf.DUMMYFUNCTION("""COMPUTED_VALUE"""),1.0)</f>
        <v>1</v>
      </c>
      <c r="G358" s="1" t="str">
        <f>IFERROR(__xludf.DUMMYFUNCTION("""COMPUTED_VALUE"""),"PR025")</f>
        <v>PR025</v>
      </c>
      <c r="H358" s="1" t="str">
        <f>IFERROR(__xludf.DUMMYFUNCTION("""COMPUTED_VALUE"""),"VD013")</f>
        <v>VD013</v>
      </c>
      <c r="I358" s="1">
        <f>IFERROR(__xludf.DUMMYFUNCTION("""COMPUTED_VALUE"""),6.0)</f>
        <v>6</v>
      </c>
      <c r="J358" s="1">
        <f>IFERROR(__xludf.DUMMYFUNCTION("""COMPUTED_VALUE"""),1817.39)</f>
        <v>1817.39</v>
      </c>
      <c r="K358" s="1">
        <f>IFERROR(__xludf.DUMMYFUNCTION("""COMPUTED_VALUE"""),1817.39)</f>
        <v>1817.39</v>
      </c>
    </row>
    <row r="359">
      <c r="A359" s="1">
        <f>IFERROR(__xludf.DUMMYFUNCTION("""COMPUTED_VALUE"""),1000.0)</f>
        <v>1000</v>
      </c>
      <c r="B359" s="1">
        <f>IFERROR(__xludf.DUMMYFUNCTION("""COMPUTED_VALUE"""),183715.0)</f>
        <v>183715</v>
      </c>
      <c r="C359" s="1">
        <f>IFERROR(__xludf.DUMMYFUNCTION("""COMPUTED_VALUE"""),2026.0)</f>
        <v>2026</v>
      </c>
      <c r="D359" s="1">
        <f>IFERROR(__xludf.DUMMYFUNCTION("""COMPUTED_VALUE"""),46316.0)</f>
        <v>46316</v>
      </c>
      <c r="E359" s="1" t="str">
        <f>IFERROR(__xludf.DUMMYFUNCTION("""COMPUTED_VALUE"""),"VF")</f>
        <v>VF</v>
      </c>
      <c r="F359" s="1">
        <f>IFERROR(__xludf.DUMMYFUNCTION("""COMPUTED_VALUE"""),1.0)</f>
        <v>1</v>
      </c>
      <c r="G359" s="1" t="str">
        <f>IFERROR(__xludf.DUMMYFUNCTION("""COMPUTED_VALUE"""),"PR025")</f>
        <v>PR025</v>
      </c>
      <c r="H359" s="1" t="str">
        <f>IFERROR(__xludf.DUMMYFUNCTION("""COMPUTED_VALUE"""),"VD043")</f>
        <v>VD043</v>
      </c>
      <c r="I359" s="1">
        <f>IFERROR(__xludf.DUMMYFUNCTION("""COMPUTED_VALUE"""),16.0)</f>
        <v>16</v>
      </c>
      <c r="J359" s="1">
        <f>IFERROR(__xludf.DUMMYFUNCTION("""COMPUTED_VALUE"""),4990.34)</f>
        <v>4990.34</v>
      </c>
      <c r="K359" s="1">
        <f>IFERROR(__xludf.DUMMYFUNCTION("""COMPUTED_VALUE"""),4990.34)</f>
        <v>4990.34</v>
      </c>
    </row>
    <row r="360">
      <c r="A360" s="1">
        <f>IFERROR(__xludf.DUMMYFUNCTION("""COMPUTED_VALUE"""),1000.0)</f>
        <v>1000</v>
      </c>
      <c r="B360" s="1">
        <f>IFERROR(__xludf.DUMMYFUNCTION("""COMPUTED_VALUE"""),183715.0)</f>
        <v>183715</v>
      </c>
      <c r="C360" s="1">
        <f>IFERROR(__xludf.DUMMYFUNCTION("""COMPUTED_VALUE"""),2026.0)</f>
        <v>2026</v>
      </c>
      <c r="D360" s="1">
        <f>IFERROR(__xludf.DUMMYFUNCTION("""COMPUTED_VALUE"""),46316.0)</f>
        <v>46316</v>
      </c>
      <c r="E360" s="1" t="str">
        <f>IFERROR(__xludf.DUMMYFUNCTION("""COMPUTED_VALUE"""),"VF")</f>
        <v>VF</v>
      </c>
      <c r="F360" s="1">
        <f>IFERROR(__xludf.DUMMYFUNCTION("""COMPUTED_VALUE"""),2.0)</f>
        <v>2</v>
      </c>
      <c r="G360" s="1" t="str">
        <f>IFERROR(__xludf.DUMMYFUNCTION("""COMPUTED_VALUE"""),"PR047")</f>
        <v>PR047</v>
      </c>
      <c r="H360" s="1" t="str">
        <f>IFERROR(__xludf.DUMMYFUNCTION("""COMPUTED_VALUE"""),"VD011")</f>
        <v>VD011</v>
      </c>
      <c r="I360" s="1">
        <f>IFERROR(__xludf.DUMMYFUNCTION("""COMPUTED_VALUE"""),3.0)</f>
        <v>3</v>
      </c>
      <c r="J360" s="1">
        <f>IFERROR(__xludf.DUMMYFUNCTION("""COMPUTED_VALUE"""),913.19)</f>
        <v>913.19</v>
      </c>
      <c r="K360" s="1">
        <f>IFERROR(__xludf.DUMMYFUNCTION("""COMPUTED_VALUE"""),913.19)</f>
        <v>913.19</v>
      </c>
    </row>
    <row r="361">
      <c r="A361" s="1">
        <f>IFERROR(__xludf.DUMMYFUNCTION("""COMPUTED_VALUE"""),1000.0)</f>
        <v>1000</v>
      </c>
      <c r="B361" s="1">
        <f>IFERROR(__xludf.DUMMYFUNCTION("""COMPUTED_VALUE"""),183716.0)</f>
        <v>183716</v>
      </c>
      <c r="C361" s="1">
        <f>IFERROR(__xludf.DUMMYFUNCTION("""COMPUTED_VALUE"""),2026.0)</f>
        <v>2026</v>
      </c>
      <c r="D361" s="1">
        <f>IFERROR(__xludf.DUMMYFUNCTION("""COMPUTED_VALUE"""),46316.0)</f>
        <v>46316</v>
      </c>
      <c r="E361" s="1" t="str">
        <f>IFERROR(__xludf.DUMMYFUNCTION("""COMPUTED_VALUE"""),"VF")</f>
        <v>VF</v>
      </c>
      <c r="F361" s="1">
        <f>IFERROR(__xludf.DUMMYFUNCTION("""COMPUTED_VALUE"""),1.0)</f>
        <v>1</v>
      </c>
      <c r="G361" s="1" t="str">
        <f>IFERROR(__xludf.DUMMYFUNCTION("""COMPUTED_VALUE"""),"PR060")</f>
        <v>PR060</v>
      </c>
      <c r="H361" s="1" t="str">
        <f>IFERROR(__xludf.DUMMYFUNCTION("""COMPUTED_VALUE"""),"VD044")</f>
        <v>VD044</v>
      </c>
      <c r="I361" s="1">
        <f>IFERROR(__xludf.DUMMYFUNCTION("""COMPUTED_VALUE"""),6.0)</f>
        <v>6</v>
      </c>
      <c r="J361" s="1">
        <f>IFERROR(__xludf.DUMMYFUNCTION("""COMPUTED_VALUE"""),1101.6)</f>
        <v>1101.6</v>
      </c>
      <c r="K361" s="1">
        <f>IFERROR(__xludf.DUMMYFUNCTION("""COMPUTED_VALUE"""),1101.6)</f>
        <v>1101.6</v>
      </c>
    </row>
    <row r="362">
      <c r="A362" s="1">
        <f>IFERROR(__xludf.DUMMYFUNCTION("""COMPUTED_VALUE"""),1000.0)</f>
        <v>1000</v>
      </c>
      <c r="B362" s="1">
        <f>IFERROR(__xludf.DUMMYFUNCTION("""COMPUTED_VALUE"""),183716.0)</f>
        <v>183716</v>
      </c>
      <c r="C362" s="1">
        <f>IFERROR(__xludf.DUMMYFUNCTION("""COMPUTED_VALUE"""),2026.0)</f>
        <v>2026</v>
      </c>
      <c r="D362" s="1">
        <f>IFERROR(__xludf.DUMMYFUNCTION("""COMPUTED_VALUE"""),46316.0)</f>
        <v>46316</v>
      </c>
      <c r="E362" s="1" t="str">
        <f>IFERROR(__xludf.DUMMYFUNCTION("""COMPUTED_VALUE"""),"VF")</f>
        <v>VF</v>
      </c>
      <c r="F362" s="1">
        <f>IFERROR(__xludf.DUMMYFUNCTION("""COMPUTED_VALUE"""),2.0)</f>
        <v>2</v>
      </c>
      <c r="G362" s="1" t="str">
        <f>IFERROR(__xludf.DUMMYFUNCTION("""COMPUTED_VALUE"""),"PR012")</f>
        <v>PR012</v>
      </c>
      <c r="H362" s="1" t="str">
        <f>IFERROR(__xludf.DUMMYFUNCTION("""COMPUTED_VALUE"""),"VD022")</f>
        <v>VD022</v>
      </c>
      <c r="I362" s="1">
        <f>IFERROR(__xludf.DUMMYFUNCTION("""COMPUTED_VALUE"""),27.0)</f>
        <v>27</v>
      </c>
      <c r="J362" s="1">
        <f>IFERROR(__xludf.DUMMYFUNCTION("""COMPUTED_VALUE"""),1333.5)</f>
        <v>1333.5</v>
      </c>
      <c r="K362" s="1">
        <f>IFERROR(__xludf.DUMMYFUNCTION("""COMPUTED_VALUE"""),1333.5)</f>
        <v>1333.5</v>
      </c>
    </row>
    <row r="363">
      <c r="A363" s="1">
        <f>IFERROR(__xludf.DUMMYFUNCTION("""COMPUTED_VALUE"""),1000.0)</f>
        <v>1000</v>
      </c>
      <c r="B363" s="1">
        <f>IFERROR(__xludf.DUMMYFUNCTION("""COMPUTED_VALUE"""),183716.0)</f>
        <v>183716</v>
      </c>
      <c r="C363" s="1">
        <f>IFERROR(__xludf.DUMMYFUNCTION("""COMPUTED_VALUE"""),2026.0)</f>
        <v>2026</v>
      </c>
      <c r="D363" s="1">
        <f>IFERROR(__xludf.DUMMYFUNCTION("""COMPUTED_VALUE"""),46315.0)</f>
        <v>46315</v>
      </c>
      <c r="E363" s="1" t="str">
        <f>IFERROR(__xludf.DUMMYFUNCTION("""COMPUTED_VALUE"""),"VF")</f>
        <v>VF</v>
      </c>
      <c r="F363" s="1">
        <f>IFERROR(__xludf.DUMMYFUNCTION("""COMPUTED_VALUE"""),3.0)</f>
        <v>3</v>
      </c>
      <c r="G363" s="1" t="str">
        <f>IFERROR(__xludf.DUMMYFUNCTION("""COMPUTED_VALUE"""),"PR009")</f>
        <v>PR009</v>
      </c>
      <c r="H363" s="1" t="str">
        <f>IFERROR(__xludf.DUMMYFUNCTION("""COMPUTED_VALUE"""),"VD019")</f>
        <v>VD019</v>
      </c>
      <c r="I363" s="1">
        <f>IFERROR(__xludf.DUMMYFUNCTION("""COMPUTED_VALUE"""),2.0)</f>
        <v>2</v>
      </c>
      <c r="J363" s="1">
        <f>IFERROR(__xludf.DUMMYFUNCTION("""COMPUTED_VALUE"""),185.8)</f>
        <v>185.8</v>
      </c>
      <c r="K363" s="1">
        <f>IFERROR(__xludf.DUMMYFUNCTION("""COMPUTED_VALUE"""),185.8)</f>
        <v>185.8</v>
      </c>
    </row>
    <row r="364">
      <c r="A364" s="1">
        <f>IFERROR(__xludf.DUMMYFUNCTION("""COMPUTED_VALUE"""),1000.0)</f>
        <v>1000</v>
      </c>
      <c r="B364" s="1">
        <f>IFERROR(__xludf.DUMMYFUNCTION("""COMPUTED_VALUE"""),183717.0)</f>
        <v>183717</v>
      </c>
      <c r="C364" s="1">
        <f>IFERROR(__xludf.DUMMYFUNCTION("""COMPUTED_VALUE"""),2026.0)</f>
        <v>2026</v>
      </c>
      <c r="D364" s="1">
        <f>IFERROR(__xludf.DUMMYFUNCTION("""COMPUTED_VALUE"""),46315.0)</f>
        <v>46315</v>
      </c>
      <c r="E364" s="1" t="str">
        <f>IFERROR(__xludf.DUMMYFUNCTION("""COMPUTED_VALUE"""),"VF")</f>
        <v>VF</v>
      </c>
      <c r="F364" s="1">
        <f>IFERROR(__xludf.DUMMYFUNCTION("""COMPUTED_VALUE"""),1.0)</f>
        <v>1</v>
      </c>
      <c r="G364" s="1" t="str">
        <f>IFERROR(__xludf.DUMMYFUNCTION("""COMPUTED_VALUE"""),"PR010")</f>
        <v>PR010</v>
      </c>
      <c r="H364" s="1" t="str">
        <f>IFERROR(__xludf.DUMMYFUNCTION("""COMPUTED_VALUE"""),"VD041")</f>
        <v>VD041</v>
      </c>
      <c r="I364" s="1">
        <f>IFERROR(__xludf.DUMMYFUNCTION("""COMPUTED_VALUE"""),5.0)</f>
        <v>5</v>
      </c>
      <c r="J364" s="1">
        <f>IFERROR(__xludf.DUMMYFUNCTION("""COMPUTED_VALUE"""),237.97)</f>
        <v>237.97</v>
      </c>
      <c r="K364" s="1">
        <f>IFERROR(__xludf.DUMMYFUNCTION("""COMPUTED_VALUE"""),237.97)</f>
        <v>237.97</v>
      </c>
    </row>
    <row r="365">
      <c r="A365" s="1">
        <f>IFERROR(__xludf.DUMMYFUNCTION("""COMPUTED_VALUE"""),1000.0)</f>
        <v>1000</v>
      </c>
      <c r="B365" s="1">
        <f>IFERROR(__xludf.DUMMYFUNCTION("""COMPUTED_VALUE"""),183718.0)</f>
        <v>183718</v>
      </c>
      <c r="C365" s="1">
        <f>IFERROR(__xludf.DUMMYFUNCTION("""COMPUTED_VALUE"""),2026.0)</f>
        <v>2026</v>
      </c>
      <c r="D365" s="1">
        <f>IFERROR(__xludf.DUMMYFUNCTION("""COMPUTED_VALUE"""),46315.0)</f>
        <v>46315</v>
      </c>
      <c r="E365" s="1" t="str">
        <f>IFERROR(__xludf.DUMMYFUNCTION("""COMPUTED_VALUE"""),"VF")</f>
        <v>VF</v>
      </c>
      <c r="F365" s="1">
        <f>IFERROR(__xludf.DUMMYFUNCTION("""COMPUTED_VALUE"""),1.0)</f>
        <v>1</v>
      </c>
      <c r="G365" s="1" t="str">
        <f>IFERROR(__xludf.DUMMYFUNCTION("""COMPUTED_VALUE"""),"PR049")</f>
        <v>PR049</v>
      </c>
      <c r="H365" s="1" t="str">
        <f>IFERROR(__xludf.DUMMYFUNCTION("""COMPUTED_VALUE"""),"VD049")</f>
        <v>VD049</v>
      </c>
      <c r="I365" s="1">
        <f>IFERROR(__xludf.DUMMYFUNCTION("""COMPUTED_VALUE"""),4.0)</f>
        <v>4</v>
      </c>
      <c r="J365" s="1">
        <f>IFERROR(__xludf.DUMMYFUNCTION("""COMPUTED_VALUE"""),143.44)</f>
        <v>143.44</v>
      </c>
      <c r="K365" s="1">
        <f>IFERROR(__xludf.DUMMYFUNCTION("""COMPUTED_VALUE"""),143.44)</f>
        <v>143.44</v>
      </c>
    </row>
    <row r="366">
      <c r="A366" s="1">
        <f>IFERROR(__xludf.DUMMYFUNCTION("""COMPUTED_VALUE"""),2000.0)</f>
        <v>2000</v>
      </c>
      <c r="B366" s="1">
        <f>IFERROR(__xludf.DUMMYFUNCTION("""COMPUTED_VALUE"""),183719.0)</f>
        <v>183719</v>
      </c>
      <c r="C366" s="1">
        <f>IFERROR(__xludf.DUMMYFUNCTION("""COMPUTED_VALUE"""),2026.0)</f>
        <v>2026</v>
      </c>
      <c r="D366" s="1">
        <f>IFERROR(__xludf.DUMMYFUNCTION("""COMPUTED_VALUE"""),46314.0)</f>
        <v>46314</v>
      </c>
      <c r="E366" s="1" t="str">
        <f>IFERROR(__xludf.DUMMYFUNCTION("""COMPUTED_VALUE"""),"VF")</f>
        <v>VF</v>
      </c>
      <c r="F366" s="1">
        <f>IFERROR(__xludf.DUMMYFUNCTION("""COMPUTED_VALUE"""),1.0)</f>
        <v>1</v>
      </c>
      <c r="G366" s="1" t="str">
        <f>IFERROR(__xludf.DUMMYFUNCTION("""COMPUTED_VALUE"""),"PR016")</f>
        <v>PR016</v>
      </c>
      <c r="H366" s="1" t="str">
        <f>IFERROR(__xludf.DUMMYFUNCTION("""COMPUTED_VALUE"""),"VD044")</f>
        <v>VD044</v>
      </c>
      <c r="I366" s="1">
        <f>IFERROR(__xludf.DUMMYFUNCTION("""COMPUTED_VALUE"""),6.0)</f>
        <v>6</v>
      </c>
      <c r="J366" s="1">
        <f>IFERROR(__xludf.DUMMYFUNCTION("""COMPUTED_VALUE"""),161.62)</f>
        <v>161.62</v>
      </c>
      <c r="K366" s="1">
        <f>IFERROR(__xludf.DUMMYFUNCTION("""COMPUTED_VALUE"""),161.62)</f>
        <v>161.62</v>
      </c>
    </row>
    <row r="367">
      <c r="A367" s="1">
        <f>IFERROR(__xludf.DUMMYFUNCTION("""COMPUTED_VALUE"""),2000.0)</f>
        <v>2000</v>
      </c>
      <c r="B367" s="1">
        <f>IFERROR(__xludf.DUMMYFUNCTION("""COMPUTED_VALUE"""),183719.0)</f>
        <v>183719</v>
      </c>
      <c r="C367" s="1">
        <f>IFERROR(__xludf.DUMMYFUNCTION("""COMPUTED_VALUE"""),2026.0)</f>
        <v>2026</v>
      </c>
      <c r="D367" s="1">
        <f>IFERROR(__xludf.DUMMYFUNCTION("""COMPUTED_VALUE"""),46314.0)</f>
        <v>46314</v>
      </c>
      <c r="E367" s="1" t="str">
        <f>IFERROR(__xludf.DUMMYFUNCTION("""COMPUTED_VALUE"""),"VF")</f>
        <v>VF</v>
      </c>
      <c r="F367" s="1">
        <f>IFERROR(__xludf.DUMMYFUNCTION("""COMPUTED_VALUE"""),2.0)</f>
        <v>2</v>
      </c>
      <c r="G367" s="1" t="str">
        <f>IFERROR(__xludf.DUMMYFUNCTION("""COMPUTED_VALUE"""),"PR008")</f>
        <v>PR008</v>
      </c>
      <c r="H367" s="1" t="str">
        <f>IFERROR(__xludf.DUMMYFUNCTION("""COMPUTED_VALUE"""),"VD033")</f>
        <v>VD033</v>
      </c>
      <c r="I367" s="1">
        <f>IFERROR(__xludf.DUMMYFUNCTION("""COMPUTED_VALUE"""),27.0)</f>
        <v>27</v>
      </c>
      <c r="J367" s="1">
        <f>IFERROR(__xludf.DUMMYFUNCTION("""COMPUTED_VALUE"""),2548.67)</f>
        <v>2548.67</v>
      </c>
      <c r="K367" s="1">
        <f>IFERROR(__xludf.DUMMYFUNCTION("""COMPUTED_VALUE"""),2548.67)</f>
        <v>2548.67</v>
      </c>
    </row>
    <row r="368">
      <c r="A368" s="1">
        <f>IFERROR(__xludf.DUMMYFUNCTION("""COMPUTED_VALUE"""),1000.0)</f>
        <v>1000</v>
      </c>
      <c r="B368" s="1">
        <f>IFERROR(__xludf.DUMMYFUNCTION("""COMPUTED_VALUE"""),183720.0)</f>
        <v>183720</v>
      </c>
      <c r="C368" s="1">
        <f>IFERROR(__xludf.DUMMYFUNCTION("""COMPUTED_VALUE"""),2026.0)</f>
        <v>2026</v>
      </c>
      <c r="D368" s="1">
        <f>IFERROR(__xludf.DUMMYFUNCTION("""COMPUTED_VALUE"""),46314.0)</f>
        <v>46314</v>
      </c>
      <c r="E368" s="1" t="str">
        <f>IFERROR(__xludf.DUMMYFUNCTION("""COMPUTED_VALUE"""),"VF")</f>
        <v>VF</v>
      </c>
      <c r="F368" s="1">
        <f>IFERROR(__xludf.DUMMYFUNCTION("""COMPUTED_VALUE"""),1.0)</f>
        <v>1</v>
      </c>
      <c r="G368" s="1" t="str">
        <f>IFERROR(__xludf.DUMMYFUNCTION("""COMPUTED_VALUE"""),"PR018")</f>
        <v>PR018</v>
      </c>
      <c r="H368" s="1" t="str">
        <f>IFERROR(__xludf.DUMMYFUNCTION("""COMPUTED_VALUE"""),"VD033")</f>
        <v>VD033</v>
      </c>
      <c r="I368" s="1">
        <f>IFERROR(__xludf.DUMMYFUNCTION("""COMPUTED_VALUE"""),1.0)</f>
        <v>1</v>
      </c>
      <c r="J368" s="1">
        <f>IFERROR(__xludf.DUMMYFUNCTION("""COMPUTED_VALUE"""),34.87)</f>
        <v>34.87</v>
      </c>
      <c r="K368" s="1">
        <f>IFERROR(__xludf.DUMMYFUNCTION("""COMPUTED_VALUE"""),34.87)</f>
        <v>34.87</v>
      </c>
    </row>
    <row r="369">
      <c r="A369" s="1">
        <f>IFERROR(__xludf.DUMMYFUNCTION("""COMPUTED_VALUE"""),2000.0)</f>
        <v>2000</v>
      </c>
      <c r="B369" s="1">
        <f>IFERROR(__xludf.DUMMYFUNCTION("""COMPUTED_VALUE"""),183720.0)</f>
        <v>183720</v>
      </c>
      <c r="C369" s="1">
        <f>IFERROR(__xludf.DUMMYFUNCTION("""COMPUTED_VALUE"""),2026.0)</f>
        <v>2026</v>
      </c>
      <c r="D369" s="1">
        <f>IFERROR(__xludf.DUMMYFUNCTION("""COMPUTED_VALUE"""),46314.0)</f>
        <v>46314</v>
      </c>
      <c r="E369" s="1" t="str">
        <f>IFERROR(__xludf.DUMMYFUNCTION("""COMPUTED_VALUE"""),"VF")</f>
        <v>VF</v>
      </c>
      <c r="F369" s="1">
        <f>IFERROR(__xludf.DUMMYFUNCTION("""COMPUTED_VALUE"""),2.0)</f>
        <v>2</v>
      </c>
      <c r="G369" s="1" t="str">
        <f>IFERROR(__xludf.DUMMYFUNCTION("""COMPUTED_VALUE"""),"PR017")</f>
        <v>PR017</v>
      </c>
      <c r="H369" s="1" t="str">
        <f>IFERROR(__xludf.DUMMYFUNCTION("""COMPUTED_VALUE"""),"VD013")</f>
        <v>VD013</v>
      </c>
      <c r="I369" s="1">
        <f>IFERROR(__xludf.DUMMYFUNCTION("""COMPUTED_VALUE"""),9.0)</f>
        <v>9</v>
      </c>
      <c r="J369" s="1">
        <f>IFERROR(__xludf.DUMMYFUNCTION("""COMPUTED_VALUE"""),293.32)</f>
        <v>293.32</v>
      </c>
      <c r="K369" s="1">
        <f>IFERROR(__xludf.DUMMYFUNCTION("""COMPUTED_VALUE"""),293.32)</f>
        <v>293.32</v>
      </c>
    </row>
    <row r="370">
      <c r="A370" s="1">
        <f>IFERROR(__xludf.DUMMYFUNCTION("""COMPUTED_VALUE"""),1000.0)</f>
        <v>1000</v>
      </c>
      <c r="B370" s="1">
        <f>IFERROR(__xludf.DUMMYFUNCTION("""COMPUTED_VALUE"""),183721.0)</f>
        <v>183721</v>
      </c>
      <c r="C370" s="1">
        <f>IFERROR(__xludf.DUMMYFUNCTION("""COMPUTED_VALUE"""),2026.0)</f>
        <v>2026</v>
      </c>
      <c r="D370" s="1">
        <f>IFERROR(__xludf.DUMMYFUNCTION("""COMPUTED_VALUE"""),46314.0)</f>
        <v>46314</v>
      </c>
      <c r="E370" s="1" t="str">
        <f>IFERROR(__xludf.DUMMYFUNCTION("""COMPUTED_VALUE"""),"VF")</f>
        <v>VF</v>
      </c>
      <c r="F370" s="1">
        <f>IFERROR(__xludf.DUMMYFUNCTION("""COMPUTED_VALUE"""),1.0)</f>
        <v>1</v>
      </c>
      <c r="G370" s="1" t="str">
        <f>IFERROR(__xludf.DUMMYFUNCTION("""COMPUTED_VALUE"""),"PR050")</f>
        <v>PR050</v>
      </c>
      <c r="H370" s="1" t="str">
        <f>IFERROR(__xludf.DUMMYFUNCTION("""COMPUTED_VALUE"""),"VD030")</f>
        <v>VD030</v>
      </c>
      <c r="I370" s="1">
        <f>IFERROR(__xludf.DUMMYFUNCTION("""COMPUTED_VALUE"""),6.0)</f>
        <v>6</v>
      </c>
      <c r="J370" s="1">
        <f>IFERROR(__xludf.DUMMYFUNCTION("""COMPUTED_VALUE"""),205.3)</f>
        <v>205.3</v>
      </c>
      <c r="K370" s="1">
        <f>IFERROR(__xludf.DUMMYFUNCTION("""COMPUTED_VALUE"""),205.3)</f>
        <v>205.3</v>
      </c>
    </row>
    <row r="371">
      <c r="A371" s="1">
        <f>IFERROR(__xludf.DUMMYFUNCTION("""COMPUTED_VALUE"""),1000.0)</f>
        <v>1000</v>
      </c>
      <c r="B371" s="1">
        <f>IFERROR(__xludf.DUMMYFUNCTION("""COMPUTED_VALUE"""),183722.0)</f>
        <v>183722</v>
      </c>
      <c r="C371" s="1">
        <f>IFERROR(__xludf.DUMMYFUNCTION("""COMPUTED_VALUE"""),2026.0)</f>
        <v>2026</v>
      </c>
      <c r="D371" s="1">
        <f>IFERROR(__xludf.DUMMYFUNCTION("""COMPUTED_VALUE"""),46314.0)</f>
        <v>46314</v>
      </c>
      <c r="E371" s="1" t="str">
        <f>IFERROR(__xludf.DUMMYFUNCTION("""COMPUTED_VALUE"""),"VF")</f>
        <v>VF</v>
      </c>
      <c r="F371" s="1">
        <f>IFERROR(__xludf.DUMMYFUNCTION("""COMPUTED_VALUE"""),1.0)</f>
        <v>1</v>
      </c>
      <c r="G371" s="1" t="str">
        <f>IFERROR(__xludf.DUMMYFUNCTION("""COMPUTED_VALUE"""),"PR018")</f>
        <v>PR018</v>
      </c>
      <c r="H371" s="1" t="str">
        <f>IFERROR(__xludf.DUMMYFUNCTION("""COMPUTED_VALUE"""),"VD040")</f>
        <v>VD040</v>
      </c>
      <c r="I371" s="1">
        <f>IFERROR(__xludf.DUMMYFUNCTION("""COMPUTED_VALUE"""),20.0)</f>
        <v>20</v>
      </c>
      <c r="J371" s="1">
        <f>IFERROR(__xludf.DUMMYFUNCTION("""COMPUTED_VALUE"""),671.16)</f>
        <v>671.16</v>
      </c>
      <c r="K371" s="1">
        <f>IFERROR(__xludf.DUMMYFUNCTION("""COMPUTED_VALUE"""),671.16)</f>
        <v>671.16</v>
      </c>
    </row>
    <row r="372">
      <c r="A372" s="1">
        <f>IFERROR(__xludf.DUMMYFUNCTION("""COMPUTED_VALUE"""),1000.0)</f>
        <v>1000</v>
      </c>
      <c r="B372" s="1">
        <f>IFERROR(__xludf.DUMMYFUNCTION("""COMPUTED_VALUE"""),183722.0)</f>
        <v>183722</v>
      </c>
      <c r="C372" s="1">
        <f>IFERROR(__xludf.DUMMYFUNCTION("""COMPUTED_VALUE"""),2026.0)</f>
        <v>2026</v>
      </c>
      <c r="D372" s="1">
        <f>IFERROR(__xludf.DUMMYFUNCTION("""COMPUTED_VALUE"""),46313.0)</f>
        <v>46313</v>
      </c>
      <c r="E372" s="1" t="str">
        <f>IFERROR(__xludf.DUMMYFUNCTION("""COMPUTED_VALUE"""),"VF")</f>
        <v>VF</v>
      </c>
      <c r="F372" s="1">
        <f>IFERROR(__xludf.DUMMYFUNCTION("""COMPUTED_VALUE"""),2.0)</f>
        <v>2</v>
      </c>
      <c r="G372" s="1" t="str">
        <f>IFERROR(__xludf.DUMMYFUNCTION("""COMPUTED_VALUE"""),"PR001")</f>
        <v>PR001</v>
      </c>
      <c r="H372" s="1" t="str">
        <f>IFERROR(__xludf.DUMMYFUNCTION("""COMPUTED_VALUE"""),"VD045")</f>
        <v>VD045</v>
      </c>
      <c r="I372" s="1">
        <f>IFERROR(__xludf.DUMMYFUNCTION("""COMPUTED_VALUE"""),9.0)</f>
        <v>9</v>
      </c>
      <c r="J372" s="1">
        <f>IFERROR(__xludf.DUMMYFUNCTION("""COMPUTED_VALUE"""),634.62)</f>
        <v>634.62</v>
      </c>
      <c r="K372" s="1">
        <f>IFERROR(__xludf.DUMMYFUNCTION("""COMPUTED_VALUE"""),634.62)</f>
        <v>634.62</v>
      </c>
    </row>
    <row r="373">
      <c r="A373" s="1">
        <f>IFERROR(__xludf.DUMMYFUNCTION("""COMPUTED_VALUE"""),1000.0)</f>
        <v>1000</v>
      </c>
      <c r="B373" s="1">
        <f>IFERROR(__xludf.DUMMYFUNCTION("""COMPUTED_VALUE"""),183723.0)</f>
        <v>183723</v>
      </c>
      <c r="C373" s="1">
        <f>IFERROR(__xludf.DUMMYFUNCTION("""COMPUTED_VALUE"""),2026.0)</f>
        <v>2026</v>
      </c>
      <c r="D373" s="1">
        <f>IFERROR(__xludf.DUMMYFUNCTION("""COMPUTED_VALUE"""),46313.0)</f>
        <v>46313</v>
      </c>
      <c r="E373" s="1" t="str">
        <f>IFERROR(__xludf.DUMMYFUNCTION("""COMPUTED_VALUE"""),"VF")</f>
        <v>VF</v>
      </c>
      <c r="F373" s="1">
        <f>IFERROR(__xludf.DUMMYFUNCTION("""COMPUTED_VALUE"""),1.0)</f>
        <v>1</v>
      </c>
      <c r="G373" s="1" t="str">
        <f>IFERROR(__xludf.DUMMYFUNCTION("""COMPUTED_VALUE"""),"PR053")</f>
        <v>PR053</v>
      </c>
      <c r="H373" s="1" t="str">
        <f>IFERROR(__xludf.DUMMYFUNCTION("""COMPUTED_VALUE"""),"VD033")</f>
        <v>VD033</v>
      </c>
      <c r="I373" s="1">
        <f>IFERROR(__xludf.DUMMYFUNCTION("""COMPUTED_VALUE"""),6.0)</f>
        <v>6</v>
      </c>
      <c r="J373" s="1">
        <f>IFERROR(__xludf.DUMMYFUNCTION("""COMPUTED_VALUE"""),314.37)</f>
        <v>314.37</v>
      </c>
      <c r="K373" s="1">
        <f>IFERROR(__xludf.DUMMYFUNCTION("""COMPUTED_VALUE"""),314.37)</f>
        <v>314.37</v>
      </c>
    </row>
    <row r="374">
      <c r="A374" s="1">
        <f>IFERROR(__xludf.DUMMYFUNCTION("""COMPUTED_VALUE"""),1000.0)</f>
        <v>1000</v>
      </c>
      <c r="B374" s="1">
        <f>IFERROR(__xludf.DUMMYFUNCTION("""COMPUTED_VALUE"""),183724.0)</f>
        <v>183724</v>
      </c>
      <c r="C374" s="1">
        <f>IFERROR(__xludf.DUMMYFUNCTION("""COMPUTED_VALUE"""),2026.0)</f>
        <v>2026</v>
      </c>
      <c r="D374" s="1">
        <f>IFERROR(__xludf.DUMMYFUNCTION("""COMPUTED_VALUE"""),46313.0)</f>
        <v>46313</v>
      </c>
      <c r="E374" s="1" t="str">
        <f>IFERROR(__xludf.DUMMYFUNCTION("""COMPUTED_VALUE"""),"VF")</f>
        <v>VF</v>
      </c>
      <c r="F374" s="1">
        <f>IFERROR(__xludf.DUMMYFUNCTION("""COMPUTED_VALUE"""),1.0)</f>
        <v>1</v>
      </c>
      <c r="G374" s="1" t="str">
        <f>IFERROR(__xludf.DUMMYFUNCTION("""COMPUTED_VALUE"""),"PR011")</f>
        <v>PR011</v>
      </c>
      <c r="H374" s="1" t="str">
        <f>IFERROR(__xludf.DUMMYFUNCTION("""COMPUTED_VALUE"""),"VD046")</f>
        <v>VD046</v>
      </c>
      <c r="I374" s="1">
        <f>IFERROR(__xludf.DUMMYFUNCTION("""COMPUTED_VALUE"""),8.0)</f>
        <v>8</v>
      </c>
      <c r="J374" s="1">
        <f>IFERROR(__xludf.DUMMYFUNCTION("""COMPUTED_VALUE"""),375.2)</f>
        <v>375.2</v>
      </c>
      <c r="K374" s="1">
        <f>IFERROR(__xludf.DUMMYFUNCTION("""COMPUTED_VALUE"""),375.2)</f>
        <v>375.2</v>
      </c>
    </row>
    <row r="375">
      <c r="A375" s="1">
        <f>IFERROR(__xludf.DUMMYFUNCTION("""COMPUTED_VALUE"""),2000.0)</f>
        <v>2000</v>
      </c>
      <c r="B375" s="1">
        <f>IFERROR(__xludf.DUMMYFUNCTION("""COMPUTED_VALUE"""),183724.0)</f>
        <v>183724</v>
      </c>
      <c r="C375" s="1">
        <f>IFERROR(__xludf.DUMMYFUNCTION("""COMPUTED_VALUE"""),2026.0)</f>
        <v>2026</v>
      </c>
      <c r="D375" s="1">
        <f>IFERROR(__xludf.DUMMYFUNCTION("""COMPUTED_VALUE"""),46313.0)</f>
        <v>46313</v>
      </c>
      <c r="E375" s="1" t="str">
        <f>IFERROR(__xludf.DUMMYFUNCTION("""COMPUTED_VALUE"""),"VF")</f>
        <v>VF</v>
      </c>
      <c r="F375" s="1">
        <f>IFERROR(__xludf.DUMMYFUNCTION("""COMPUTED_VALUE"""),2.0)</f>
        <v>2</v>
      </c>
      <c r="G375" s="1" t="str">
        <f>IFERROR(__xludf.DUMMYFUNCTION("""COMPUTED_VALUE"""),"PR036")</f>
        <v>PR036</v>
      </c>
      <c r="H375" s="1" t="str">
        <f>IFERROR(__xludf.DUMMYFUNCTION("""COMPUTED_VALUE"""),"VD044")</f>
        <v>VD044</v>
      </c>
      <c r="I375" s="1">
        <f>IFERROR(__xludf.DUMMYFUNCTION("""COMPUTED_VALUE"""),9.0)</f>
        <v>9</v>
      </c>
      <c r="J375" s="1">
        <f>IFERROR(__xludf.DUMMYFUNCTION("""COMPUTED_VALUE"""),849.92)</f>
        <v>849.92</v>
      </c>
      <c r="K375" s="1">
        <f>IFERROR(__xludf.DUMMYFUNCTION("""COMPUTED_VALUE"""),849.92)</f>
        <v>849.92</v>
      </c>
    </row>
    <row r="376">
      <c r="A376" s="1">
        <f>IFERROR(__xludf.DUMMYFUNCTION("""COMPUTED_VALUE"""),2000.0)</f>
        <v>2000</v>
      </c>
      <c r="B376" s="1">
        <f>IFERROR(__xludf.DUMMYFUNCTION("""COMPUTED_VALUE"""),183725.0)</f>
        <v>183725</v>
      </c>
      <c r="C376" s="1">
        <f>IFERROR(__xludf.DUMMYFUNCTION("""COMPUTED_VALUE"""),2026.0)</f>
        <v>2026</v>
      </c>
      <c r="D376" s="1">
        <f>IFERROR(__xludf.DUMMYFUNCTION("""COMPUTED_VALUE"""),46313.0)</f>
        <v>46313</v>
      </c>
      <c r="E376" s="1" t="str">
        <f>IFERROR(__xludf.DUMMYFUNCTION("""COMPUTED_VALUE"""),"VF")</f>
        <v>VF</v>
      </c>
      <c r="F376" s="1">
        <f>IFERROR(__xludf.DUMMYFUNCTION("""COMPUTED_VALUE"""),1.0)</f>
        <v>1</v>
      </c>
      <c r="G376" s="1" t="str">
        <f>IFERROR(__xludf.DUMMYFUNCTION("""COMPUTED_VALUE"""),"PR007")</f>
        <v>PR007</v>
      </c>
      <c r="H376" s="1" t="str">
        <f>IFERROR(__xludf.DUMMYFUNCTION("""COMPUTED_VALUE"""),"VD035")</f>
        <v>VD035</v>
      </c>
      <c r="I376" s="1">
        <f>IFERROR(__xludf.DUMMYFUNCTION("""COMPUTED_VALUE"""),8.0)</f>
        <v>8</v>
      </c>
      <c r="J376" s="1">
        <f>IFERROR(__xludf.DUMMYFUNCTION("""COMPUTED_VALUE"""),700.94)</f>
        <v>700.94</v>
      </c>
      <c r="K376" s="1">
        <f>IFERROR(__xludf.DUMMYFUNCTION("""COMPUTED_VALUE"""),700.94)</f>
        <v>700.94</v>
      </c>
    </row>
    <row r="377">
      <c r="A377" s="1">
        <f>IFERROR(__xludf.DUMMYFUNCTION("""COMPUTED_VALUE"""),1000.0)</f>
        <v>1000</v>
      </c>
      <c r="B377" s="1">
        <f>IFERROR(__xludf.DUMMYFUNCTION("""COMPUTED_VALUE"""),183725.0)</f>
        <v>183725</v>
      </c>
      <c r="C377" s="1">
        <f>IFERROR(__xludf.DUMMYFUNCTION("""COMPUTED_VALUE"""),2026.0)</f>
        <v>2026</v>
      </c>
      <c r="D377" s="1">
        <f>IFERROR(__xludf.DUMMYFUNCTION("""COMPUTED_VALUE"""),46313.0)</f>
        <v>46313</v>
      </c>
      <c r="E377" s="1" t="str">
        <f>IFERROR(__xludf.DUMMYFUNCTION("""COMPUTED_VALUE"""),"VF")</f>
        <v>VF</v>
      </c>
      <c r="F377" s="1">
        <f>IFERROR(__xludf.DUMMYFUNCTION("""COMPUTED_VALUE"""),2.0)</f>
        <v>2</v>
      </c>
      <c r="G377" s="1" t="str">
        <f>IFERROR(__xludf.DUMMYFUNCTION("""COMPUTED_VALUE"""),"PR017")</f>
        <v>PR017</v>
      </c>
      <c r="H377" s="1" t="str">
        <f>IFERROR(__xludf.DUMMYFUNCTION("""COMPUTED_VALUE"""),"VD013")</f>
        <v>VD013</v>
      </c>
      <c r="I377" s="1">
        <f>IFERROR(__xludf.DUMMYFUNCTION("""COMPUTED_VALUE"""),2.0)</f>
        <v>2</v>
      </c>
      <c r="J377" s="1">
        <f>IFERROR(__xludf.DUMMYFUNCTION("""COMPUTED_VALUE"""),62.79)</f>
        <v>62.79</v>
      </c>
      <c r="K377" s="1">
        <f>IFERROR(__xludf.DUMMYFUNCTION("""COMPUTED_VALUE"""),62.79)</f>
        <v>62.79</v>
      </c>
    </row>
    <row r="378">
      <c r="A378" s="1">
        <f>IFERROR(__xludf.DUMMYFUNCTION("""COMPUTED_VALUE"""),1000.0)</f>
        <v>1000</v>
      </c>
      <c r="B378" s="1">
        <f>IFERROR(__xludf.DUMMYFUNCTION("""COMPUTED_VALUE"""),183726.0)</f>
        <v>183726</v>
      </c>
      <c r="C378" s="1">
        <f>IFERROR(__xludf.DUMMYFUNCTION("""COMPUTED_VALUE"""),2026.0)</f>
        <v>2026</v>
      </c>
      <c r="D378" s="1">
        <f>IFERROR(__xludf.DUMMYFUNCTION("""COMPUTED_VALUE"""),46313.0)</f>
        <v>46313</v>
      </c>
      <c r="E378" s="1" t="str">
        <f>IFERROR(__xludf.DUMMYFUNCTION("""COMPUTED_VALUE"""),"VF")</f>
        <v>VF</v>
      </c>
      <c r="F378" s="1">
        <f>IFERROR(__xludf.DUMMYFUNCTION("""COMPUTED_VALUE"""),1.0)</f>
        <v>1</v>
      </c>
      <c r="G378" s="1" t="str">
        <f>IFERROR(__xludf.DUMMYFUNCTION("""COMPUTED_VALUE"""),"PR029")</f>
        <v>PR029</v>
      </c>
      <c r="H378" s="1" t="str">
        <f>IFERROR(__xludf.DUMMYFUNCTION("""COMPUTED_VALUE"""),"VD022")</f>
        <v>VD022</v>
      </c>
      <c r="I378" s="1">
        <f>IFERROR(__xludf.DUMMYFUNCTION("""COMPUTED_VALUE"""),24.0)</f>
        <v>24</v>
      </c>
      <c r="J378" s="1">
        <f>IFERROR(__xludf.DUMMYFUNCTION("""COMPUTED_VALUE"""),6364.8)</f>
        <v>6364.8</v>
      </c>
      <c r="K378" s="1">
        <f>IFERROR(__xludf.DUMMYFUNCTION("""COMPUTED_VALUE"""),6364.8)</f>
        <v>6364.8</v>
      </c>
    </row>
    <row r="379">
      <c r="A379" s="1">
        <f>IFERROR(__xludf.DUMMYFUNCTION("""COMPUTED_VALUE"""),2000.0)</f>
        <v>2000</v>
      </c>
      <c r="B379" s="1">
        <f>IFERROR(__xludf.DUMMYFUNCTION("""COMPUTED_VALUE"""),183727.0)</f>
        <v>183727</v>
      </c>
      <c r="C379" s="1">
        <f>IFERROR(__xludf.DUMMYFUNCTION("""COMPUTED_VALUE"""),2026.0)</f>
        <v>2026</v>
      </c>
      <c r="D379" s="1">
        <f>IFERROR(__xludf.DUMMYFUNCTION("""COMPUTED_VALUE"""),46313.0)</f>
        <v>46313</v>
      </c>
      <c r="E379" s="1" t="str">
        <f>IFERROR(__xludf.DUMMYFUNCTION("""COMPUTED_VALUE"""),"VF")</f>
        <v>VF</v>
      </c>
      <c r="F379" s="1">
        <f>IFERROR(__xludf.DUMMYFUNCTION("""COMPUTED_VALUE"""),1.0)</f>
        <v>1</v>
      </c>
      <c r="G379" s="1" t="str">
        <f>IFERROR(__xludf.DUMMYFUNCTION("""COMPUTED_VALUE"""),"PR049")</f>
        <v>PR049</v>
      </c>
      <c r="H379" s="1" t="str">
        <f>IFERROR(__xludf.DUMMYFUNCTION("""COMPUTED_VALUE"""),"VD046")</f>
        <v>VD046</v>
      </c>
      <c r="I379" s="1">
        <f>IFERROR(__xludf.DUMMYFUNCTION("""COMPUTED_VALUE"""),2.0)</f>
        <v>2</v>
      </c>
      <c r="J379" s="1">
        <f>IFERROR(__xludf.DUMMYFUNCTION("""COMPUTED_VALUE"""),71.72)</f>
        <v>71.72</v>
      </c>
      <c r="K379" s="1">
        <f>IFERROR(__xludf.DUMMYFUNCTION("""COMPUTED_VALUE"""),71.72)</f>
        <v>71.72</v>
      </c>
    </row>
    <row r="380">
      <c r="A380" s="1">
        <f>IFERROR(__xludf.DUMMYFUNCTION("""COMPUTED_VALUE"""),1000.0)</f>
        <v>1000</v>
      </c>
      <c r="B380" s="1">
        <f>IFERROR(__xludf.DUMMYFUNCTION("""COMPUTED_VALUE"""),183728.0)</f>
        <v>183728</v>
      </c>
      <c r="C380" s="1">
        <f>IFERROR(__xludf.DUMMYFUNCTION("""COMPUTED_VALUE"""),2026.0)</f>
        <v>2026</v>
      </c>
      <c r="D380" s="1">
        <f>IFERROR(__xludf.DUMMYFUNCTION("""COMPUTED_VALUE"""),46313.0)</f>
        <v>46313</v>
      </c>
      <c r="E380" s="1" t="str">
        <f>IFERROR(__xludf.DUMMYFUNCTION("""COMPUTED_VALUE"""),"VF")</f>
        <v>VF</v>
      </c>
      <c r="F380" s="1">
        <f>IFERROR(__xludf.DUMMYFUNCTION("""COMPUTED_VALUE"""),1.0)</f>
        <v>1</v>
      </c>
      <c r="G380" s="1" t="str">
        <f>IFERROR(__xludf.DUMMYFUNCTION("""COMPUTED_VALUE"""),"PR036")</f>
        <v>PR036</v>
      </c>
      <c r="H380" s="1" t="str">
        <f>IFERROR(__xludf.DUMMYFUNCTION("""COMPUTED_VALUE"""),"VD035")</f>
        <v>VD035</v>
      </c>
      <c r="I380" s="1">
        <f>IFERROR(__xludf.DUMMYFUNCTION("""COMPUTED_VALUE"""),18.0)</f>
        <v>18</v>
      </c>
      <c r="J380" s="1">
        <f>IFERROR(__xludf.DUMMYFUNCTION("""COMPUTED_VALUE"""),1783.98)</f>
        <v>1783.98</v>
      </c>
      <c r="K380" s="1">
        <f>IFERROR(__xludf.DUMMYFUNCTION("""COMPUTED_VALUE"""),1783.98)</f>
        <v>1783.98</v>
      </c>
    </row>
    <row r="381">
      <c r="A381" s="1">
        <f>IFERROR(__xludf.DUMMYFUNCTION("""COMPUTED_VALUE"""),1000.0)</f>
        <v>1000</v>
      </c>
      <c r="B381" s="1">
        <f>IFERROR(__xludf.DUMMYFUNCTION("""COMPUTED_VALUE"""),183729.0)</f>
        <v>183729</v>
      </c>
      <c r="C381" s="1">
        <f>IFERROR(__xludf.DUMMYFUNCTION("""COMPUTED_VALUE"""),2026.0)</f>
        <v>2026</v>
      </c>
      <c r="D381" s="1">
        <f>IFERROR(__xludf.DUMMYFUNCTION("""COMPUTED_VALUE"""),46313.0)</f>
        <v>46313</v>
      </c>
      <c r="E381" s="1" t="str">
        <f>IFERROR(__xludf.DUMMYFUNCTION("""COMPUTED_VALUE"""),"VF")</f>
        <v>VF</v>
      </c>
      <c r="F381" s="1">
        <f>IFERROR(__xludf.DUMMYFUNCTION("""COMPUTED_VALUE"""),1.0)</f>
        <v>1</v>
      </c>
      <c r="G381" s="1" t="str">
        <f>IFERROR(__xludf.DUMMYFUNCTION("""COMPUTED_VALUE"""),"PR039")</f>
        <v>PR039</v>
      </c>
      <c r="H381" s="1" t="str">
        <f>IFERROR(__xludf.DUMMYFUNCTION("""COMPUTED_VALUE"""),"VD047")</f>
        <v>VD047</v>
      </c>
      <c r="I381" s="1">
        <f>IFERROR(__xludf.DUMMYFUNCTION("""COMPUTED_VALUE"""),14.0)</f>
        <v>14</v>
      </c>
      <c r="J381" s="1">
        <f>IFERROR(__xludf.DUMMYFUNCTION("""COMPUTED_VALUE"""),2227.96)</f>
        <v>2227.96</v>
      </c>
      <c r="K381" s="1">
        <f>IFERROR(__xludf.DUMMYFUNCTION("""COMPUTED_VALUE"""),2227.96)</f>
        <v>2227.96</v>
      </c>
    </row>
    <row r="382">
      <c r="A382" s="1">
        <f>IFERROR(__xludf.DUMMYFUNCTION("""COMPUTED_VALUE"""),1000.0)</f>
        <v>1000</v>
      </c>
      <c r="B382" s="1">
        <f>IFERROR(__xludf.DUMMYFUNCTION("""COMPUTED_VALUE"""),183730.0)</f>
        <v>183730</v>
      </c>
      <c r="C382" s="1">
        <f>IFERROR(__xludf.DUMMYFUNCTION("""COMPUTED_VALUE"""),2026.0)</f>
        <v>2026</v>
      </c>
      <c r="D382" s="1">
        <f>IFERROR(__xludf.DUMMYFUNCTION("""COMPUTED_VALUE"""),46312.0)</f>
        <v>46312</v>
      </c>
      <c r="E382" s="1" t="str">
        <f>IFERROR(__xludf.DUMMYFUNCTION("""COMPUTED_VALUE"""),"VF")</f>
        <v>VF</v>
      </c>
      <c r="F382" s="1">
        <f>IFERROR(__xludf.DUMMYFUNCTION("""COMPUTED_VALUE"""),1.0)</f>
        <v>1</v>
      </c>
      <c r="G382" s="1" t="str">
        <f>IFERROR(__xludf.DUMMYFUNCTION("""COMPUTED_VALUE"""),"PR043")</f>
        <v>PR043</v>
      </c>
      <c r="H382" s="1" t="str">
        <f>IFERROR(__xludf.DUMMYFUNCTION("""COMPUTED_VALUE"""),"VD049")</f>
        <v>VD049</v>
      </c>
      <c r="I382" s="1">
        <f>IFERROR(__xludf.DUMMYFUNCTION("""COMPUTED_VALUE"""),8.0)</f>
        <v>8</v>
      </c>
      <c r="J382" s="1">
        <f>IFERROR(__xludf.DUMMYFUNCTION("""COMPUTED_VALUE"""),585.8)</f>
        <v>585.8</v>
      </c>
      <c r="K382" s="1">
        <f>IFERROR(__xludf.DUMMYFUNCTION("""COMPUTED_VALUE"""),585.8)</f>
        <v>585.8</v>
      </c>
    </row>
    <row r="383">
      <c r="A383" s="1">
        <f>IFERROR(__xludf.DUMMYFUNCTION("""COMPUTED_VALUE"""),1000.0)</f>
        <v>1000</v>
      </c>
      <c r="B383" s="1">
        <f>IFERROR(__xludf.DUMMYFUNCTION("""COMPUTED_VALUE"""),183731.0)</f>
        <v>183731</v>
      </c>
      <c r="C383" s="1">
        <f>IFERROR(__xludf.DUMMYFUNCTION("""COMPUTED_VALUE"""),2026.0)</f>
        <v>2026</v>
      </c>
      <c r="D383" s="1">
        <f>IFERROR(__xludf.DUMMYFUNCTION("""COMPUTED_VALUE"""),46312.0)</f>
        <v>46312</v>
      </c>
      <c r="E383" s="1" t="str">
        <f>IFERROR(__xludf.DUMMYFUNCTION("""COMPUTED_VALUE"""),"VF")</f>
        <v>VF</v>
      </c>
      <c r="F383" s="1">
        <f>IFERROR(__xludf.DUMMYFUNCTION("""COMPUTED_VALUE"""),1.0)</f>
        <v>1</v>
      </c>
      <c r="G383" s="1" t="str">
        <f>IFERROR(__xludf.DUMMYFUNCTION("""COMPUTED_VALUE"""),"PR039")</f>
        <v>PR039</v>
      </c>
      <c r="H383" s="1" t="str">
        <f>IFERROR(__xludf.DUMMYFUNCTION("""COMPUTED_VALUE"""),"VD036")</f>
        <v>VD036</v>
      </c>
      <c r="I383" s="1">
        <f>IFERROR(__xludf.DUMMYFUNCTION("""COMPUTED_VALUE"""),7.0)</f>
        <v>7</v>
      </c>
      <c r="J383" s="1">
        <f>IFERROR(__xludf.DUMMYFUNCTION("""COMPUTED_VALUE"""),1124.2)</f>
        <v>1124.2</v>
      </c>
      <c r="K383" s="1">
        <f>IFERROR(__xludf.DUMMYFUNCTION("""COMPUTED_VALUE"""),1124.2)</f>
        <v>1124.2</v>
      </c>
    </row>
    <row r="384">
      <c r="A384" s="1">
        <f>IFERROR(__xludf.DUMMYFUNCTION("""COMPUTED_VALUE"""),2000.0)</f>
        <v>2000</v>
      </c>
      <c r="B384" s="1">
        <f>IFERROR(__xludf.DUMMYFUNCTION("""COMPUTED_VALUE"""),183732.0)</f>
        <v>183732</v>
      </c>
      <c r="C384" s="1">
        <f>IFERROR(__xludf.DUMMYFUNCTION("""COMPUTED_VALUE"""),2026.0)</f>
        <v>2026</v>
      </c>
      <c r="D384" s="1">
        <f>IFERROR(__xludf.DUMMYFUNCTION("""COMPUTED_VALUE"""),46311.0)</f>
        <v>46311</v>
      </c>
      <c r="E384" s="1" t="str">
        <f>IFERROR(__xludf.DUMMYFUNCTION("""COMPUTED_VALUE"""),"VF")</f>
        <v>VF</v>
      </c>
      <c r="F384" s="1">
        <f>IFERROR(__xludf.DUMMYFUNCTION("""COMPUTED_VALUE"""),1.0)</f>
        <v>1</v>
      </c>
      <c r="G384" s="1" t="str">
        <f>IFERROR(__xludf.DUMMYFUNCTION("""COMPUTED_VALUE"""),"PR039")</f>
        <v>PR039</v>
      </c>
      <c r="H384" s="1" t="str">
        <f>IFERROR(__xludf.DUMMYFUNCTION("""COMPUTED_VALUE"""),"VD032")</f>
        <v>VD032</v>
      </c>
      <c r="I384" s="1">
        <f>IFERROR(__xludf.DUMMYFUNCTION("""COMPUTED_VALUE"""),2.0)</f>
        <v>2</v>
      </c>
      <c r="J384" s="1">
        <f>IFERROR(__xludf.DUMMYFUNCTION("""COMPUTED_VALUE"""),312.44)</f>
        <v>312.44</v>
      </c>
      <c r="K384" s="1">
        <f>IFERROR(__xludf.DUMMYFUNCTION("""COMPUTED_VALUE"""),312.44)</f>
        <v>312.44</v>
      </c>
    </row>
    <row r="385">
      <c r="A385" s="1">
        <f>IFERROR(__xludf.DUMMYFUNCTION("""COMPUTED_VALUE"""),1000.0)</f>
        <v>1000</v>
      </c>
      <c r="B385" s="1">
        <f>IFERROR(__xludf.DUMMYFUNCTION("""COMPUTED_VALUE"""),183732.0)</f>
        <v>183732</v>
      </c>
      <c r="C385" s="1">
        <f>IFERROR(__xludf.DUMMYFUNCTION("""COMPUTED_VALUE"""),2026.0)</f>
        <v>2026</v>
      </c>
      <c r="D385" s="1">
        <f>IFERROR(__xludf.DUMMYFUNCTION("""COMPUTED_VALUE"""),46311.0)</f>
        <v>46311</v>
      </c>
      <c r="E385" s="1" t="str">
        <f>IFERROR(__xludf.DUMMYFUNCTION("""COMPUTED_VALUE"""),"VF")</f>
        <v>VF</v>
      </c>
      <c r="F385" s="1">
        <f>IFERROR(__xludf.DUMMYFUNCTION("""COMPUTED_VALUE"""),2.0)</f>
        <v>2</v>
      </c>
      <c r="G385" s="1" t="str">
        <f>IFERROR(__xludf.DUMMYFUNCTION("""COMPUTED_VALUE"""),"PR043")</f>
        <v>PR043</v>
      </c>
      <c r="H385" s="1" t="str">
        <f>IFERROR(__xludf.DUMMYFUNCTION("""COMPUTED_VALUE"""),"VD038")</f>
        <v>VD038</v>
      </c>
      <c r="I385" s="1">
        <f>IFERROR(__xludf.DUMMYFUNCTION("""COMPUTED_VALUE"""),3.0)</f>
        <v>3</v>
      </c>
      <c r="J385" s="1">
        <f>IFERROR(__xludf.DUMMYFUNCTION("""COMPUTED_VALUE"""),221.85)</f>
        <v>221.85</v>
      </c>
      <c r="K385" s="1">
        <f>IFERROR(__xludf.DUMMYFUNCTION("""COMPUTED_VALUE"""),221.85)</f>
        <v>221.85</v>
      </c>
    </row>
    <row r="386">
      <c r="A386" s="1">
        <f>IFERROR(__xludf.DUMMYFUNCTION("""COMPUTED_VALUE"""),1000.0)</f>
        <v>1000</v>
      </c>
      <c r="B386" s="1">
        <f>IFERROR(__xludf.DUMMYFUNCTION("""COMPUTED_VALUE"""),183733.0)</f>
        <v>183733</v>
      </c>
      <c r="C386" s="1">
        <f>IFERROR(__xludf.DUMMYFUNCTION("""COMPUTED_VALUE"""),2026.0)</f>
        <v>2026</v>
      </c>
      <c r="D386" s="1">
        <f>IFERROR(__xludf.DUMMYFUNCTION("""COMPUTED_VALUE"""),46310.0)</f>
        <v>46310</v>
      </c>
      <c r="E386" s="1" t="str">
        <f>IFERROR(__xludf.DUMMYFUNCTION("""COMPUTED_VALUE"""),"VF")</f>
        <v>VF</v>
      </c>
      <c r="F386" s="1">
        <f>IFERROR(__xludf.DUMMYFUNCTION("""COMPUTED_VALUE"""),1.0)</f>
        <v>1</v>
      </c>
      <c r="G386" s="1" t="str">
        <f>IFERROR(__xludf.DUMMYFUNCTION("""COMPUTED_VALUE"""),"PR005")</f>
        <v>PR005</v>
      </c>
      <c r="H386" s="1" t="str">
        <f>IFERROR(__xludf.DUMMYFUNCTION("""COMPUTED_VALUE"""),"VD021")</f>
        <v>VD021</v>
      </c>
      <c r="I386" s="1">
        <f>IFERROR(__xludf.DUMMYFUNCTION("""COMPUTED_VALUE"""),14.0)</f>
        <v>14</v>
      </c>
      <c r="J386" s="1">
        <f>IFERROR(__xludf.DUMMYFUNCTION("""COMPUTED_VALUE"""),3893.3)</f>
        <v>3893.3</v>
      </c>
      <c r="K386" s="1">
        <f>IFERROR(__xludf.DUMMYFUNCTION("""COMPUTED_VALUE"""),3893.3)</f>
        <v>3893.3</v>
      </c>
    </row>
    <row r="387">
      <c r="A387" s="1">
        <f>IFERROR(__xludf.DUMMYFUNCTION("""COMPUTED_VALUE"""),1000.0)</f>
        <v>1000</v>
      </c>
      <c r="B387" s="1">
        <f>IFERROR(__xludf.DUMMYFUNCTION("""COMPUTED_VALUE"""),183733.0)</f>
        <v>183733</v>
      </c>
      <c r="C387" s="1">
        <f>IFERROR(__xludf.DUMMYFUNCTION("""COMPUTED_VALUE"""),2026.0)</f>
        <v>2026</v>
      </c>
      <c r="D387" s="1">
        <f>IFERROR(__xludf.DUMMYFUNCTION("""COMPUTED_VALUE"""),46310.0)</f>
        <v>46310</v>
      </c>
      <c r="E387" s="1" t="str">
        <f>IFERROR(__xludf.DUMMYFUNCTION("""COMPUTED_VALUE"""),"VF")</f>
        <v>VF</v>
      </c>
      <c r="F387" s="1">
        <f>IFERROR(__xludf.DUMMYFUNCTION("""COMPUTED_VALUE"""),2.0)</f>
        <v>2</v>
      </c>
      <c r="G387" s="1" t="str">
        <f>IFERROR(__xludf.DUMMYFUNCTION("""COMPUTED_VALUE"""),"PR012")</f>
        <v>PR012</v>
      </c>
      <c r="H387" s="1" t="str">
        <f>IFERROR(__xludf.DUMMYFUNCTION("""COMPUTED_VALUE"""),"VD047")</f>
        <v>VD047</v>
      </c>
      <c r="I387" s="1">
        <f>IFERROR(__xludf.DUMMYFUNCTION("""COMPUTED_VALUE"""),2.0)</f>
        <v>2</v>
      </c>
      <c r="J387" s="1">
        <f>IFERROR(__xludf.DUMMYFUNCTION("""COMPUTED_VALUE"""),101.71)</f>
        <v>101.71</v>
      </c>
      <c r="K387" s="1">
        <f>IFERROR(__xludf.DUMMYFUNCTION("""COMPUTED_VALUE"""),101.71)</f>
        <v>101.71</v>
      </c>
    </row>
    <row r="388">
      <c r="A388" s="1">
        <f>IFERROR(__xludf.DUMMYFUNCTION("""COMPUTED_VALUE"""),2000.0)</f>
        <v>2000</v>
      </c>
      <c r="B388" s="1">
        <f>IFERROR(__xludf.DUMMYFUNCTION("""COMPUTED_VALUE"""),183733.0)</f>
        <v>183733</v>
      </c>
      <c r="C388" s="1">
        <f>IFERROR(__xludf.DUMMYFUNCTION("""COMPUTED_VALUE"""),2026.0)</f>
        <v>2026</v>
      </c>
      <c r="D388" s="1">
        <f>IFERROR(__xludf.DUMMYFUNCTION("""COMPUTED_VALUE"""),46310.0)</f>
        <v>46310</v>
      </c>
      <c r="E388" s="1" t="str">
        <f>IFERROR(__xludf.DUMMYFUNCTION("""COMPUTED_VALUE"""),"VF")</f>
        <v>VF</v>
      </c>
      <c r="F388" s="1">
        <f>IFERROR(__xludf.DUMMYFUNCTION("""COMPUTED_VALUE"""),3.0)</f>
        <v>3</v>
      </c>
      <c r="G388" s="1" t="str">
        <f>IFERROR(__xludf.DUMMYFUNCTION("""COMPUTED_VALUE"""),"PR039")</f>
        <v>PR039</v>
      </c>
      <c r="H388" s="1" t="str">
        <f>IFERROR(__xludf.DUMMYFUNCTION("""COMPUTED_VALUE"""),"VD042")</f>
        <v>VD042</v>
      </c>
      <c r="I388" s="1">
        <f>IFERROR(__xludf.DUMMYFUNCTION("""COMPUTED_VALUE"""),2.0)</f>
        <v>2</v>
      </c>
      <c r="J388" s="1">
        <f>IFERROR(__xludf.DUMMYFUNCTION("""COMPUTED_VALUE"""),292.0)</f>
        <v>292</v>
      </c>
      <c r="K388" s="1">
        <f>IFERROR(__xludf.DUMMYFUNCTION("""COMPUTED_VALUE"""),292.0)</f>
        <v>292</v>
      </c>
    </row>
    <row r="389">
      <c r="A389" s="1">
        <f>IFERROR(__xludf.DUMMYFUNCTION("""COMPUTED_VALUE"""),2000.0)</f>
        <v>2000</v>
      </c>
      <c r="B389" s="1">
        <f>IFERROR(__xludf.DUMMYFUNCTION("""COMPUTED_VALUE"""),183734.0)</f>
        <v>183734</v>
      </c>
      <c r="C389" s="1">
        <f>IFERROR(__xludf.DUMMYFUNCTION("""COMPUTED_VALUE"""),2026.0)</f>
        <v>2026</v>
      </c>
      <c r="D389" s="1">
        <f>IFERROR(__xludf.DUMMYFUNCTION("""COMPUTED_VALUE"""),46310.0)</f>
        <v>46310</v>
      </c>
      <c r="E389" s="1" t="str">
        <f>IFERROR(__xludf.DUMMYFUNCTION("""COMPUTED_VALUE"""),"VF")</f>
        <v>VF</v>
      </c>
      <c r="F389" s="1">
        <f>IFERROR(__xludf.DUMMYFUNCTION("""COMPUTED_VALUE"""),1.0)</f>
        <v>1</v>
      </c>
      <c r="G389" s="1" t="str">
        <f>IFERROR(__xludf.DUMMYFUNCTION("""COMPUTED_VALUE"""),"PR040")</f>
        <v>PR040</v>
      </c>
      <c r="H389" s="1" t="str">
        <f>IFERROR(__xludf.DUMMYFUNCTION("""COMPUTED_VALUE"""),"VD038")</f>
        <v>VD038</v>
      </c>
      <c r="I389" s="1">
        <f>IFERROR(__xludf.DUMMYFUNCTION("""COMPUTED_VALUE"""),2.0)</f>
        <v>2</v>
      </c>
      <c r="J389" s="1">
        <f>IFERROR(__xludf.DUMMYFUNCTION("""COMPUTED_VALUE"""),145.6)</f>
        <v>145.6</v>
      </c>
      <c r="K389" s="1">
        <f>IFERROR(__xludf.DUMMYFUNCTION("""COMPUTED_VALUE"""),145.6)</f>
        <v>145.6</v>
      </c>
    </row>
    <row r="390">
      <c r="A390" s="1">
        <f>IFERROR(__xludf.DUMMYFUNCTION("""COMPUTED_VALUE"""),1000.0)</f>
        <v>1000</v>
      </c>
      <c r="B390" s="1">
        <f>IFERROR(__xludf.DUMMYFUNCTION("""COMPUTED_VALUE"""),183735.0)</f>
        <v>183735</v>
      </c>
      <c r="C390" s="1">
        <f>IFERROR(__xludf.DUMMYFUNCTION("""COMPUTED_VALUE"""),2026.0)</f>
        <v>2026</v>
      </c>
      <c r="D390" s="1">
        <f>IFERROR(__xludf.DUMMYFUNCTION("""COMPUTED_VALUE"""),46309.0)</f>
        <v>46309</v>
      </c>
      <c r="E390" s="1" t="str">
        <f>IFERROR(__xludf.DUMMYFUNCTION("""COMPUTED_VALUE"""),"VF")</f>
        <v>VF</v>
      </c>
      <c r="F390" s="1">
        <f>IFERROR(__xludf.DUMMYFUNCTION("""COMPUTED_VALUE"""),1.0)</f>
        <v>1</v>
      </c>
      <c r="G390" s="1" t="str">
        <f>IFERROR(__xludf.DUMMYFUNCTION("""COMPUTED_VALUE"""),"PR053")</f>
        <v>PR053</v>
      </c>
      <c r="H390" s="1" t="str">
        <f>IFERROR(__xludf.DUMMYFUNCTION("""COMPUTED_VALUE"""),"VD031")</f>
        <v>VD031</v>
      </c>
      <c r="I390" s="1">
        <f>IFERROR(__xludf.DUMMYFUNCTION("""COMPUTED_VALUE"""),10.0)</f>
        <v>10</v>
      </c>
      <c r="J390" s="1">
        <f>IFERROR(__xludf.DUMMYFUNCTION("""COMPUTED_VALUE"""),523.95)</f>
        <v>523.95</v>
      </c>
      <c r="K390" s="1">
        <f>IFERROR(__xludf.DUMMYFUNCTION("""COMPUTED_VALUE"""),523.95)</f>
        <v>523.95</v>
      </c>
    </row>
    <row r="391">
      <c r="A391" s="1">
        <f>IFERROR(__xludf.DUMMYFUNCTION("""COMPUTED_VALUE"""),1000.0)</f>
        <v>1000</v>
      </c>
      <c r="B391" s="1">
        <f>IFERROR(__xludf.DUMMYFUNCTION("""COMPUTED_VALUE"""),183736.0)</f>
        <v>183736</v>
      </c>
      <c r="C391" s="1">
        <f>IFERROR(__xludf.DUMMYFUNCTION("""COMPUTED_VALUE"""),2026.0)</f>
        <v>2026</v>
      </c>
      <c r="D391" s="1">
        <f>IFERROR(__xludf.DUMMYFUNCTION("""COMPUTED_VALUE"""),46309.0)</f>
        <v>46309</v>
      </c>
      <c r="E391" s="1" t="str">
        <f>IFERROR(__xludf.DUMMYFUNCTION("""COMPUTED_VALUE"""),"VF")</f>
        <v>VF</v>
      </c>
      <c r="F391" s="1">
        <f>IFERROR(__xludf.DUMMYFUNCTION("""COMPUTED_VALUE"""),1.0)</f>
        <v>1</v>
      </c>
      <c r="G391" s="1" t="str">
        <f>IFERROR(__xludf.DUMMYFUNCTION("""COMPUTED_VALUE"""),"PR033")</f>
        <v>PR033</v>
      </c>
      <c r="H391" s="1" t="str">
        <f>IFERROR(__xludf.DUMMYFUNCTION("""COMPUTED_VALUE"""),"VD030")</f>
        <v>VD030</v>
      </c>
      <c r="I391" s="1">
        <f>IFERROR(__xludf.DUMMYFUNCTION("""COMPUTED_VALUE"""),10.0)</f>
        <v>10</v>
      </c>
      <c r="J391" s="1">
        <f>IFERROR(__xludf.DUMMYFUNCTION("""COMPUTED_VALUE"""),2858.9)</f>
        <v>2858.9</v>
      </c>
      <c r="K391" s="1">
        <f>IFERROR(__xludf.DUMMYFUNCTION("""COMPUTED_VALUE"""),2858.9)</f>
        <v>2858.9</v>
      </c>
    </row>
    <row r="392">
      <c r="A392" s="1">
        <f>IFERROR(__xludf.DUMMYFUNCTION("""COMPUTED_VALUE"""),2000.0)</f>
        <v>2000</v>
      </c>
      <c r="B392" s="1">
        <f>IFERROR(__xludf.DUMMYFUNCTION("""COMPUTED_VALUE"""),183736.0)</f>
        <v>183736</v>
      </c>
      <c r="C392" s="1">
        <f>IFERROR(__xludf.DUMMYFUNCTION("""COMPUTED_VALUE"""),2026.0)</f>
        <v>2026</v>
      </c>
      <c r="D392" s="1">
        <f>IFERROR(__xludf.DUMMYFUNCTION("""COMPUTED_VALUE"""),46309.0)</f>
        <v>46309</v>
      </c>
      <c r="E392" s="1" t="str">
        <f>IFERROR(__xludf.DUMMYFUNCTION("""COMPUTED_VALUE"""),"VF")</f>
        <v>VF</v>
      </c>
      <c r="F392" s="1">
        <f>IFERROR(__xludf.DUMMYFUNCTION("""COMPUTED_VALUE"""),2.0)</f>
        <v>2</v>
      </c>
      <c r="G392" s="1" t="str">
        <f>IFERROR(__xludf.DUMMYFUNCTION("""COMPUTED_VALUE"""),"PR045")</f>
        <v>PR045</v>
      </c>
      <c r="H392" s="1" t="str">
        <f>IFERROR(__xludf.DUMMYFUNCTION("""COMPUTED_VALUE"""),"VD026")</f>
        <v>VD026</v>
      </c>
      <c r="I392" s="1">
        <f>IFERROR(__xludf.DUMMYFUNCTION("""COMPUTED_VALUE"""),12.0)</f>
        <v>12</v>
      </c>
      <c r="J392" s="1">
        <f>IFERROR(__xludf.DUMMYFUNCTION("""COMPUTED_VALUE"""),913.5)</f>
        <v>913.5</v>
      </c>
      <c r="K392" s="1">
        <f>IFERROR(__xludf.DUMMYFUNCTION("""COMPUTED_VALUE"""),913.5)</f>
        <v>913.5</v>
      </c>
    </row>
    <row r="393">
      <c r="A393" s="1">
        <f>IFERROR(__xludf.DUMMYFUNCTION("""COMPUTED_VALUE"""),2000.0)</f>
        <v>2000</v>
      </c>
      <c r="B393" s="1">
        <f>IFERROR(__xludf.DUMMYFUNCTION("""COMPUTED_VALUE"""),183737.0)</f>
        <v>183737</v>
      </c>
      <c r="C393" s="1">
        <f>IFERROR(__xludf.DUMMYFUNCTION("""COMPUTED_VALUE"""),2026.0)</f>
        <v>2026</v>
      </c>
      <c r="D393" s="1">
        <f>IFERROR(__xludf.DUMMYFUNCTION("""COMPUTED_VALUE"""),46309.0)</f>
        <v>46309</v>
      </c>
      <c r="E393" s="1" t="str">
        <f>IFERROR(__xludf.DUMMYFUNCTION("""COMPUTED_VALUE"""),"VF")</f>
        <v>VF</v>
      </c>
      <c r="F393" s="1">
        <f>IFERROR(__xludf.DUMMYFUNCTION("""COMPUTED_VALUE"""),1.0)</f>
        <v>1</v>
      </c>
      <c r="G393" s="1" t="str">
        <f>IFERROR(__xludf.DUMMYFUNCTION("""COMPUTED_VALUE"""),"PR012")</f>
        <v>PR012</v>
      </c>
      <c r="H393" s="1" t="str">
        <f>IFERROR(__xludf.DUMMYFUNCTION("""COMPUTED_VALUE"""),"VD042")</f>
        <v>VD042</v>
      </c>
      <c r="I393" s="1">
        <f>IFERROR(__xludf.DUMMYFUNCTION("""COMPUTED_VALUE"""),10.0)</f>
        <v>10</v>
      </c>
      <c r="J393" s="1">
        <f>IFERROR(__xludf.DUMMYFUNCTION("""COMPUTED_VALUE"""),498.78)</f>
        <v>498.78</v>
      </c>
      <c r="K393" s="1">
        <f>IFERROR(__xludf.DUMMYFUNCTION("""COMPUTED_VALUE"""),498.78)</f>
        <v>498.78</v>
      </c>
    </row>
    <row r="394">
      <c r="A394" s="1">
        <f>IFERROR(__xludf.DUMMYFUNCTION("""COMPUTED_VALUE"""),1000.0)</f>
        <v>1000</v>
      </c>
      <c r="B394" s="1">
        <f>IFERROR(__xludf.DUMMYFUNCTION("""COMPUTED_VALUE"""),183738.0)</f>
        <v>183738</v>
      </c>
      <c r="C394" s="1">
        <f>IFERROR(__xludf.DUMMYFUNCTION("""COMPUTED_VALUE"""),2026.0)</f>
        <v>2026</v>
      </c>
      <c r="D394" s="1">
        <f>IFERROR(__xludf.DUMMYFUNCTION("""COMPUTED_VALUE"""),46308.0)</f>
        <v>46308</v>
      </c>
      <c r="E394" s="1" t="str">
        <f>IFERROR(__xludf.DUMMYFUNCTION("""COMPUTED_VALUE"""),"VF")</f>
        <v>VF</v>
      </c>
      <c r="F394" s="1">
        <f>IFERROR(__xludf.DUMMYFUNCTION("""COMPUTED_VALUE"""),1.0)</f>
        <v>1</v>
      </c>
      <c r="G394" s="1" t="str">
        <f>IFERROR(__xludf.DUMMYFUNCTION("""COMPUTED_VALUE"""),"PR002")</f>
        <v>PR002</v>
      </c>
      <c r="H394" s="1" t="str">
        <f>IFERROR(__xludf.DUMMYFUNCTION("""COMPUTED_VALUE"""),"VD037")</f>
        <v>VD037</v>
      </c>
      <c r="I394" s="1">
        <f>IFERROR(__xludf.DUMMYFUNCTION("""COMPUTED_VALUE"""),3.0)</f>
        <v>3</v>
      </c>
      <c r="J394" s="1">
        <f>IFERROR(__xludf.DUMMYFUNCTION("""COMPUTED_VALUE"""),215.99)</f>
        <v>215.99</v>
      </c>
      <c r="K394" s="1">
        <f>IFERROR(__xludf.DUMMYFUNCTION("""COMPUTED_VALUE"""),215.99)</f>
        <v>215.99</v>
      </c>
    </row>
    <row r="395">
      <c r="A395" s="1">
        <f>IFERROR(__xludf.DUMMYFUNCTION("""COMPUTED_VALUE"""),1000.0)</f>
        <v>1000</v>
      </c>
      <c r="B395" s="1">
        <f>IFERROR(__xludf.DUMMYFUNCTION("""COMPUTED_VALUE"""),183739.0)</f>
        <v>183739</v>
      </c>
      <c r="C395" s="1">
        <f>IFERROR(__xludf.DUMMYFUNCTION("""COMPUTED_VALUE"""),2026.0)</f>
        <v>2026</v>
      </c>
      <c r="D395" s="1">
        <f>IFERROR(__xludf.DUMMYFUNCTION("""COMPUTED_VALUE"""),46308.0)</f>
        <v>46308</v>
      </c>
      <c r="E395" s="1" t="str">
        <f>IFERROR(__xludf.DUMMYFUNCTION("""COMPUTED_VALUE"""),"VF")</f>
        <v>VF</v>
      </c>
      <c r="F395" s="1">
        <f>IFERROR(__xludf.DUMMYFUNCTION("""COMPUTED_VALUE"""),1.0)</f>
        <v>1</v>
      </c>
      <c r="G395" s="1" t="str">
        <f>IFERROR(__xludf.DUMMYFUNCTION("""COMPUTED_VALUE"""),"PR024")</f>
        <v>PR024</v>
      </c>
      <c r="H395" s="1" t="str">
        <f>IFERROR(__xludf.DUMMYFUNCTION("""COMPUTED_VALUE"""),"VD023")</f>
        <v>VD023</v>
      </c>
      <c r="I395" s="1">
        <f>IFERROR(__xludf.DUMMYFUNCTION("""COMPUTED_VALUE"""),9.0)</f>
        <v>9</v>
      </c>
      <c r="J395" s="1">
        <f>IFERROR(__xludf.DUMMYFUNCTION("""COMPUTED_VALUE"""),2549.62)</f>
        <v>2549.62</v>
      </c>
      <c r="K395" s="1">
        <f>IFERROR(__xludf.DUMMYFUNCTION("""COMPUTED_VALUE"""),2549.62)</f>
        <v>2549.62</v>
      </c>
    </row>
    <row r="396">
      <c r="A396" s="1">
        <f>IFERROR(__xludf.DUMMYFUNCTION("""COMPUTED_VALUE"""),1000.0)</f>
        <v>1000</v>
      </c>
      <c r="B396" s="1">
        <f>IFERROR(__xludf.DUMMYFUNCTION("""COMPUTED_VALUE"""),183740.0)</f>
        <v>183740</v>
      </c>
      <c r="C396" s="1">
        <f>IFERROR(__xludf.DUMMYFUNCTION("""COMPUTED_VALUE"""),2026.0)</f>
        <v>2026</v>
      </c>
      <c r="D396" s="1">
        <f>IFERROR(__xludf.DUMMYFUNCTION("""COMPUTED_VALUE"""),46308.0)</f>
        <v>46308</v>
      </c>
      <c r="E396" s="1" t="str">
        <f>IFERROR(__xludf.DUMMYFUNCTION("""COMPUTED_VALUE"""),"VF")</f>
        <v>VF</v>
      </c>
      <c r="F396" s="1">
        <f>IFERROR(__xludf.DUMMYFUNCTION("""COMPUTED_VALUE"""),1.0)</f>
        <v>1</v>
      </c>
      <c r="G396" s="1" t="str">
        <f>IFERROR(__xludf.DUMMYFUNCTION("""COMPUTED_VALUE"""),"PR039")</f>
        <v>PR039</v>
      </c>
      <c r="H396" s="1" t="str">
        <f>IFERROR(__xludf.DUMMYFUNCTION("""COMPUTED_VALUE"""),"VD028")</f>
        <v>VD028</v>
      </c>
      <c r="I396" s="1">
        <f>IFERROR(__xludf.DUMMYFUNCTION("""COMPUTED_VALUE"""),4.0)</f>
        <v>4</v>
      </c>
      <c r="J396" s="1">
        <f>IFERROR(__xludf.DUMMYFUNCTION("""COMPUTED_VALUE"""),601.52)</f>
        <v>601.52</v>
      </c>
      <c r="K396" s="1">
        <f>IFERROR(__xludf.DUMMYFUNCTION("""COMPUTED_VALUE"""),601.52)</f>
        <v>601.52</v>
      </c>
    </row>
    <row r="397">
      <c r="A397" s="1">
        <f>IFERROR(__xludf.DUMMYFUNCTION("""COMPUTED_VALUE"""),1000.0)</f>
        <v>1000</v>
      </c>
      <c r="B397" s="1">
        <f>IFERROR(__xludf.DUMMYFUNCTION("""COMPUTED_VALUE"""),183741.0)</f>
        <v>183741</v>
      </c>
      <c r="C397" s="1">
        <f>IFERROR(__xludf.DUMMYFUNCTION("""COMPUTED_VALUE"""),2026.0)</f>
        <v>2026</v>
      </c>
      <c r="D397" s="1">
        <f>IFERROR(__xludf.DUMMYFUNCTION("""COMPUTED_VALUE"""),46308.0)</f>
        <v>46308</v>
      </c>
      <c r="E397" s="1" t="str">
        <f>IFERROR(__xludf.DUMMYFUNCTION("""COMPUTED_VALUE"""),"VF")</f>
        <v>VF</v>
      </c>
      <c r="F397" s="1">
        <f>IFERROR(__xludf.DUMMYFUNCTION("""COMPUTED_VALUE"""),1.0)</f>
        <v>1</v>
      </c>
      <c r="G397" s="1" t="str">
        <f>IFERROR(__xludf.DUMMYFUNCTION("""COMPUTED_VALUE"""),"PR058")</f>
        <v>PR058</v>
      </c>
      <c r="H397" s="1" t="str">
        <f>IFERROR(__xludf.DUMMYFUNCTION("""COMPUTED_VALUE"""),"VD028")</f>
        <v>VD028</v>
      </c>
      <c r="I397" s="1">
        <f>IFERROR(__xludf.DUMMYFUNCTION("""COMPUTED_VALUE"""),3.0)</f>
        <v>3</v>
      </c>
      <c r="J397" s="1">
        <f>IFERROR(__xludf.DUMMYFUNCTION("""COMPUTED_VALUE"""),594.0)</f>
        <v>594</v>
      </c>
      <c r="K397" s="1">
        <f>IFERROR(__xludf.DUMMYFUNCTION("""COMPUTED_VALUE"""),594.0)</f>
        <v>594</v>
      </c>
    </row>
    <row r="398">
      <c r="A398" s="1">
        <f>IFERROR(__xludf.DUMMYFUNCTION("""COMPUTED_VALUE"""),1000.0)</f>
        <v>1000</v>
      </c>
      <c r="B398" s="1">
        <f>IFERROR(__xludf.DUMMYFUNCTION("""COMPUTED_VALUE"""),183742.0)</f>
        <v>183742</v>
      </c>
      <c r="C398" s="1">
        <f>IFERROR(__xludf.DUMMYFUNCTION("""COMPUTED_VALUE"""),2026.0)</f>
        <v>2026</v>
      </c>
      <c r="D398" s="1">
        <f>IFERROR(__xludf.DUMMYFUNCTION("""COMPUTED_VALUE"""),46307.0)</f>
        <v>46307</v>
      </c>
      <c r="E398" s="1" t="str">
        <f>IFERROR(__xludf.DUMMYFUNCTION("""COMPUTED_VALUE"""),"VF")</f>
        <v>VF</v>
      </c>
      <c r="F398" s="1">
        <f>IFERROR(__xludf.DUMMYFUNCTION("""COMPUTED_VALUE"""),1.0)</f>
        <v>1</v>
      </c>
      <c r="G398" s="1" t="str">
        <f>IFERROR(__xludf.DUMMYFUNCTION("""COMPUTED_VALUE"""),"PR027")</f>
        <v>PR027</v>
      </c>
      <c r="H398" s="1" t="str">
        <f>IFERROR(__xludf.DUMMYFUNCTION("""COMPUTED_VALUE"""),"VD040")</f>
        <v>VD040</v>
      </c>
      <c r="I398" s="1">
        <f>IFERROR(__xludf.DUMMYFUNCTION("""COMPUTED_VALUE"""),14.0)</f>
        <v>14</v>
      </c>
      <c r="J398" s="1">
        <f>IFERROR(__xludf.DUMMYFUNCTION("""COMPUTED_VALUE"""),1730.4)</f>
        <v>1730.4</v>
      </c>
      <c r="K398" s="1">
        <f>IFERROR(__xludf.DUMMYFUNCTION("""COMPUTED_VALUE"""),1730.4)</f>
        <v>1730.4</v>
      </c>
    </row>
    <row r="399">
      <c r="A399" s="1">
        <f>IFERROR(__xludf.DUMMYFUNCTION("""COMPUTED_VALUE"""),1000.0)</f>
        <v>1000</v>
      </c>
      <c r="B399" s="1">
        <f>IFERROR(__xludf.DUMMYFUNCTION("""COMPUTED_VALUE"""),183743.0)</f>
        <v>183743</v>
      </c>
      <c r="C399" s="1">
        <f>IFERROR(__xludf.DUMMYFUNCTION("""COMPUTED_VALUE"""),2026.0)</f>
        <v>2026</v>
      </c>
      <c r="D399" s="1">
        <f>IFERROR(__xludf.DUMMYFUNCTION("""COMPUTED_VALUE"""),46307.0)</f>
        <v>46307</v>
      </c>
      <c r="E399" s="1" t="str">
        <f>IFERROR(__xludf.DUMMYFUNCTION("""COMPUTED_VALUE"""),"VF")</f>
        <v>VF</v>
      </c>
      <c r="F399" s="1">
        <f>IFERROR(__xludf.DUMMYFUNCTION("""COMPUTED_VALUE"""),1.0)</f>
        <v>1</v>
      </c>
      <c r="G399" s="1" t="str">
        <f>IFERROR(__xludf.DUMMYFUNCTION("""COMPUTED_VALUE"""),"PR003")</f>
        <v>PR003</v>
      </c>
      <c r="H399" s="1" t="str">
        <f>IFERROR(__xludf.DUMMYFUNCTION("""COMPUTED_VALUE"""),"VD029")</f>
        <v>VD029</v>
      </c>
      <c r="I399" s="1">
        <f>IFERROR(__xludf.DUMMYFUNCTION("""COMPUTED_VALUE"""),24.0)</f>
        <v>24</v>
      </c>
      <c r="J399" s="1">
        <f>IFERROR(__xludf.DUMMYFUNCTION("""COMPUTED_VALUE"""),1769.66)</f>
        <v>1769.66</v>
      </c>
      <c r="K399" s="1">
        <f>IFERROR(__xludf.DUMMYFUNCTION("""COMPUTED_VALUE"""),1769.66)</f>
        <v>1769.66</v>
      </c>
    </row>
    <row r="400">
      <c r="A400" s="1">
        <f>IFERROR(__xludf.DUMMYFUNCTION("""COMPUTED_VALUE"""),1000.0)</f>
        <v>1000</v>
      </c>
      <c r="B400" s="1">
        <f>IFERROR(__xludf.DUMMYFUNCTION("""COMPUTED_VALUE"""),183744.0)</f>
        <v>183744</v>
      </c>
      <c r="C400" s="1">
        <f>IFERROR(__xludf.DUMMYFUNCTION("""COMPUTED_VALUE"""),2026.0)</f>
        <v>2026</v>
      </c>
      <c r="D400" s="1">
        <f>IFERROR(__xludf.DUMMYFUNCTION("""COMPUTED_VALUE"""),46307.0)</f>
        <v>46307</v>
      </c>
      <c r="E400" s="1" t="str">
        <f>IFERROR(__xludf.DUMMYFUNCTION("""COMPUTED_VALUE"""),"VF")</f>
        <v>VF</v>
      </c>
      <c r="F400" s="1">
        <f>IFERROR(__xludf.DUMMYFUNCTION("""COMPUTED_VALUE"""),1.0)</f>
        <v>1</v>
      </c>
      <c r="G400" s="1" t="str">
        <f>IFERROR(__xludf.DUMMYFUNCTION("""COMPUTED_VALUE"""),"PR032")</f>
        <v>PR032</v>
      </c>
      <c r="H400" s="1" t="str">
        <f>IFERROR(__xludf.DUMMYFUNCTION("""COMPUTED_VALUE"""),"VD016")</f>
        <v>VD016</v>
      </c>
      <c r="I400" s="1">
        <f>IFERROR(__xludf.DUMMYFUNCTION("""COMPUTED_VALUE"""),4.0)</f>
        <v>4</v>
      </c>
      <c r="J400" s="1">
        <f>IFERROR(__xludf.DUMMYFUNCTION("""COMPUTED_VALUE"""),1060.0)</f>
        <v>1060</v>
      </c>
      <c r="K400" s="1">
        <f>IFERROR(__xludf.DUMMYFUNCTION("""COMPUTED_VALUE"""),1060.0)</f>
        <v>1060</v>
      </c>
    </row>
    <row r="401">
      <c r="A401" s="1">
        <f>IFERROR(__xludf.DUMMYFUNCTION("""COMPUTED_VALUE"""),2000.0)</f>
        <v>2000</v>
      </c>
      <c r="B401" s="1">
        <f>IFERROR(__xludf.DUMMYFUNCTION("""COMPUTED_VALUE"""),183745.0)</f>
        <v>183745</v>
      </c>
      <c r="C401" s="1">
        <f>IFERROR(__xludf.DUMMYFUNCTION("""COMPUTED_VALUE"""),2026.0)</f>
        <v>2026</v>
      </c>
      <c r="D401" s="1">
        <f>IFERROR(__xludf.DUMMYFUNCTION("""COMPUTED_VALUE"""),46307.0)</f>
        <v>46307</v>
      </c>
      <c r="E401" s="1" t="str">
        <f>IFERROR(__xludf.DUMMYFUNCTION("""COMPUTED_VALUE"""),"VF")</f>
        <v>VF</v>
      </c>
      <c r="F401" s="1">
        <f>IFERROR(__xludf.DUMMYFUNCTION("""COMPUTED_VALUE"""),1.0)</f>
        <v>1</v>
      </c>
      <c r="G401" s="1" t="str">
        <f>IFERROR(__xludf.DUMMYFUNCTION("""COMPUTED_VALUE"""),"PR049")</f>
        <v>PR049</v>
      </c>
      <c r="H401" s="1" t="str">
        <f>IFERROR(__xludf.DUMMYFUNCTION("""COMPUTED_VALUE"""),"VD015")</f>
        <v>VD015</v>
      </c>
      <c r="I401" s="1">
        <f>IFERROR(__xludf.DUMMYFUNCTION("""COMPUTED_VALUE"""),12.0)</f>
        <v>12</v>
      </c>
      <c r="J401" s="1">
        <f>IFERROR(__xludf.DUMMYFUNCTION("""COMPUTED_VALUE"""),406.64)</f>
        <v>406.64</v>
      </c>
      <c r="K401" s="1">
        <f>IFERROR(__xludf.DUMMYFUNCTION("""COMPUTED_VALUE"""),406.64)</f>
        <v>406.64</v>
      </c>
    </row>
    <row r="402">
      <c r="A402" s="1">
        <f>IFERROR(__xludf.DUMMYFUNCTION("""COMPUTED_VALUE"""),1000.0)</f>
        <v>1000</v>
      </c>
      <c r="B402" s="1">
        <f>IFERROR(__xludf.DUMMYFUNCTION("""COMPUTED_VALUE"""),183746.0)</f>
        <v>183746</v>
      </c>
      <c r="C402" s="1">
        <f>IFERROR(__xludf.DUMMYFUNCTION("""COMPUTED_VALUE"""),2026.0)</f>
        <v>2026</v>
      </c>
      <c r="D402" s="1">
        <f>IFERROR(__xludf.DUMMYFUNCTION("""COMPUTED_VALUE"""),46307.0)</f>
        <v>46307</v>
      </c>
      <c r="E402" s="1" t="str">
        <f>IFERROR(__xludf.DUMMYFUNCTION("""COMPUTED_VALUE"""),"VF")</f>
        <v>VF</v>
      </c>
      <c r="F402" s="1">
        <f>IFERROR(__xludf.DUMMYFUNCTION("""COMPUTED_VALUE"""),1.0)</f>
        <v>1</v>
      </c>
      <c r="G402" s="1" t="str">
        <f>IFERROR(__xludf.DUMMYFUNCTION("""COMPUTED_VALUE"""),"PR011")</f>
        <v>PR011</v>
      </c>
      <c r="H402" s="1" t="str">
        <f>IFERROR(__xludf.DUMMYFUNCTION("""COMPUTED_VALUE"""),"VD016")</f>
        <v>VD016</v>
      </c>
      <c r="I402" s="1">
        <f>IFERROR(__xludf.DUMMYFUNCTION("""COMPUTED_VALUE"""),18.0)</f>
        <v>18</v>
      </c>
      <c r="J402" s="1">
        <f>IFERROR(__xludf.DUMMYFUNCTION("""COMPUTED_VALUE"""),903.29)</f>
        <v>903.29</v>
      </c>
      <c r="K402" s="1">
        <f>IFERROR(__xludf.DUMMYFUNCTION("""COMPUTED_VALUE"""),903.29)</f>
        <v>903.29</v>
      </c>
    </row>
    <row r="403">
      <c r="A403" s="1">
        <f>IFERROR(__xludf.DUMMYFUNCTION("""COMPUTED_VALUE"""),1000.0)</f>
        <v>1000</v>
      </c>
      <c r="B403" s="1">
        <f>IFERROR(__xludf.DUMMYFUNCTION("""COMPUTED_VALUE"""),183746.0)</f>
        <v>183746</v>
      </c>
      <c r="C403" s="1">
        <f>IFERROR(__xludf.DUMMYFUNCTION("""COMPUTED_VALUE"""),2026.0)</f>
        <v>2026</v>
      </c>
      <c r="D403" s="1">
        <f>IFERROR(__xludf.DUMMYFUNCTION("""COMPUTED_VALUE"""),46306.0)</f>
        <v>46306</v>
      </c>
      <c r="E403" s="1" t="str">
        <f>IFERROR(__xludf.DUMMYFUNCTION("""COMPUTED_VALUE"""),"VF")</f>
        <v>VF</v>
      </c>
      <c r="F403" s="1">
        <f>IFERROR(__xludf.DUMMYFUNCTION("""COMPUTED_VALUE"""),2.0)</f>
        <v>2</v>
      </c>
      <c r="G403" s="1" t="str">
        <f>IFERROR(__xludf.DUMMYFUNCTION("""COMPUTED_VALUE"""),"PR015")</f>
        <v>PR015</v>
      </c>
      <c r="H403" s="1" t="str">
        <f>IFERROR(__xludf.DUMMYFUNCTION("""COMPUTED_VALUE"""),"VD028")</f>
        <v>VD028</v>
      </c>
      <c r="I403" s="1">
        <f>IFERROR(__xludf.DUMMYFUNCTION("""COMPUTED_VALUE"""),1.0)</f>
        <v>1</v>
      </c>
      <c r="J403" s="1">
        <f>IFERROR(__xludf.DUMMYFUNCTION("""COMPUTED_VALUE"""),42.93)</f>
        <v>42.93</v>
      </c>
      <c r="K403" s="1">
        <f>IFERROR(__xludf.DUMMYFUNCTION("""COMPUTED_VALUE"""),42.93)</f>
        <v>42.93</v>
      </c>
    </row>
    <row r="404">
      <c r="A404" s="1">
        <f>IFERROR(__xludf.DUMMYFUNCTION("""COMPUTED_VALUE"""),1000.0)</f>
        <v>1000</v>
      </c>
      <c r="B404" s="1">
        <f>IFERROR(__xludf.DUMMYFUNCTION("""COMPUTED_VALUE"""),183747.0)</f>
        <v>183747</v>
      </c>
      <c r="C404" s="1">
        <f>IFERROR(__xludf.DUMMYFUNCTION("""COMPUTED_VALUE"""),2026.0)</f>
        <v>2026</v>
      </c>
      <c r="D404" s="1">
        <f>IFERROR(__xludf.DUMMYFUNCTION("""COMPUTED_VALUE"""),46306.0)</f>
        <v>46306</v>
      </c>
      <c r="E404" s="1" t="str">
        <f>IFERROR(__xludf.DUMMYFUNCTION("""COMPUTED_VALUE"""),"VF")</f>
        <v>VF</v>
      </c>
      <c r="F404" s="1">
        <f>IFERROR(__xludf.DUMMYFUNCTION("""COMPUTED_VALUE"""),1.0)</f>
        <v>1</v>
      </c>
      <c r="G404" s="1" t="str">
        <f>IFERROR(__xludf.DUMMYFUNCTION("""COMPUTED_VALUE"""),"PR025")</f>
        <v>PR025</v>
      </c>
      <c r="H404" s="1" t="str">
        <f>IFERROR(__xludf.DUMMYFUNCTION("""COMPUTED_VALUE"""),"VD025")</f>
        <v>VD025</v>
      </c>
      <c r="I404" s="1">
        <f>IFERROR(__xludf.DUMMYFUNCTION("""COMPUTED_VALUE"""),16.0)</f>
        <v>16</v>
      </c>
      <c r="J404" s="1">
        <f>IFERROR(__xludf.DUMMYFUNCTION("""COMPUTED_VALUE"""),4942.35)</f>
        <v>4942.35</v>
      </c>
      <c r="K404" s="1">
        <f>IFERROR(__xludf.DUMMYFUNCTION("""COMPUTED_VALUE"""),4942.35)</f>
        <v>4942.35</v>
      </c>
    </row>
    <row r="405">
      <c r="A405" s="1">
        <f>IFERROR(__xludf.DUMMYFUNCTION("""COMPUTED_VALUE"""),2000.0)</f>
        <v>2000</v>
      </c>
      <c r="B405" s="1">
        <f>IFERROR(__xludf.DUMMYFUNCTION("""COMPUTED_VALUE"""),183748.0)</f>
        <v>183748</v>
      </c>
      <c r="C405" s="1">
        <f>IFERROR(__xludf.DUMMYFUNCTION("""COMPUTED_VALUE"""),2026.0)</f>
        <v>2026</v>
      </c>
      <c r="D405" s="1">
        <f>IFERROR(__xludf.DUMMYFUNCTION("""COMPUTED_VALUE"""),46306.0)</f>
        <v>46306</v>
      </c>
      <c r="E405" s="1" t="str">
        <f>IFERROR(__xludf.DUMMYFUNCTION("""COMPUTED_VALUE"""),"VF")</f>
        <v>VF</v>
      </c>
      <c r="F405" s="1">
        <f>IFERROR(__xludf.DUMMYFUNCTION("""COMPUTED_VALUE"""),1.0)</f>
        <v>1</v>
      </c>
      <c r="G405" s="1" t="str">
        <f>IFERROR(__xludf.DUMMYFUNCTION("""COMPUTED_VALUE"""),"PR023")</f>
        <v>PR023</v>
      </c>
      <c r="H405" s="1" t="str">
        <f>IFERROR(__xludf.DUMMYFUNCTION("""COMPUTED_VALUE"""),"VD047")</f>
        <v>VD047</v>
      </c>
      <c r="I405" s="1">
        <f>IFERROR(__xludf.DUMMYFUNCTION("""COMPUTED_VALUE"""),2.0)</f>
        <v>2</v>
      </c>
      <c r="J405" s="1">
        <f>IFERROR(__xludf.DUMMYFUNCTION("""COMPUTED_VALUE"""),539.78)</f>
        <v>539.78</v>
      </c>
      <c r="K405" s="1">
        <f>IFERROR(__xludf.DUMMYFUNCTION("""COMPUTED_VALUE"""),539.78)</f>
        <v>539.78</v>
      </c>
    </row>
    <row r="406">
      <c r="A406" s="1">
        <f>IFERROR(__xludf.DUMMYFUNCTION("""COMPUTED_VALUE"""),1000.0)</f>
        <v>1000</v>
      </c>
      <c r="B406" s="1">
        <f>IFERROR(__xludf.DUMMYFUNCTION("""COMPUTED_VALUE"""),183748.0)</f>
        <v>183748</v>
      </c>
      <c r="C406" s="1">
        <f>IFERROR(__xludf.DUMMYFUNCTION("""COMPUTED_VALUE"""),2026.0)</f>
        <v>2026</v>
      </c>
      <c r="D406" s="1">
        <f>IFERROR(__xludf.DUMMYFUNCTION("""COMPUTED_VALUE"""),46306.0)</f>
        <v>46306</v>
      </c>
      <c r="E406" s="1" t="str">
        <f>IFERROR(__xludf.DUMMYFUNCTION("""COMPUTED_VALUE"""),"VF")</f>
        <v>VF</v>
      </c>
      <c r="F406" s="1">
        <f>IFERROR(__xludf.DUMMYFUNCTION("""COMPUTED_VALUE"""),2.0)</f>
        <v>2</v>
      </c>
      <c r="G406" s="1" t="str">
        <f>IFERROR(__xludf.DUMMYFUNCTION("""COMPUTED_VALUE"""),"PR031")</f>
        <v>PR031</v>
      </c>
      <c r="H406" s="1" t="str">
        <f>IFERROR(__xludf.DUMMYFUNCTION("""COMPUTED_VALUE"""),"VD035")</f>
        <v>VD035</v>
      </c>
      <c r="I406" s="1">
        <f>IFERROR(__xludf.DUMMYFUNCTION("""COMPUTED_VALUE"""),9.0)</f>
        <v>9</v>
      </c>
      <c r="J406" s="1">
        <f>IFERROR(__xludf.DUMMYFUNCTION("""COMPUTED_VALUE"""),2337.3)</f>
        <v>2337.3</v>
      </c>
      <c r="K406" s="1">
        <f>IFERROR(__xludf.DUMMYFUNCTION("""COMPUTED_VALUE"""),2337.3)</f>
        <v>2337.3</v>
      </c>
    </row>
    <row r="407">
      <c r="A407" s="1">
        <f>IFERROR(__xludf.DUMMYFUNCTION("""COMPUTED_VALUE"""),1000.0)</f>
        <v>1000</v>
      </c>
      <c r="B407" s="1">
        <f>IFERROR(__xludf.DUMMYFUNCTION("""COMPUTED_VALUE"""),183748.0)</f>
        <v>183748</v>
      </c>
      <c r="C407" s="1">
        <f>IFERROR(__xludf.DUMMYFUNCTION("""COMPUTED_VALUE"""),2026.0)</f>
        <v>2026</v>
      </c>
      <c r="D407" s="1">
        <f>IFERROR(__xludf.DUMMYFUNCTION("""COMPUTED_VALUE"""),46305.0)</f>
        <v>46305</v>
      </c>
      <c r="E407" s="1" t="str">
        <f>IFERROR(__xludf.DUMMYFUNCTION("""COMPUTED_VALUE"""),"VF")</f>
        <v>VF</v>
      </c>
      <c r="F407" s="1">
        <f>IFERROR(__xludf.DUMMYFUNCTION("""COMPUTED_VALUE"""),3.0)</f>
        <v>3</v>
      </c>
      <c r="G407" s="1" t="str">
        <f>IFERROR(__xludf.DUMMYFUNCTION("""COMPUTED_VALUE"""),"PR004")</f>
        <v>PR004</v>
      </c>
      <c r="H407" s="1" t="str">
        <f>IFERROR(__xludf.DUMMYFUNCTION("""COMPUTED_VALUE"""),"VD030")</f>
        <v>VD030</v>
      </c>
      <c r="I407" s="1">
        <f>IFERROR(__xludf.DUMMYFUNCTION("""COMPUTED_VALUE"""),5.0)</f>
        <v>5</v>
      </c>
      <c r="J407" s="1">
        <f>IFERROR(__xludf.DUMMYFUNCTION("""COMPUTED_VALUE"""),768.5)</f>
        <v>768.5</v>
      </c>
      <c r="K407" s="1">
        <f>IFERROR(__xludf.DUMMYFUNCTION("""COMPUTED_VALUE"""),768.5)</f>
        <v>768.5</v>
      </c>
    </row>
    <row r="408">
      <c r="A408" s="1">
        <f>IFERROR(__xludf.DUMMYFUNCTION("""COMPUTED_VALUE"""),1000.0)</f>
        <v>1000</v>
      </c>
      <c r="B408" s="1">
        <f>IFERROR(__xludf.DUMMYFUNCTION("""COMPUTED_VALUE"""),183749.0)</f>
        <v>183749</v>
      </c>
      <c r="C408" s="1">
        <f>IFERROR(__xludf.DUMMYFUNCTION("""COMPUTED_VALUE"""),2026.0)</f>
        <v>2026</v>
      </c>
      <c r="D408" s="1">
        <f>IFERROR(__xludf.DUMMYFUNCTION("""COMPUTED_VALUE"""),46305.0)</f>
        <v>46305</v>
      </c>
      <c r="E408" s="1" t="str">
        <f>IFERROR(__xludf.DUMMYFUNCTION("""COMPUTED_VALUE"""),"VF")</f>
        <v>VF</v>
      </c>
      <c r="F408" s="1">
        <f>IFERROR(__xludf.DUMMYFUNCTION("""COMPUTED_VALUE"""),1.0)</f>
        <v>1</v>
      </c>
      <c r="G408" s="1" t="str">
        <f>IFERROR(__xludf.DUMMYFUNCTION("""COMPUTED_VALUE"""),"PR001")</f>
        <v>PR001</v>
      </c>
      <c r="H408" s="1" t="str">
        <f>IFERROR(__xludf.DUMMYFUNCTION("""COMPUTED_VALUE"""),"VD037")</f>
        <v>VD037</v>
      </c>
      <c r="I408" s="1">
        <f>IFERROR(__xludf.DUMMYFUNCTION("""COMPUTED_VALUE"""),4.0)</f>
        <v>4</v>
      </c>
      <c r="J408" s="1">
        <f>IFERROR(__xludf.DUMMYFUNCTION("""COMPUTED_VALUE"""),263.6)</f>
        <v>263.6</v>
      </c>
      <c r="K408" s="1">
        <f>IFERROR(__xludf.DUMMYFUNCTION("""COMPUTED_VALUE"""),263.6)</f>
        <v>263.6</v>
      </c>
    </row>
    <row r="409">
      <c r="A409" s="1">
        <f>IFERROR(__xludf.DUMMYFUNCTION("""COMPUTED_VALUE"""),1000.0)</f>
        <v>1000</v>
      </c>
      <c r="B409" s="1">
        <f>IFERROR(__xludf.DUMMYFUNCTION("""COMPUTED_VALUE"""),183750.0)</f>
        <v>183750</v>
      </c>
      <c r="C409" s="1">
        <f>IFERROR(__xludf.DUMMYFUNCTION("""COMPUTED_VALUE"""),2026.0)</f>
        <v>2026</v>
      </c>
      <c r="D409" s="1">
        <f>IFERROR(__xludf.DUMMYFUNCTION("""COMPUTED_VALUE"""),46305.0)</f>
        <v>46305</v>
      </c>
      <c r="E409" s="1" t="str">
        <f>IFERROR(__xludf.DUMMYFUNCTION("""COMPUTED_VALUE"""),"VF")</f>
        <v>VF</v>
      </c>
      <c r="F409" s="1">
        <f>IFERROR(__xludf.DUMMYFUNCTION("""COMPUTED_VALUE"""),1.0)</f>
        <v>1</v>
      </c>
      <c r="G409" s="1" t="str">
        <f>IFERROR(__xludf.DUMMYFUNCTION("""COMPUTED_VALUE"""),"PR006")</f>
        <v>PR006</v>
      </c>
      <c r="H409" s="1" t="str">
        <f>IFERROR(__xludf.DUMMYFUNCTION("""COMPUTED_VALUE"""),"VD025")</f>
        <v>VD025</v>
      </c>
      <c r="I409" s="1">
        <f>IFERROR(__xludf.DUMMYFUNCTION("""COMPUTED_VALUE"""),8.0)</f>
        <v>8</v>
      </c>
      <c r="J409" s="1">
        <f>IFERROR(__xludf.DUMMYFUNCTION("""COMPUTED_VALUE"""),328.78)</f>
        <v>328.78</v>
      </c>
      <c r="K409" s="1">
        <f>IFERROR(__xludf.DUMMYFUNCTION("""COMPUTED_VALUE"""),328.78)</f>
        <v>328.78</v>
      </c>
    </row>
    <row r="410">
      <c r="A410" s="1">
        <f>IFERROR(__xludf.DUMMYFUNCTION("""COMPUTED_VALUE"""),1000.0)</f>
        <v>1000</v>
      </c>
      <c r="B410" s="1">
        <f>IFERROR(__xludf.DUMMYFUNCTION("""COMPUTED_VALUE"""),183751.0)</f>
        <v>183751</v>
      </c>
      <c r="C410" s="1">
        <f>IFERROR(__xludf.DUMMYFUNCTION("""COMPUTED_VALUE"""),2026.0)</f>
        <v>2026</v>
      </c>
      <c r="D410" s="1">
        <f>IFERROR(__xludf.DUMMYFUNCTION("""COMPUTED_VALUE"""),46305.0)</f>
        <v>46305</v>
      </c>
      <c r="E410" s="1" t="str">
        <f>IFERROR(__xludf.DUMMYFUNCTION("""COMPUTED_VALUE"""),"VF")</f>
        <v>VF</v>
      </c>
      <c r="F410" s="1">
        <f>IFERROR(__xludf.DUMMYFUNCTION("""COMPUTED_VALUE"""),1.0)</f>
        <v>1</v>
      </c>
      <c r="G410" s="1" t="str">
        <f>IFERROR(__xludf.DUMMYFUNCTION("""COMPUTED_VALUE"""),"PR019")</f>
        <v>PR019</v>
      </c>
      <c r="H410" s="1" t="str">
        <f>IFERROR(__xludf.DUMMYFUNCTION("""COMPUTED_VALUE"""),"VD030")</f>
        <v>VD030</v>
      </c>
      <c r="I410" s="1">
        <f>IFERROR(__xludf.DUMMYFUNCTION("""COMPUTED_VALUE"""),6.0)</f>
        <v>6</v>
      </c>
      <c r="J410" s="1">
        <f>IFERROR(__xludf.DUMMYFUNCTION("""COMPUTED_VALUE"""),299.4)</f>
        <v>299.4</v>
      </c>
      <c r="K410" s="1">
        <f>IFERROR(__xludf.DUMMYFUNCTION("""COMPUTED_VALUE"""),299.4)</f>
        <v>299.4</v>
      </c>
    </row>
    <row r="411">
      <c r="A411" s="1">
        <f>IFERROR(__xludf.DUMMYFUNCTION("""COMPUTED_VALUE"""),1000.0)</f>
        <v>1000</v>
      </c>
      <c r="B411" s="1">
        <f>IFERROR(__xludf.DUMMYFUNCTION("""COMPUTED_VALUE"""),183752.0)</f>
        <v>183752</v>
      </c>
      <c r="C411" s="1">
        <f>IFERROR(__xludf.DUMMYFUNCTION("""COMPUTED_VALUE"""),2026.0)</f>
        <v>2026</v>
      </c>
      <c r="D411" s="1">
        <f>IFERROR(__xludf.DUMMYFUNCTION("""COMPUTED_VALUE"""),46305.0)</f>
        <v>46305</v>
      </c>
      <c r="E411" s="1" t="str">
        <f>IFERROR(__xludf.DUMMYFUNCTION("""COMPUTED_VALUE"""),"VF")</f>
        <v>VF</v>
      </c>
      <c r="F411" s="1">
        <f>IFERROR(__xludf.DUMMYFUNCTION("""COMPUTED_VALUE"""),1.0)</f>
        <v>1</v>
      </c>
      <c r="G411" s="1" t="str">
        <f>IFERROR(__xludf.DUMMYFUNCTION("""COMPUTED_VALUE"""),"PR048")</f>
        <v>PR048</v>
      </c>
      <c r="H411" s="1" t="str">
        <f>IFERROR(__xludf.DUMMYFUNCTION("""COMPUTED_VALUE"""),"VD037")</f>
        <v>VD037</v>
      </c>
      <c r="I411" s="1">
        <f>IFERROR(__xludf.DUMMYFUNCTION("""COMPUTED_VALUE"""),6.0)</f>
        <v>6</v>
      </c>
      <c r="J411" s="1">
        <f>IFERROR(__xludf.DUMMYFUNCTION("""COMPUTED_VALUE"""),1861.16)</f>
        <v>1861.16</v>
      </c>
      <c r="K411" s="1">
        <f>IFERROR(__xludf.DUMMYFUNCTION("""COMPUTED_VALUE"""),1861.16)</f>
        <v>1861.16</v>
      </c>
    </row>
    <row r="412">
      <c r="A412" s="1">
        <f>IFERROR(__xludf.DUMMYFUNCTION("""COMPUTED_VALUE"""),2000.0)</f>
        <v>2000</v>
      </c>
      <c r="B412" s="1">
        <f>IFERROR(__xludf.DUMMYFUNCTION("""COMPUTED_VALUE"""),183753.0)</f>
        <v>183753</v>
      </c>
      <c r="C412" s="1">
        <f>IFERROR(__xludf.DUMMYFUNCTION("""COMPUTED_VALUE"""),2026.0)</f>
        <v>2026</v>
      </c>
      <c r="D412" s="1">
        <f>IFERROR(__xludf.DUMMYFUNCTION("""COMPUTED_VALUE"""),46305.0)</f>
        <v>46305</v>
      </c>
      <c r="E412" s="1" t="str">
        <f>IFERROR(__xludf.DUMMYFUNCTION("""COMPUTED_VALUE"""),"VF")</f>
        <v>VF</v>
      </c>
      <c r="F412" s="1">
        <f>IFERROR(__xludf.DUMMYFUNCTION("""COMPUTED_VALUE"""),1.0)</f>
        <v>1</v>
      </c>
      <c r="G412" s="1" t="str">
        <f>IFERROR(__xludf.DUMMYFUNCTION("""COMPUTED_VALUE"""),"PR060")</f>
        <v>PR060</v>
      </c>
      <c r="H412" s="1" t="str">
        <f>IFERROR(__xludf.DUMMYFUNCTION("""COMPUTED_VALUE"""),"VD032")</f>
        <v>VD032</v>
      </c>
      <c r="I412" s="1">
        <f>IFERROR(__xludf.DUMMYFUNCTION("""COMPUTED_VALUE"""),30.0)</f>
        <v>30</v>
      </c>
      <c r="J412" s="1">
        <f>IFERROR(__xludf.DUMMYFUNCTION("""COMPUTED_VALUE"""),5832.0)</f>
        <v>5832</v>
      </c>
      <c r="K412" s="1">
        <f>IFERROR(__xludf.DUMMYFUNCTION("""COMPUTED_VALUE"""),5832.0)</f>
        <v>5832</v>
      </c>
    </row>
    <row r="413">
      <c r="A413" s="1">
        <f>IFERROR(__xludf.DUMMYFUNCTION("""COMPUTED_VALUE"""),1000.0)</f>
        <v>1000</v>
      </c>
      <c r="B413" s="1">
        <f>IFERROR(__xludf.DUMMYFUNCTION("""COMPUTED_VALUE"""),183754.0)</f>
        <v>183754</v>
      </c>
      <c r="C413" s="1">
        <f>IFERROR(__xludf.DUMMYFUNCTION("""COMPUTED_VALUE"""),2026.0)</f>
        <v>2026</v>
      </c>
      <c r="D413" s="1">
        <f>IFERROR(__xludf.DUMMYFUNCTION("""COMPUTED_VALUE"""),46305.0)</f>
        <v>46305</v>
      </c>
      <c r="E413" s="1" t="str">
        <f>IFERROR(__xludf.DUMMYFUNCTION("""COMPUTED_VALUE"""),"VF")</f>
        <v>VF</v>
      </c>
      <c r="F413" s="1">
        <f>IFERROR(__xludf.DUMMYFUNCTION("""COMPUTED_VALUE"""),1.0)</f>
        <v>1</v>
      </c>
      <c r="G413" s="1" t="str">
        <f>IFERROR(__xludf.DUMMYFUNCTION("""COMPUTED_VALUE"""),"PR045")</f>
        <v>PR045</v>
      </c>
      <c r="H413" s="1" t="str">
        <f>IFERROR(__xludf.DUMMYFUNCTION("""COMPUTED_VALUE"""),"VD041")</f>
        <v>VD041</v>
      </c>
      <c r="I413" s="1">
        <f>IFERROR(__xludf.DUMMYFUNCTION("""COMPUTED_VALUE"""),7.0)</f>
        <v>7</v>
      </c>
      <c r="J413" s="1">
        <f>IFERROR(__xludf.DUMMYFUNCTION("""COMPUTED_VALUE"""),553.18)</f>
        <v>553.18</v>
      </c>
      <c r="K413" s="1">
        <f>IFERROR(__xludf.DUMMYFUNCTION("""COMPUTED_VALUE"""),553.18)</f>
        <v>553.18</v>
      </c>
    </row>
    <row r="414">
      <c r="A414" s="1">
        <f>IFERROR(__xludf.DUMMYFUNCTION("""COMPUTED_VALUE"""),1000.0)</f>
        <v>1000</v>
      </c>
      <c r="B414" s="1">
        <f>IFERROR(__xludf.DUMMYFUNCTION("""COMPUTED_VALUE"""),183755.0)</f>
        <v>183755</v>
      </c>
      <c r="C414" s="1">
        <f>IFERROR(__xludf.DUMMYFUNCTION("""COMPUTED_VALUE"""),2026.0)</f>
        <v>2026</v>
      </c>
      <c r="D414" s="1">
        <f>IFERROR(__xludf.DUMMYFUNCTION("""COMPUTED_VALUE"""),46304.0)</f>
        <v>46304</v>
      </c>
      <c r="E414" s="1" t="str">
        <f>IFERROR(__xludf.DUMMYFUNCTION("""COMPUTED_VALUE"""),"VF")</f>
        <v>VF</v>
      </c>
      <c r="F414" s="1">
        <f>IFERROR(__xludf.DUMMYFUNCTION("""COMPUTED_VALUE"""),1.0)</f>
        <v>1</v>
      </c>
      <c r="G414" s="1" t="str">
        <f>IFERROR(__xludf.DUMMYFUNCTION("""COMPUTED_VALUE"""),"PR003")</f>
        <v>PR003</v>
      </c>
      <c r="H414" s="1" t="str">
        <f>IFERROR(__xludf.DUMMYFUNCTION("""COMPUTED_VALUE"""),"VD012")</f>
        <v>VD012</v>
      </c>
      <c r="I414" s="1">
        <f>IFERROR(__xludf.DUMMYFUNCTION("""COMPUTED_VALUE"""),27.0)</f>
        <v>27</v>
      </c>
      <c r="J414" s="1">
        <f>IFERROR(__xludf.DUMMYFUNCTION("""COMPUTED_VALUE"""),1914.3)</f>
        <v>1914.3</v>
      </c>
      <c r="K414" s="1">
        <f>IFERROR(__xludf.DUMMYFUNCTION("""COMPUTED_VALUE"""),1914.3)</f>
        <v>1914.3</v>
      </c>
    </row>
    <row r="415">
      <c r="A415" s="1">
        <f>IFERROR(__xludf.DUMMYFUNCTION("""COMPUTED_VALUE"""),1000.0)</f>
        <v>1000</v>
      </c>
      <c r="B415" s="1">
        <f>IFERROR(__xludf.DUMMYFUNCTION("""COMPUTED_VALUE"""),183756.0)</f>
        <v>183756</v>
      </c>
      <c r="C415" s="1">
        <f>IFERROR(__xludf.DUMMYFUNCTION("""COMPUTED_VALUE"""),2026.0)</f>
        <v>2026</v>
      </c>
      <c r="D415" s="1">
        <f>IFERROR(__xludf.DUMMYFUNCTION("""COMPUTED_VALUE"""),46304.0)</f>
        <v>46304</v>
      </c>
      <c r="E415" s="1" t="str">
        <f>IFERROR(__xludf.DUMMYFUNCTION("""COMPUTED_VALUE"""),"VF")</f>
        <v>VF</v>
      </c>
      <c r="F415" s="1">
        <f>IFERROR(__xludf.DUMMYFUNCTION("""COMPUTED_VALUE"""),1.0)</f>
        <v>1</v>
      </c>
      <c r="G415" s="1" t="str">
        <f>IFERROR(__xludf.DUMMYFUNCTION("""COMPUTED_VALUE"""),"PR056")</f>
        <v>PR056</v>
      </c>
      <c r="H415" s="1" t="str">
        <f>IFERROR(__xludf.DUMMYFUNCTION("""COMPUTED_VALUE"""),"VD030")</f>
        <v>VD030</v>
      </c>
      <c r="I415" s="1">
        <f>IFERROR(__xludf.DUMMYFUNCTION("""COMPUTED_VALUE"""),12.0)</f>
        <v>12</v>
      </c>
      <c r="J415" s="1">
        <f>IFERROR(__xludf.DUMMYFUNCTION("""COMPUTED_VALUE"""),1089.59)</f>
        <v>1089.59</v>
      </c>
      <c r="K415" s="1">
        <f>IFERROR(__xludf.DUMMYFUNCTION("""COMPUTED_VALUE"""),1089.59)</f>
        <v>1089.59</v>
      </c>
    </row>
    <row r="416">
      <c r="A416" s="1">
        <f>IFERROR(__xludf.DUMMYFUNCTION("""COMPUTED_VALUE"""),1000.0)</f>
        <v>1000</v>
      </c>
      <c r="B416" s="1">
        <f>IFERROR(__xludf.DUMMYFUNCTION("""COMPUTED_VALUE"""),183757.0)</f>
        <v>183757</v>
      </c>
      <c r="C416" s="1">
        <f>IFERROR(__xludf.DUMMYFUNCTION("""COMPUTED_VALUE"""),2026.0)</f>
        <v>2026</v>
      </c>
      <c r="D416" s="1">
        <f>IFERROR(__xludf.DUMMYFUNCTION("""COMPUTED_VALUE"""),46304.0)</f>
        <v>46304</v>
      </c>
      <c r="E416" s="1" t="str">
        <f>IFERROR(__xludf.DUMMYFUNCTION("""COMPUTED_VALUE"""),"VF")</f>
        <v>VF</v>
      </c>
      <c r="F416" s="1">
        <f>IFERROR(__xludf.DUMMYFUNCTION("""COMPUTED_VALUE"""),1.0)</f>
        <v>1</v>
      </c>
      <c r="G416" s="1" t="str">
        <f>IFERROR(__xludf.DUMMYFUNCTION("""COMPUTED_VALUE"""),"PR033")</f>
        <v>PR033</v>
      </c>
      <c r="H416" s="1" t="str">
        <f>IFERROR(__xludf.DUMMYFUNCTION("""COMPUTED_VALUE"""),"VD014")</f>
        <v>VD014</v>
      </c>
      <c r="I416" s="1">
        <f>IFERROR(__xludf.DUMMYFUNCTION("""COMPUTED_VALUE"""),10.0)</f>
        <v>10</v>
      </c>
      <c r="J416" s="1">
        <f>IFERROR(__xludf.DUMMYFUNCTION("""COMPUTED_VALUE"""),2702.96)</f>
        <v>2702.96</v>
      </c>
      <c r="K416" s="1">
        <f>IFERROR(__xludf.DUMMYFUNCTION("""COMPUTED_VALUE"""),2702.96)</f>
        <v>2702.96</v>
      </c>
    </row>
    <row r="417">
      <c r="A417" s="1">
        <f>IFERROR(__xludf.DUMMYFUNCTION("""COMPUTED_VALUE"""),1000.0)</f>
        <v>1000</v>
      </c>
      <c r="B417" s="1">
        <f>IFERROR(__xludf.DUMMYFUNCTION("""COMPUTED_VALUE"""),183758.0)</f>
        <v>183758</v>
      </c>
      <c r="C417" s="1">
        <f>IFERROR(__xludf.DUMMYFUNCTION("""COMPUTED_VALUE"""),2026.0)</f>
        <v>2026</v>
      </c>
      <c r="D417" s="1">
        <f>IFERROR(__xludf.DUMMYFUNCTION("""COMPUTED_VALUE"""),46304.0)</f>
        <v>46304</v>
      </c>
      <c r="E417" s="1" t="str">
        <f>IFERROR(__xludf.DUMMYFUNCTION("""COMPUTED_VALUE"""),"VF")</f>
        <v>VF</v>
      </c>
      <c r="F417" s="1">
        <f>IFERROR(__xludf.DUMMYFUNCTION("""COMPUTED_VALUE"""),1.0)</f>
        <v>1</v>
      </c>
      <c r="G417" s="1" t="str">
        <f>IFERROR(__xludf.DUMMYFUNCTION("""COMPUTED_VALUE"""),"PR041")</f>
        <v>PR041</v>
      </c>
      <c r="H417" s="1" t="str">
        <f>IFERROR(__xludf.DUMMYFUNCTION("""COMPUTED_VALUE"""),"VD014")</f>
        <v>VD014</v>
      </c>
      <c r="I417" s="1">
        <f>IFERROR(__xludf.DUMMYFUNCTION("""COMPUTED_VALUE"""),20.0)</f>
        <v>20</v>
      </c>
      <c r="J417" s="1">
        <f>IFERROR(__xludf.DUMMYFUNCTION("""COMPUTED_VALUE"""),1108.98)</f>
        <v>1108.98</v>
      </c>
      <c r="K417" s="1">
        <f>IFERROR(__xludf.DUMMYFUNCTION("""COMPUTED_VALUE"""),1108.98)</f>
        <v>1108.98</v>
      </c>
    </row>
    <row r="418">
      <c r="A418" s="1">
        <f>IFERROR(__xludf.DUMMYFUNCTION("""COMPUTED_VALUE"""),1000.0)</f>
        <v>1000</v>
      </c>
      <c r="B418" s="1">
        <f>IFERROR(__xludf.DUMMYFUNCTION("""COMPUTED_VALUE"""),183759.0)</f>
        <v>183759</v>
      </c>
      <c r="C418" s="1">
        <f>IFERROR(__xludf.DUMMYFUNCTION("""COMPUTED_VALUE"""),2026.0)</f>
        <v>2026</v>
      </c>
      <c r="D418" s="1">
        <f>IFERROR(__xludf.DUMMYFUNCTION("""COMPUTED_VALUE"""),46304.0)</f>
        <v>46304</v>
      </c>
      <c r="E418" s="1" t="str">
        <f>IFERROR(__xludf.DUMMYFUNCTION("""COMPUTED_VALUE"""),"VF")</f>
        <v>VF</v>
      </c>
      <c r="F418" s="1">
        <f>IFERROR(__xludf.DUMMYFUNCTION("""COMPUTED_VALUE"""),1.0)</f>
        <v>1</v>
      </c>
      <c r="G418" s="1" t="str">
        <f>IFERROR(__xludf.DUMMYFUNCTION("""COMPUTED_VALUE"""),"PR004")</f>
        <v>PR004</v>
      </c>
      <c r="H418" s="1" t="str">
        <f>IFERROR(__xludf.DUMMYFUNCTION("""COMPUTED_VALUE"""),"VD011")</f>
        <v>VD011</v>
      </c>
      <c r="I418" s="1">
        <f>IFERROR(__xludf.DUMMYFUNCTION("""COMPUTED_VALUE"""),10.0)</f>
        <v>10</v>
      </c>
      <c r="J418" s="1">
        <f>IFERROR(__xludf.DUMMYFUNCTION("""COMPUTED_VALUE"""),1464.5)</f>
        <v>1464.5</v>
      </c>
      <c r="K418" s="1">
        <f>IFERROR(__xludf.DUMMYFUNCTION("""COMPUTED_VALUE"""),1464.5)</f>
        <v>1464.5</v>
      </c>
    </row>
    <row r="419">
      <c r="A419" s="1">
        <f>IFERROR(__xludf.DUMMYFUNCTION("""COMPUTED_VALUE"""),1000.0)</f>
        <v>1000</v>
      </c>
      <c r="B419" s="1">
        <f>IFERROR(__xludf.DUMMYFUNCTION("""COMPUTED_VALUE"""),183760.0)</f>
        <v>183760</v>
      </c>
      <c r="C419" s="1">
        <f>IFERROR(__xludf.DUMMYFUNCTION("""COMPUTED_VALUE"""),2026.0)</f>
        <v>2026</v>
      </c>
      <c r="D419" s="1">
        <f>IFERROR(__xludf.DUMMYFUNCTION("""COMPUTED_VALUE"""),46304.0)</f>
        <v>46304</v>
      </c>
      <c r="E419" s="1" t="str">
        <f>IFERROR(__xludf.DUMMYFUNCTION("""COMPUTED_VALUE"""),"VF")</f>
        <v>VF</v>
      </c>
      <c r="F419" s="1">
        <f>IFERROR(__xludf.DUMMYFUNCTION("""COMPUTED_VALUE"""),1.0)</f>
        <v>1</v>
      </c>
      <c r="G419" s="1" t="str">
        <f>IFERROR(__xludf.DUMMYFUNCTION("""COMPUTED_VALUE"""),"PR007")</f>
        <v>PR007</v>
      </c>
      <c r="H419" s="1" t="str">
        <f>IFERROR(__xludf.DUMMYFUNCTION("""COMPUTED_VALUE"""),"VD020")</f>
        <v>VD020</v>
      </c>
      <c r="I419" s="1">
        <f>IFERROR(__xludf.DUMMYFUNCTION("""COMPUTED_VALUE"""),9.0)</f>
        <v>9</v>
      </c>
      <c r="J419" s="1">
        <f>IFERROR(__xludf.DUMMYFUNCTION("""COMPUTED_VALUE"""),850.41)</f>
        <v>850.41</v>
      </c>
      <c r="K419" s="1">
        <f>IFERROR(__xludf.DUMMYFUNCTION("""COMPUTED_VALUE"""),850.41)</f>
        <v>850.41</v>
      </c>
    </row>
    <row r="420">
      <c r="A420" s="1">
        <f>IFERROR(__xludf.DUMMYFUNCTION("""COMPUTED_VALUE"""),1000.0)</f>
        <v>1000</v>
      </c>
      <c r="B420" s="1">
        <f>IFERROR(__xludf.DUMMYFUNCTION("""COMPUTED_VALUE"""),183761.0)</f>
        <v>183761</v>
      </c>
      <c r="C420" s="1">
        <f>IFERROR(__xludf.DUMMYFUNCTION("""COMPUTED_VALUE"""),2026.0)</f>
        <v>2026</v>
      </c>
      <c r="D420" s="1">
        <f>IFERROR(__xludf.DUMMYFUNCTION("""COMPUTED_VALUE"""),46304.0)</f>
        <v>46304</v>
      </c>
      <c r="E420" s="1" t="str">
        <f>IFERROR(__xludf.DUMMYFUNCTION("""COMPUTED_VALUE"""),"VF")</f>
        <v>VF</v>
      </c>
      <c r="F420" s="1">
        <f>IFERROR(__xludf.DUMMYFUNCTION("""COMPUTED_VALUE"""),1.0)</f>
        <v>1</v>
      </c>
      <c r="G420" s="1" t="str">
        <f>IFERROR(__xludf.DUMMYFUNCTION("""COMPUTED_VALUE"""),"PR046")</f>
        <v>PR046</v>
      </c>
      <c r="H420" s="1" t="str">
        <f>IFERROR(__xludf.DUMMYFUNCTION("""COMPUTED_VALUE"""),"VD015")</f>
        <v>VD015</v>
      </c>
      <c r="I420" s="1">
        <f>IFERROR(__xludf.DUMMYFUNCTION("""COMPUTED_VALUE"""),9.0)</f>
        <v>9</v>
      </c>
      <c r="J420" s="1">
        <f>IFERROR(__xludf.DUMMYFUNCTION("""COMPUTED_VALUE"""),2713.46)</f>
        <v>2713.46</v>
      </c>
      <c r="K420" s="1">
        <f>IFERROR(__xludf.DUMMYFUNCTION("""COMPUTED_VALUE"""),2713.46)</f>
        <v>2713.46</v>
      </c>
    </row>
    <row r="421">
      <c r="A421" s="1">
        <f>IFERROR(__xludf.DUMMYFUNCTION("""COMPUTED_VALUE"""),1000.0)</f>
        <v>1000</v>
      </c>
      <c r="B421" s="1">
        <f>IFERROR(__xludf.DUMMYFUNCTION("""COMPUTED_VALUE"""),183762.0)</f>
        <v>183762</v>
      </c>
      <c r="C421" s="1">
        <f>IFERROR(__xludf.DUMMYFUNCTION("""COMPUTED_VALUE"""),2026.0)</f>
        <v>2026</v>
      </c>
      <c r="D421" s="1">
        <f>IFERROR(__xludf.DUMMYFUNCTION("""COMPUTED_VALUE"""),46304.0)</f>
        <v>46304</v>
      </c>
      <c r="E421" s="1" t="str">
        <f>IFERROR(__xludf.DUMMYFUNCTION("""COMPUTED_VALUE"""),"VF")</f>
        <v>VF</v>
      </c>
      <c r="F421" s="1">
        <f>IFERROR(__xludf.DUMMYFUNCTION("""COMPUTED_VALUE"""),1.0)</f>
        <v>1</v>
      </c>
      <c r="G421" s="1" t="str">
        <f>IFERROR(__xludf.DUMMYFUNCTION("""COMPUTED_VALUE"""),"PR024")</f>
        <v>PR024</v>
      </c>
      <c r="H421" s="1" t="str">
        <f>IFERROR(__xludf.DUMMYFUNCTION("""COMPUTED_VALUE"""),"VD011")</f>
        <v>VD011</v>
      </c>
      <c r="I421" s="1">
        <f>IFERROR(__xludf.DUMMYFUNCTION("""COMPUTED_VALUE"""),3.0)</f>
        <v>3</v>
      </c>
      <c r="J421" s="1">
        <f>IFERROR(__xludf.DUMMYFUNCTION("""COMPUTED_VALUE"""),834.28)</f>
        <v>834.28</v>
      </c>
      <c r="K421" s="1">
        <f>IFERROR(__xludf.DUMMYFUNCTION("""COMPUTED_VALUE"""),834.28)</f>
        <v>834.28</v>
      </c>
    </row>
    <row r="422">
      <c r="A422" s="1">
        <f>IFERROR(__xludf.DUMMYFUNCTION("""COMPUTED_VALUE"""),2000.0)</f>
        <v>2000</v>
      </c>
      <c r="B422" s="1">
        <f>IFERROR(__xludf.DUMMYFUNCTION("""COMPUTED_VALUE"""),183763.0)</f>
        <v>183763</v>
      </c>
      <c r="C422" s="1">
        <f>IFERROR(__xludf.DUMMYFUNCTION("""COMPUTED_VALUE"""),2026.0)</f>
        <v>2026</v>
      </c>
      <c r="D422" s="1">
        <f>IFERROR(__xludf.DUMMYFUNCTION("""COMPUTED_VALUE"""),46304.0)</f>
        <v>46304</v>
      </c>
      <c r="E422" s="1" t="str">
        <f>IFERROR(__xludf.DUMMYFUNCTION("""COMPUTED_VALUE"""),"VF")</f>
        <v>VF</v>
      </c>
      <c r="F422" s="1">
        <f>IFERROR(__xludf.DUMMYFUNCTION("""COMPUTED_VALUE"""),1.0)</f>
        <v>1</v>
      </c>
      <c r="G422" s="1" t="str">
        <f>IFERROR(__xludf.DUMMYFUNCTION("""COMPUTED_VALUE"""),"PR047")</f>
        <v>PR047</v>
      </c>
      <c r="H422" s="1" t="str">
        <f>IFERROR(__xludf.DUMMYFUNCTION("""COMPUTED_VALUE"""),"VD033")</f>
        <v>VD033</v>
      </c>
      <c r="I422" s="1">
        <f>IFERROR(__xludf.DUMMYFUNCTION("""COMPUTED_VALUE"""),1.0)</f>
        <v>1</v>
      </c>
      <c r="J422" s="1">
        <f>IFERROR(__xludf.DUMMYFUNCTION("""COMPUTED_VALUE"""),307.29)</f>
        <v>307.29</v>
      </c>
      <c r="K422" s="1">
        <f>IFERROR(__xludf.DUMMYFUNCTION("""COMPUTED_VALUE"""),307.29)</f>
        <v>307.29</v>
      </c>
    </row>
    <row r="423">
      <c r="A423" s="1">
        <f>IFERROR(__xludf.DUMMYFUNCTION("""COMPUTED_VALUE"""),1000.0)</f>
        <v>1000</v>
      </c>
      <c r="B423" s="1">
        <f>IFERROR(__xludf.DUMMYFUNCTION("""COMPUTED_VALUE"""),183764.0)</f>
        <v>183764</v>
      </c>
      <c r="C423" s="1">
        <f>IFERROR(__xludf.DUMMYFUNCTION("""COMPUTED_VALUE"""),2026.0)</f>
        <v>2026</v>
      </c>
      <c r="D423" s="1">
        <f>IFERROR(__xludf.DUMMYFUNCTION("""COMPUTED_VALUE"""),46304.0)</f>
        <v>46304</v>
      </c>
      <c r="E423" s="1" t="str">
        <f>IFERROR(__xludf.DUMMYFUNCTION("""COMPUTED_VALUE"""),"VF")</f>
        <v>VF</v>
      </c>
      <c r="F423" s="1">
        <f>IFERROR(__xludf.DUMMYFUNCTION("""COMPUTED_VALUE"""),1.0)</f>
        <v>1</v>
      </c>
      <c r="G423" s="1" t="str">
        <f>IFERROR(__xludf.DUMMYFUNCTION("""COMPUTED_VALUE"""),"PR032")</f>
        <v>PR032</v>
      </c>
      <c r="H423" s="1" t="str">
        <f>IFERROR(__xludf.DUMMYFUNCTION("""COMPUTED_VALUE"""),"VD025")</f>
        <v>VD025</v>
      </c>
      <c r="I423" s="1">
        <f>IFERROR(__xludf.DUMMYFUNCTION("""COMPUTED_VALUE"""),16.0)</f>
        <v>16</v>
      </c>
      <c r="J423" s="1">
        <f>IFERROR(__xludf.DUMMYFUNCTION("""COMPUTED_VALUE"""),4080.0)</f>
        <v>4080</v>
      </c>
      <c r="K423" s="1">
        <f>IFERROR(__xludf.DUMMYFUNCTION("""COMPUTED_VALUE"""),4080.0)</f>
        <v>4080</v>
      </c>
    </row>
    <row r="424">
      <c r="A424" s="1">
        <f>IFERROR(__xludf.DUMMYFUNCTION("""COMPUTED_VALUE"""),1000.0)</f>
        <v>1000</v>
      </c>
      <c r="B424" s="1">
        <f>IFERROR(__xludf.DUMMYFUNCTION("""COMPUTED_VALUE"""),183765.0)</f>
        <v>183765</v>
      </c>
      <c r="C424" s="1">
        <f>IFERROR(__xludf.DUMMYFUNCTION("""COMPUTED_VALUE"""),2026.0)</f>
        <v>2026</v>
      </c>
      <c r="D424" s="1">
        <f>IFERROR(__xludf.DUMMYFUNCTION("""COMPUTED_VALUE"""),46304.0)</f>
        <v>46304</v>
      </c>
      <c r="E424" s="1" t="str">
        <f>IFERROR(__xludf.DUMMYFUNCTION("""COMPUTED_VALUE"""),"VF")</f>
        <v>VF</v>
      </c>
      <c r="F424" s="1">
        <f>IFERROR(__xludf.DUMMYFUNCTION("""COMPUTED_VALUE"""),1.0)</f>
        <v>1</v>
      </c>
      <c r="G424" s="1" t="str">
        <f>IFERROR(__xludf.DUMMYFUNCTION("""COMPUTED_VALUE"""),"PR020")</f>
        <v>PR020</v>
      </c>
      <c r="H424" s="1" t="str">
        <f>IFERROR(__xludf.DUMMYFUNCTION("""COMPUTED_VALUE"""),"VD015")</f>
        <v>VD015</v>
      </c>
      <c r="I424" s="1">
        <f>IFERROR(__xludf.DUMMYFUNCTION("""COMPUTED_VALUE"""),10.0)</f>
        <v>10</v>
      </c>
      <c r="J424" s="1">
        <f>IFERROR(__xludf.DUMMYFUNCTION("""COMPUTED_VALUE"""),3088.97)</f>
        <v>3088.97</v>
      </c>
      <c r="K424" s="1">
        <f>IFERROR(__xludf.DUMMYFUNCTION("""COMPUTED_VALUE"""),3088.97)</f>
        <v>3088.97</v>
      </c>
    </row>
    <row r="425">
      <c r="A425" s="1">
        <f>IFERROR(__xludf.DUMMYFUNCTION("""COMPUTED_VALUE"""),1000.0)</f>
        <v>1000</v>
      </c>
      <c r="B425" s="1">
        <f>IFERROR(__xludf.DUMMYFUNCTION("""COMPUTED_VALUE"""),183766.0)</f>
        <v>183766</v>
      </c>
      <c r="C425" s="1">
        <f>IFERROR(__xludf.DUMMYFUNCTION("""COMPUTED_VALUE"""),2026.0)</f>
        <v>2026</v>
      </c>
      <c r="D425" s="1">
        <f>IFERROR(__xludf.DUMMYFUNCTION("""COMPUTED_VALUE"""),46304.0)</f>
        <v>46304</v>
      </c>
      <c r="E425" s="1" t="str">
        <f>IFERROR(__xludf.DUMMYFUNCTION("""COMPUTED_VALUE"""),"VF")</f>
        <v>VF</v>
      </c>
      <c r="F425" s="1">
        <f>IFERROR(__xludf.DUMMYFUNCTION("""COMPUTED_VALUE"""),1.0)</f>
        <v>1</v>
      </c>
      <c r="G425" s="1" t="str">
        <f>IFERROR(__xludf.DUMMYFUNCTION("""COMPUTED_VALUE"""),"PR006")</f>
        <v>PR006</v>
      </c>
      <c r="H425" s="1" t="str">
        <f>IFERROR(__xludf.DUMMYFUNCTION("""COMPUTED_VALUE"""),"VD012")</f>
        <v>VD012</v>
      </c>
      <c r="I425" s="1">
        <f>IFERROR(__xludf.DUMMYFUNCTION("""COMPUTED_VALUE"""),15.0)</f>
        <v>15</v>
      </c>
      <c r="J425" s="1">
        <f>IFERROR(__xludf.DUMMYFUNCTION("""COMPUTED_VALUE"""),634.41)</f>
        <v>634.41</v>
      </c>
      <c r="K425" s="1">
        <f>IFERROR(__xludf.DUMMYFUNCTION("""COMPUTED_VALUE"""),634.41)</f>
        <v>634.41</v>
      </c>
    </row>
    <row r="426">
      <c r="A426" s="1">
        <f>IFERROR(__xludf.DUMMYFUNCTION("""COMPUTED_VALUE"""),1000.0)</f>
        <v>1000</v>
      </c>
      <c r="B426" s="1">
        <f>IFERROR(__xludf.DUMMYFUNCTION("""COMPUTED_VALUE"""),183767.0)</f>
        <v>183767</v>
      </c>
      <c r="C426" s="1">
        <f>IFERROR(__xludf.DUMMYFUNCTION("""COMPUTED_VALUE"""),2026.0)</f>
        <v>2026</v>
      </c>
      <c r="D426" s="1">
        <f>IFERROR(__xludf.DUMMYFUNCTION("""COMPUTED_VALUE"""),46304.0)</f>
        <v>46304</v>
      </c>
      <c r="E426" s="1" t="str">
        <f>IFERROR(__xludf.DUMMYFUNCTION("""COMPUTED_VALUE"""),"VF")</f>
        <v>VF</v>
      </c>
      <c r="F426" s="1">
        <f>IFERROR(__xludf.DUMMYFUNCTION("""COMPUTED_VALUE"""),1.0)</f>
        <v>1</v>
      </c>
      <c r="G426" s="1" t="str">
        <f>IFERROR(__xludf.DUMMYFUNCTION("""COMPUTED_VALUE"""),"PR031")</f>
        <v>PR031</v>
      </c>
      <c r="H426" s="1" t="str">
        <f>IFERROR(__xludf.DUMMYFUNCTION("""COMPUTED_VALUE"""),"VD034")</f>
        <v>VD034</v>
      </c>
      <c r="I426" s="1">
        <f>IFERROR(__xludf.DUMMYFUNCTION("""COMPUTED_VALUE"""),9.0)</f>
        <v>9</v>
      </c>
      <c r="J426" s="1">
        <f>IFERROR(__xludf.DUMMYFUNCTION("""COMPUTED_VALUE"""),2227.05)</f>
        <v>2227.05</v>
      </c>
      <c r="K426" s="1">
        <f>IFERROR(__xludf.DUMMYFUNCTION("""COMPUTED_VALUE"""),2227.05)</f>
        <v>2227.05</v>
      </c>
    </row>
    <row r="427">
      <c r="A427" s="1">
        <f>IFERROR(__xludf.DUMMYFUNCTION("""COMPUTED_VALUE"""),1000.0)</f>
        <v>1000</v>
      </c>
      <c r="B427" s="1">
        <f>IFERROR(__xludf.DUMMYFUNCTION("""COMPUTED_VALUE"""),183767.0)</f>
        <v>183767</v>
      </c>
      <c r="C427" s="1">
        <f>IFERROR(__xludf.DUMMYFUNCTION("""COMPUTED_VALUE"""),2026.0)</f>
        <v>2026</v>
      </c>
      <c r="D427" s="1">
        <f>IFERROR(__xludf.DUMMYFUNCTION("""COMPUTED_VALUE"""),46303.0)</f>
        <v>46303</v>
      </c>
      <c r="E427" s="1" t="str">
        <f>IFERROR(__xludf.DUMMYFUNCTION("""COMPUTED_VALUE"""),"VF")</f>
        <v>VF</v>
      </c>
      <c r="F427" s="1">
        <f>IFERROR(__xludf.DUMMYFUNCTION("""COMPUTED_VALUE"""),2.0)</f>
        <v>2</v>
      </c>
      <c r="G427" s="1" t="str">
        <f>IFERROR(__xludf.DUMMYFUNCTION("""COMPUTED_VALUE"""),"PR052")</f>
        <v>PR052</v>
      </c>
      <c r="H427" s="1" t="str">
        <f>IFERROR(__xludf.DUMMYFUNCTION("""COMPUTED_VALUE"""),"VD044")</f>
        <v>VD044</v>
      </c>
      <c r="I427" s="1">
        <f>IFERROR(__xludf.DUMMYFUNCTION("""COMPUTED_VALUE"""),12.0)</f>
        <v>12</v>
      </c>
      <c r="J427" s="1">
        <f>IFERROR(__xludf.DUMMYFUNCTION("""COMPUTED_VALUE"""),658.68)</f>
        <v>658.68</v>
      </c>
      <c r="K427" s="1">
        <f>IFERROR(__xludf.DUMMYFUNCTION("""COMPUTED_VALUE"""),658.68)</f>
        <v>658.68</v>
      </c>
    </row>
    <row r="428">
      <c r="A428" s="1">
        <f>IFERROR(__xludf.DUMMYFUNCTION("""COMPUTED_VALUE"""),1000.0)</f>
        <v>1000</v>
      </c>
      <c r="B428" s="1">
        <f>IFERROR(__xludf.DUMMYFUNCTION("""COMPUTED_VALUE"""),183767.0)</f>
        <v>183767</v>
      </c>
      <c r="C428" s="1">
        <f>IFERROR(__xludf.DUMMYFUNCTION("""COMPUTED_VALUE"""),2026.0)</f>
        <v>2026</v>
      </c>
      <c r="D428" s="1">
        <f>IFERROR(__xludf.DUMMYFUNCTION("""COMPUTED_VALUE"""),46303.0)</f>
        <v>46303</v>
      </c>
      <c r="E428" s="1" t="str">
        <f>IFERROR(__xludf.DUMMYFUNCTION("""COMPUTED_VALUE"""),"VF")</f>
        <v>VF</v>
      </c>
      <c r="F428" s="1">
        <f>IFERROR(__xludf.DUMMYFUNCTION("""COMPUTED_VALUE"""),3.0)</f>
        <v>3</v>
      </c>
      <c r="G428" s="1" t="str">
        <f>IFERROR(__xludf.DUMMYFUNCTION("""COMPUTED_VALUE"""),"PR050")</f>
        <v>PR050</v>
      </c>
      <c r="H428" s="1" t="str">
        <f>IFERROR(__xludf.DUMMYFUNCTION("""COMPUTED_VALUE"""),"VD018")</f>
        <v>VD018</v>
      </c>
      <c r="I428" s="1">
        <f>IFERROR(__xludf.DUMMYFUNCTION("""COMPUTED_VALUE"""),14.0)</f>
        <v>14</v>
      </c>
      <c r="J428" s="1">
        <f>IFERROR(__xludf.DUMMYFUNCTION("""COMPUTED_VALUE"""),502.05)</f>
        <v>502.05</v>
      </c>
      <c r="K428" s="1">
        <f>IFERROR(__xludf.DUMMYFUNCTION("""COMPUTED_VALUE"""),502.05)</f>
        <v>502.05</v>
      </c>
    </row>
    <row r="429">
      <c r="A429" s="1">
        <f>IFERROR(__xludf.DUMMYFUNCTION("""COMPUTED_VALUE"""),1000.0)</f>
        <v>1000</v>
      </c>
      <c r="B429" s="1">
        <f>IFERROR(__xludf.DUMMYFUNCTION("""COMPUTED_VALUE"""),183768.0)</f>
        <v>183768</v>
      </c>
      <c r="C429" s="1">
        <f>IFERROR(__xludf.DUMMYFUNCTION("""COMPUTED_VALUE"""),2026.0)</f>
        <v>2026</v>
      </c>
      <c r="D429" s="1">
        <f>IFERROR(__xludf.DUMMYFUNCTION("""COMPUTED_VALUE"""),46303.0)</f>
        <v>46303</v>
      </c>
      <c r="E429" s="1" t="str">
        <f>IFERROR(__xludf.DUMMYFUNCTION("""COMPUTED_VALUE"""),"VF")</f>
        <v>VF</v>
      </c>
      <c r="F429" s="1">
        <f>IFERROR(__xludf.DUMMYFUNCTION("""COMPUTED_VALUE"""),1.0)</f>
        <v>1</v>
      </c>
      <c r="G429" s="1" t="str">
        <f>IFERROR(__xludf.DUMMYFUNCTION("""COMPUTED_VALUE"""),"PR042")</f>
        <v>PR042</v>
      </c>
      <c r="H429" s="1" t="str">
        <f>IFERROR(__xludf.DUMMYFUNCTION("""COMPUTED_VALUE"""),"VD018")</f>
        <v>VD018</v>
      </c>
      <c r="I429" s="1">
        <f>IFERROR(__xludf.DUMMYFUNCTION("""COMPUTED_VALUE"""),4.0)</f>
        <v>4</v>
      </c>
      <c r="J429" s="1">
        <f>IFERROR(__xludf.DUMMYFUNCTION("""COMPUTED_VALUE"""),228.38)</f>
        <v>228.38</v>
      </c>
      <c r="K429" s="1">
        <f>IFERROR(__xludf.DUMMYFUNCTION("""COMPUTED_VALUE"""),228.38)</f>
        <v>228.38</v>
      </c>
    </row>
    <row r="430">
      <c r="A430" s="1">
        <f>IFERROR(__xludf.DUMMYFUNCTION("""COMPUTED_VALUE"""),2000.0)</f>
        <v>2000</v>
      </c>
      <c r="B430" s="1">
        <f>IFERROR(__xludf.DUMMYFUNCTION("""COMPUTED_VALUE"""),183769.0)</f>
        <v>183769</v>
      </c>
      <c r="C430" s="1">
        <f>IFERROR(__xludf.DUMMYFUNCTION("""COMPUTED_VALUE"""),2026.0)</f>
        <v>2026</v>
      </c>
      <c r="D430" s="1">
        <f>IFERROR(__xludf.DUMMYFUNCTION("""COMPUTED_VALUE"""),46303.0)</f>
        <v>46303</v>
      </c>
      <c r="E430" s="1" t="str">
        <f>IFERROR(__xludf.DUMMYFUNCTION("""COMPUTED_VALUE"""),"VF")</f>
        <v>VF</v>
      </c>
      <c r="F430" s="1">
        <f>IFERROR(__xludf.DUMMYFUNCTION("""COMPUTED_VALUE"""),1.0)</f>
        <v>1</v>
      </c>
      <c r="G430" s="1" t="str">
        <f>IFERROR(__xludf.DUMMYFUNCTION("""COMPUTED_VALUE"""),"PR006")</f>
        <v>PR006</v>
      </c>
      <c r="H430" s="1" t="str">
        <f>IFERROR(__xludf.DUMMYFUNCTION("""COMPUTED_VALUE"""),"VD021")</f>
        <v>VD021</v>
      </c>
      <c r="I430" s="1">
        <f>IFERROR(__xludf.DUMMYFUNCTION("""COMPUTED_VALUE"""),8.0)</f>
        <v>8</v>
      </c>
      <c r="J430" s="1">
        <f>IFERROR(__xludf.DUMMYFUNCTION("""COMPUTED_VALUE"""),347.93)</f>
        <v>347.93</v>
      </c>
      <c r="K430" s="1">
        <f>IFERROR(__xludf.DUMMYFUNCTION("""COMPUTED_VALUE"""),347.93)</f>
        <v>347.93</v>
      </c>
    </row>
    <row r="431">
      <c r="A431" s="1">
        <f>IFERROR(__xludf.DUMMYFUNCTION("""COMPUTED_VALUE"""),1000.0)</f>
        <v>1000</v>
      </c>
      <c r="B431" s="1">
        <f>IFERROR(__xludf.DUMMYFUNCTION("""COMPUTED_VALUE"""),183770.0)</f>
        <v>183770</v>
      </c>
      <c r="C431" s="1">
        <f>IFERROR(__xludf.DUMMYFUNCTION("""COMPUTED_VALUE"""),2026.0)</f>
        <v>2026</v>
      </c>
      <c r="D431" s="1">
        <f>IFERROR(__xludf.DUMMYFUNCTION("""COMPUTED_VALUE"""),46303.0)</f>
        <v>46303</v>
      </c>
      <c r="E431" s="1" t="str">
        <f>IFERROR(__xludf.DUMMYFUNCTION("""COMPUTED_VALUE"""),"VF")</f>
        <v>VF</v>
      </c>
      <c r="F431" s="1">
        <f>IFERROR(__xludf.DUMMYFUNCTION("""COMPUTED_VALUE"""),1.0)</f>
        <v>1</v>
      </c>
      <c r="G431" s="1" t="str">
        <f>IFERROR(__xludf.DUMMYFUNCTION("""COMPUTED_VALUE"""),"PR016")</f>
        <v>PR016</v>
      </c>
      <c r="H431" s="1" t="str">
        <f>IFERROR(__xludf.DUMMYFUNCTION("""COMPUTED_VALUE"""),"VD017")</f>
        <v>VD017</v>
      </c>
      <c r="I431" s="1">
        <f>IFERROR(__xludf.DUMMYFUNCTION("""COMPUTED_VALUE"""),12.0)</f>
        <v>12</v>
      </c>
      <c r="J431" s="1">
        <f>IFERROR(__xludf.DUMMYFUNCTION("""COMPUTED_VALUE"""),341.88)</f>
        <v>341.88</v>
      </c>
      <c r="K431" s="1">
        <f>IFERROR(__xludf.DUMMYFUNCTION("""COMPUTED_VALUE"""),341.88)</f>
        <v>341.88</v>
      </c>
    </row>
    <row r="432">
      <c r="A432" s="1">
        <f>IFERROR(__xludf.DUMMYFUNCTION("""COMPUTED_VALUE"""),1000.0)</f>
        <v>1000</v>
      </c>
      <c r="B432" s="1">
        <f>IFERROR(__xludf.DUMMYFUNCTION("""COMPUTED_VALUE"""),183771.0)</f>
        <v>183771</v>
      </c>
      <c r="C432" s="1">
        <f>IFERROR(__xludf.DUMMYFUNCTION("""COMPUTED_VALUE"""),2026.0)</f>
        <v>2026</v>
      </c>
      <c r="D432" s="1">
        <f>IFERROR(__xludf.DUMMYFUNCTION("""COMPUTED_VALUE"""),46303.0)</f>
        <v>46303</v>
      </c>
      <c r="E432" s="1" t="str">
        <f>IFERROR(__xludf.DUMMYFUNCTION("""COMPUTED_VALUE"""),"VF")</f>
        <v>VF</v>
      </c>
      <c r="F432" s="1">
        <f>IFERROR(__xludf.DUMMYFUNCTION("""COMPUTED_VALUE"""),1.0)</f>
        <v>1</v>
      </c>
      <c r="G432" s="1" t="str">
        <f>IFERROR(__xludf.DUMMYFUNCTION("""COMPUTED_VALUE"""),"PR015")</f>
        <v>PR015</v>
      </c>
      <c r="H432" s="1" t="str">
        <f>IFERROR(__xludf.DUMMYFUNCTION("""COMPUTED_VALUE"""),"VD034")</f>
        <v>VD034</v>
      </c>
      <c r="I432" s="1">
        <f>IFERROR(__xludf.DUMMYFUNCTION("""COMPUTED_VALUE"""),5.0)</f>
        <v>5</v>
      </c>
      <c r="J432" s="1">
        <f>IFERROR(__xludf.DUMMYFUNCTION("""COMPUTED_VALUE"""),233.75)</f>
        <v>233.75</v>
      </c>
      <c r="K432" s="1">
        <f>IFERROR(__xludf.DUMMYFUNCTION("""COMPUTED_VALUE"""),233.75)</f>
        <v>233.75</v>
      </c>
    </row>
    <row r="433">
      <c r="A433" s="1">
        <f>IFERROR(__xludf.DUMMYFUNCTION("""COMPUTED_VALUE"""),1000.0)</f>
        <v>1000</v>
      </c>
      <c r="B433" s="1">
        <f>IFERROR(__xludf.DUMMYFUNCTION("""COMPUTED_VALUE"""),183772.0)</f>
        <v>183772</v>
      </c>
      <c r="C433" s="1">
        <f>IFERROR(__xludf.DUMMYFUNCTION("""COMPUTED_VALUE"""),2026.0)</f>
        <v>2026</v>
      </c>
      <c r="D433" s="1">
        <f>IFERROR(__xludf.DUMMYFUNCTION("""COMPUTED_VALUE"""),46303.0)</f>
        <v>46303</v>
      </c>
      <c r="E433" s="1" t="str">
        <f>IFERROR(__xludf.DUMMYFUNCTION("""COMPUTED_VALUE"""),"VF")</f>
        <v>VF</v>
      </c>
      <c r="F433" s="1">
        <f>IFERROR(__xludf.DUMMYFUNCTION("""COMPUTED_VALUE"""),1.0)</f>
        <v>1</v>
      </c>
      <c r="G433" s="1" t="str">
        <f>IFERROR(__xludf.DUMMYFUNCTION("""COMPUTED_VALUE"""),"PR003")</f>
        <v>PR003</v>
      </c>
      <c r="H433" s="1" t="str">
        <f>IFERROR(__xludf.DUMMYFUNCTION("""COMPUTED_VALUE"""),"VD041")</f>
        <v>VD041</v>
      </c>
      <c r="I433" s="1">
        <f>IFERROR(__xludf.DUMMYFUNCTION("""COMPUTED_VALUE"""),5.0)</f>
        <v>5</v>
      </c>
      <c r="J433" s="1">
        <f>IFERROR(__xludf.DUMMYFUNCTION("""COMPUTED_VALUE"""),361.59)</f>
        <v>361.59</v>
      </c>
      <c r="K433" s="1">
        <f>IFERROR(__xludf.DUMMYFUNCTION("""COMPUTED_VALUE"""),361.59)</f>
        <v>361.59</v>
      </c>
    </row>
    <row r="434">
      <c r="A434" s="1">
        <f>IFERROR(__xludf.DUMMYFUNCTION("""COMPUTED_VALUE"""),1000.0)</f>
        <v>1000</v>
      </c>
      <c r="B434" s="1">
        <f>IFERROR(__xludf.DUMMYFUNCTION("""COMPUTED_VALUE"""),183773.0)</f>
        <v>183773</v>
      </c>
      <c r="C434" s="1">
        <f>IFERROR(__xludf.DUMMYFUNCTION("""COMPUTED_VALUE"""),2026.0)</f>
        <v>2026</v>
      </c>
      <c r="D434" s="1">
        <f>IFERROR(__xludf.DUMMYFUNCTION("""COMPUTED_VALUE"""),46303.0)</f>
        <v>46303</v>
      </c>
      <c r="E434" s="1" t="str">
        <f>IFERROR(__xludf.DUMMYFUNCTION("""COMPUTED_VALUE"""),"VF")</f>
        <v>VF</v>
      </c>
      <c r="F434" s="1">
        <f>IFERROR(__xludf.DUMMYFUNCTION("""COMPUTED_VALUE"""),1.0)</f>
        <v>1</v>
      </c>
      <c r="G434" s="1" t="str">
        <f>IFERROR(__xludf.DUMMYFUNCTION("""COMPUTED_VALUE"""),"PR007")</f>
        <v>PR007</v>
      </c>
      <c r="H434" s="1" t="str">
        <f>IFERROR(__xludf.DUMMYFUNCTION("""COMPUTED_VALUE"""),"VD025")</f>
        <v>VD025</v>
      </c>
      <c r="I434" s="1">
        <f>IFERROR(__xludf.DUMMYFUNCTION("""COMPUTED_VALUE"""),1.0)</f>
        <v>1</v>
      </c>
      <c r="J434" s="1">
        <f>IFERROR(__xludf.DUMMYFUNCTION("""COMPUTED_VALUE"""),88.48)</f>
        <v>88.48</v>
      </c>
      <c r="K434" s="1">
        <f>IFERROR(__xludf.DUMMYFUNCTION("""COMPUTED_VALUE"""),88.48)</f>
        <v>88.48</v>
      </c>
    </row>
    <row r="435">
      <c r="A435" s="1">
        <f>IFERROR(__xludf.DUMMYFUNCTION("""COMPUTED_VALUE"""),2000.0)</f>
        <v>2000</v>
      </c>
      <c r="B435" s="1">
        <f>IFERROR(__xludf.DUMMYFUNCTION("""COMPUTED_VALUE"""),183773.0)</f>
        <v>183773</v>
      </c>
      <c r="C435" s="1">
        <f>IFERROR(__xludf.DUMMYFUNCTION("""COMPUTED_VALUE"""),2026.0)</f>
        <v>2026</v>
      </c>
      <c r="D435" s="1">
        <f>IFERROR(__xludf.DUMMYFUNCTION("""COMPUTED_VALUE"""),46303.0)</f>
        <v>46303</v>
      </c>
      <c r="E435" s="1" t="str">
        <f>IFERROR(__xludf.DUMMYFUNCTION("""COMPUTED_VALUE"""),"VF")</f>
        <v>VF</v>
      </c>
      <c r="F435" s="1">
        <f>IFERROR(__xludf.DUMMYFUNCTION("""COMPUTED_VALUE"""),2.0)</f>
        <v>2</v>
      </c>
      <c r="G435" s="1" t="str">
        <f>IFERROR(__xludf.DUMMYFUNCTION("""COMPUTED_VALUE"""),"PR031")</f>
        <v>PR031</v>
      </c>
      <c r="H435" s="1" t="str">
        <f>IFERROR(__xludf.DUMMYFUNCTION("""COMPUTED_VALUE"""),"VD046")</f>
        <v>VD046</v>
      </c>
      <c r="I435" s="1">
        <f>IFERROR(__xludf.DUMMYFUNCTION("""COMPUTED_VALUE"""),4.0)</f>
        <v>4</v>
      </c>
      <c r="J435" s="1">
        <f>IFERROR(__xludf.DUMMYFUNCTION("""COMPUTED_VALUE"""),1078.0)</f>
        <v>1078</v>
      </c>
      <c r="K435" s="1">
        <f>IFERROR(__xludf.DUMMYFUNCTION("""COMPUTED_VALUE"""),1078.0)</f>
        <v>1078</v>
      </c>
    </row>
    <row r="436">
      <c r="A436" s="1">
        <f>IFERROR(__xludf.DUMMYFUNCTION("""COMPUTED_VALUE"""),1000.0)</f>
        <v>1000</v>
      </c>
      <c r="B436" s="1">
        <f>IFERROR(__xludf.DUMMYFUNCTION("""COMPUTED_VALUE"""),183774.0)</f>
        <v>183774</v>
      </c>
      <c r="C436" s="1">
        <f>IFERROR(__xludf.DUMMYFUNCTION("""COMPUTED_VALUE"""),2026.0)</f>
        <v>2026</v>
      </c>
      <c r="D436" s="1">
        <f>IFERROR(__xludf.DUMMYFUNCTION("""COMPUTED_VALUE"""),46303.0)</f>
        <v>46303</v>
      </c>
      <c r="E436" s="1" t="str">
        <f>IFERROR(__xludf.DUMMYFUNCTION("""COMPUTED_VALUE"""),"VF")</f>
        <v>VF</v>
      </c>
      <c r="F436" s="1">
        <f>IFERROR(__xludf.DUMMYFUNCTION("""COMPUTED_VALUE"""),1.0)</f>
        <v>1</v>
      </c>
      <c r="G436" s="1" t="str">
        <f>IFERROR(__xludf.DUMMYFUNCTION("""COMPUTED_VALUE"""),"PR037")</f>
        <v>PR037</v>
      </c>
      <c r="H436" s="1" t="str">
        <f>IFERROR(__xludf.DUMMYFUNCTION("""COMPUTED_VALUE"""),"VD021")</f>
        <v>VD021</v>
      </c>
      <c r="I436" s="1">
        <f>IFERROR(__xludf.DUMMYFUNCTION("""COMPUTED_VALUE"""),4.0)</f>
        <v>4</v>
      </c>
      <c r="J436" s="1">
        <f>IFERROR(__xludf.DUMMYFUNCTION("""COMPUTED_VALUE"""),604.8)</f>
        <v>604.8</v>
      </c>
      <c r="K436" s="1">
        <f>IFERROR(__xludf.DUMMYFUNCTION("""COMPUTED_VALUE"""),604.8)</f>
        <v>604.8</v>
      </c>
    </row>
    <row r="437">
      <c r="A437" s="1">
        <f>IFERROR(__xludf.DUMMYFUNCTION("""COMPUTED_VALUE"""),1000.0)</f>
        <v>1000</v>
      </c>
      <c r="B437" s="1">
        <f>IFERROR(__xludf.DUMMYFUNCTION("""COMPUTED_VALUE"""),183775.0)</f>
        <v>183775</v>
      </c>
      <c r="C437" s="1">
        <f>IFERROR(__xludf.DUMMYFUNCTION("""COMPUTED_VALUE"""),2026.0)</f>
        <v>2026</v>
      </c>
      <c r="D437" s="1">
        <f>IFERROR(__xludf.DUMMYFUNCTION("""COMPUTED_VALUE"""),46303.0)</f>
        <v>46303</v>
      </c>
      <c r="E437" s="1" t="str">
        <f>IFERROR(__xludf.DUMMYFUNCTION("""COMPUTED_VALUE"""),"VF")</f>
        <v>VF</v>
      </c>
      <c r="F437" s="1">
        <f>IFERROR(__xludf.DUMMYFUNCTION("""COMPUTED_VALUE"""),1.0)</f>
        <v>1</v>
      </c>
      <c r="G437" s="1" t="str">
        <f>IFERROR(__xludf.DUMMYFUNCTION("""COMPUTED_VALUE"""),"PR043")</f>
        <v>PR043</v>
      </c>
      <c r="H437" s="1" t="str">
        <f>IFERROR(__xludf.DUMMYFUNCTION("""COMPUTED_VALUE"""),"VD036")</f>
        <v>VD036</v>
      </c>
      <c r="I437" s="1">
        <f>IFERROR(__xludf.DUMMYFUNCTION("""COMPUTED_VALUE"""),27.0)</f>
        <v>27</v>
      </c>
      <c r="J437" s="1">
        <f>IFERROR(__xludf.DUMMYFUNCTION("""COMPUTED_VALUE"""),2074.95)</f>
        <v>2074.95</v>
      </c>
      <c r="K437" s="1">
        <f>IFERROR(__xludf.DUMMYFUNCTION("""COMPUTED_VALUE"""),2074.95)</f>
        <v>2074.95</v>
      </c>
    </row>
    <row r="438">
      <c r="A438" s="1">
        <f>IFERROR(__xludf.DUMMYFUNCTION("""COMPUTED_VALUE"""),2000.0)</f>
        <v>2000</v>
      </c>
      <c r="B438" s="1">
        <f>IFERROR(__xludf.DUMMYFUNCTION("""COMPUTED_VALUE"""),183776.0)</f>
        <v>183776</v>
      </c>
      <c r="C438" s="1">
        <f>IFERROR(__xludf.DUMMYFUNCTION("""COMPUTED_VALUE"""),2026.0)</f>
        <v>2026</v>
      </c>
      <c r="D438" s="1">
        <f>IFERROR(__xludf.DUMMYFUNCTION("""COMPUTED_VALUE"""),46303.0)</f>
        <v>46303</v>
      </c>
      <c r="E438" s="1" t="str">
        <f>IFERROR(__xludf.DUMMYFUNCTION("""COMPUTED_VALUE"""),"VF")</f>
        <v>VF</v>
      </c>
      <c r="F438" s="1">
        <f>IFERROR(__xludf.DUMMYFUNCTION("""COMPUTED_VALUE"""),1.0)</f>
        <v>1</v>
      </c>
      <c r="G438" s="1" t="str">
        <f>IFERROR(__xludf.DUMMYFUNCTION("""COMPUTED_VALUE"""),"PR038")</f>
        <v>PR038</v>
      </c>
      <c r="H438" s="1" t="str">
        <f>IFERROR(__xludf.DUMMYFUNCTION("""COMPUTED_VALUE"""),"VD036")</f>
        <v>VD036</v>
      </c>
      <c r="I438" s="1">
        <f>IFERROR(__xludf.DUMMYFUNCTION("""COMPUTED_VALUE"""),12.0)</f>
        <v>12</v>
      </c>
      <c r="J438" s="1">
        <f>IFERROR(__xludf.DUMMYFUNCTION("""COMPUTED_VALUE"""),1817.69)</f>
        <v>1817.69</v>
      </c>
      <c r="K438" s="1">
        <f>IFERROR(__xludf.DUMMYFUNCTION("""COMPUTED_VALUE"""),1817.69)</f>
        <v>1817.69</v>
      </c>
    </row>
    <row r="439">
      <c r="A439" s="1">
        <f>IFERROR(__xludf.DUMMYFUNCTION("""COMPUTED_VALUE"""),1000.0)</f>
        <v>1000</v>
      </c>
      <c r="B439" s="1">
        <f>IFERROR(__xludf.DUMMYFUNCTION("""COMPUTED_VALUE"""),183777.0)</f>
        <v>183777</v>
      </c>
      <c r="C439" s="1">
        <f>IFERROR(__xludf.DUMMYFUNCTION("""COMPUTED_VALUE"""),2026.0)</f>
        <v>2026</v>
      </c>
      <c r="D439" s="1">
        <f>IFERROR(__xludf.DUMMYFUNCTION("""COMPUTED_VALUE"""),46303.0)</f>
        <v>46303</v>
      </c>
      <c r="E439" s="1" t="str">
        <f>IFERROR(__xludf.DUMMYFUNCTION("""COMPUTED_VALUE"""),"VF")</f>
        <v>VF</v>
      </c>
      <c r="F439" s="1">
        <f>IFERROR(__xludf.DUMMYFUNCTION("""COMPUTED_VALUE"""),1.0)</f>
        <v>1</v>
      </c>
      <c r="G439" s="1" t="str">
        <f>IFERROR(__xludf.DUMMYFUNCTION("""COMPUTED_VALUE"""),"PR048")</f>
        <v>PR048</v>
      </c>
      <c r="H439" s="1" t="str">
        <f>IFERROR(__xludf.DUMMYFUNCTION("""COMPUTED_VALUE"""),"VD032")</f>
        <v>VD032</v>
      </c>
      <c r="I439" s="1">
        <f>IFERROR(__xludf.DUMMYFUNCTION("""COMPUTED_VALUE"""),9.0)</f>
        <v>9</v>
      </c>
      <c r="J439" s="1">
        <f>IFERROR(__xludf.DUMMYFUNCTION("""COMPUTED_VALUE"""),2817.83)</f>
        <v>2817.83</v>
      </c>
      <c r="K439" s="1">
        <f>IFERROR(__xludf.DUMMYFUNCTION("""COMPUTED_VALUE"""),2817.83)</f>
        <v>2817.83</v>
      </c>
    </row>
    <row r="440">
      <c r="A440" s="1">
        <f>IFERROR(__xludf.DUMMYFUNCTION("""COMPUTED_VALUE"""),1000.0)</f>
        <v>1000</v>
      </c>
      <c r="B440" s="1">
        <f>IFERROR(__xludf.DUMMYFUNCTION("""COMPUTED_VALUE"""),183778.0)</f>
        <v>183778</v>
      </c>
      <c r="C440" s="1">
        <f>IFERROR(__xludf.DUMMYFUNCTION("""COMPUTED_VALUE"""),2026.0)</f>
        <v>2026</v>
      </c>
      <c r="D440" s="1">
        <f>IFERROR(__xludf.DUMMYFUNCTION("""COMPUTED_VALUE"""),46303.0)</f>
        <v>46303</v>
      </c>
      <c r="E440" s="1" t="str">
        <f>IFERROR(__xludf.DUMMYFUNCTION("""COMPUTED_VALUE"""),"VF")</f>
        <v>VF</v>
      </c>
      <c r="F440" s="1">
        <f>IFERROR(__xludf.DUMMYFUNCTION("""COMPUTED_VALUE"""),1.0)</f>
        <v>1</v>
      </c>
      <c r="G440" s="1" t="str">
        <f>IFERROR(__xludf.DUMMYFUNCTION("""COMPUTED_VALUE"""),"PR051")</f>
        <v>PR051</v>
      </c>
      <c r="H440" s="1" t="str">
        <f>IFERROR(__xludf.DUMMYFUNCTION("""COMPUTED_VALUE"""),"VD039")</f>
        <v>VD039</v>
      </c>
      <c r="I440" s="1">
        <f>IFERROR(__xludf.DUMMYFUNCTION("""COMPUTED_VALUE"""),15.0)</f>
        <v>15</v>
      </c>
      <c r="J440" s="1">
        <f>IFERROR(__xludf.DUMMYFUNCTION("""COMPUTED_VALUE"""),537.92)</f>
        <v>537.92</v>
      </c>
      <c r="K440" s="1">
        <f>IFERROR(__xludf.DUMMYFUNCTION("""COMPUTED_VALUE"""),537.92)</f>
        <v>537.92</v>
      </c>
    </row>
    <row r="441">
      <c r="A441" s="1">
        <f>IFERROR(__xludf.DUMMYFUNCTION("""COMPUTED_VALUE"""),2000.0)</f>
        <v>2000</v>
      </c>
      <c r="B441" s="1">
        <f>IFERROR(__xludf.DUMMYFUNCTION("""COMPUTED_VALUE"""),183779.0)</f>
        <v>183779</v>
      </c>
      <c r="C441" s="1">
        <f>IFERROR(__xludf.DUMMYFUNCTION("""COMPUTED_VALUE"""),2026.0)</f>
        <v>2026</v>
      </c>
      <c r="D441" s="1">
        <f>IFERROR(__xludf.DUMMYFUNCTION("""COMPUTED_VALUE"""),46303.0)</f>
        <v>46303</v>
      </c>
      <c r="E441" s="1" t="str">
        <f>IFERROR(__xludf.DUMMYFUNCTION("""COMPUTED_VALUE"""),"VF")</f>
        <v>VF</v>
      </c>
      <c r="F441" s="1">
        <f>IFERROR(__xludf.DUMMYFUNCTION("""COMPUTED_VALUE"""),1.0)</f>
        <v>1</v>
      </c>
      <c r="G441" s="1" t="str">
        <f>IFERROR(__xludf.DUMMYFUNCTION("""COMPUTED_VALUE"""),"PR047")</f>
        <v>PR047</v>
      </c>
      <c r="H441" s="1" t="str">
        <f>IFERROR(__xludf.DUMMYFUNCTION("""COMPUTED_VALUE"""),"VD039")</f>
        <v>VD039</v>
      </c>
      <c r="I441" s="1">
        <f>IFERROR(__xludf.DUMMYFUNCTION("""COMPUTED_VALUE"""),8.0)</f>
        <v>8</v>
      </c>
      <c r="J441" s="1">
        <f>IFERROR(__xludf.DUMMYFUNCTION("""COMPUTED_VALUE"""),2504.74)</f>
        <v>2504.74</v>
      </c>
      <c r="K441" s="1">
        <f>IFERROR(__xludf.DUMMYFUNCTION("""COMPUTED_VALUE"""),2504.74)</f>
        <v>2504.74</v>
      </c>
    </row>
    <row r="442">
      <c r="A442" s="1">
        <f>IFERROR(__xludf.DUMMYFUNCTION("""COMPUTED_VALUE"""),1000.0)</f>
        <v>1000</v>
      </c>
      <c r="B442" s="1">
        <f>IFERROR(__xludf.DUMMYFUNCTION("""COMPUTED_VALUE"""),183780.0)</f>
        <v>183780</v>
      </c>
      <c r="C442" s="1">
        <f>IFERROR(__xludf.DUMMYFUNCTION("""COMPUTED_VALUE"""),2026.0)</f>
        <v>2026</v>
      </c>
      <c r="D442" s="1">
        <f>IFERROR(__xludf.DUMMYFUNCTION("""COMPUTED_VALUE"""),46302.0)</f>
        <v>46302</v>
      </c>
      <c r="E442" s="1" t="str">
        <f>IFERROR(__xludf.DUMMYFUNCTION("""COMPUTED_VALUE"""),"VF")</f>
        <v>VF</v>
      </c>
      <c r="F442" s="1">
        <f>IFERROR(__xludf.DUMMYFUNCTION("""COMPUTED_VALUE"""),1.0)</f>
        <v>1</v>
      </c>
      <c r="G442" s="1" t="str">
        <f>IFERROR(__xludf.DUMMYFUNCTION("""COMPUTED_VALUE"""),"PR014")</f>
        <v>PR014</v>
      </c>
      <c r="H442" s="1" t="str">
        <f>IFERROR(__xludf.DUMMYFUNCTION("""COMPUTED_VALUE"""),"VD017")</f>
        <v>VD017</v>
      </c>
      <c r="I442" s="1">
        <f>IFERROR(__xludf.DUMMYFUNCTION("""COMPUTED_VALUE"""),5.0)</f>
        <v>5</v>
      </c>
      <c r="J442" s="1">
        <f>IFERROR(__xludf.DUMMYFUNCTION("""COMPUTED_VALUE"""),217.46)</f>
        <v>217.46</v>
      </c>
      <c r="K442" s="1">
        <f>IFERROR(__xludf.DUMMYFUNCTION("""COMPUTED_VALUE"""),217.46)</f>
        <v>217.46</v>
      </c>
    </row>
    <row r="443">
      <c r="A443" s="1">
        <f>IFERROR(__xludf.DUMMYFUNCTION("""COMPUTED_VALUE"""),1000.0)</f>
        <v>1000</v>
      </c>
      <c r="B443" s="1">
        <f>IFERROR(__xludf.DUMMYFUNCTION("""COMPUTED_VALUE"""),183781.0)</f>
        <v>183781</v>
      </c>
      <c r="C443" s="1">
        <f>IFERROR(__xludf.DUMMYFUNCTION("""COMPUTED_VALUE"""),2026.0)</f>
        <v>2026</v>
      </c>
      <c r="D443" s="1">
        <f>IFERROR(__xludf.DUMMYFUNCTION("""COMPUTED_VALUE"""),46302.0)</f>
        <v>46302</v>
      </c>
      <c r="E443" s="1" t="str">
        <f>IFERROR(__xludf.DUMMYFUNCTION("""COMPUTED_VALUE"""),"VF")</f>
        <v>VF</v>
      </c>
      <c r="F443" s="1">
        <f>IFERROR(__xludf.DUMMYFUNCTION("""COMPUTED_VALUE"""),1.0)</f>
        <v>1</v>
      </c>
      <c r="G443" s="1" t="str">
        <f>IFERROR(__xludf.DUMMYFUNCTION("""COMPUTED_VALUE"""),"PR009")</f>
        <v>PR009</v>
      </c>
      <c r="H443" s="1" t="str">
        <f>IFERROR(__xludf.DUMMYFUNCTION("""COMPUTED_VALUE"""),"VD010")</f>
        <v>VD010</v>
      </c>
      <c r="I443" s="1">
        <f>IFERROR(__xludf.DUMMYFUNCTION("""COMPUTED_VALUE"""),5.0)</f>
        <v>5</v>
      </c>
      <c r="J443" s="1">
        <f>IFERROR(__xludf.DUMMYFUNCTION("""COMPUTED_VALUE"""),478.44)</f>
        <v>478.44</v>
      </c>
      <c r="K443" s="1">
        <f>IFERROR(__xludf.DUMMYFUNCTION("""COMPUTED_VALUE"""),478.44)</f>
        <v>478.44</v>
      </c>
    </row>
    <row r="444">
      <c r="A444" s="1">
        <f>IFERROR(__xludf.DUMMYFUNCTION("""COMPUTED_VALUE"""),1000.0)</f>
        <v>1000</v>
      </c>
      <c r="B444" s="1">
        <f>IFERROR(__xludf.DUMMYFUNCTION("""COMPUTED_VALUE"""),183782.0)</f>
        <v>183782</v>
      </c>
      <c r="C444" s="1">
        <f>IFERROR(__xludf.DUMMYFUNCTION("""COMPUTED_VALUE"""),2026.0)</f>
        <v>2026</v>
      </c>
      <c r="D444" s="1">
        <f>IFERROR(__xludf.DUMMYFUNCTION("""COMPUTED_VALUE"""),46302.0)</f>
        <v>46302</v>
      </c>
      <c r="E444" s="1" t="str">
        <f>IFERROR(__xludf.DUMMYFUNCTION("""COMPUTED_VALUE"""),"VF")</f>
        <v>VF</v>
      </c>
      <c r="F444" s="1">
        <f>IFERROR(__xludf.DUMMYFUNCTION("""COMPUTED_VALUE"""),1.0)</f>
        <v>1</v>
      </c>
      <c r="G444" s="1" t="str">
        <f>IFERROR(__xludf.DUMMYFUNCTION("""COMPUTED_VALUE"""),"PR029")</f>
        <v>PR029</v>
      </c>
      <c r="H444" s="1" t="str">
        <f>IFERROR(__xludf.DUMMYFUNCTION("""COMPUTED_VALUE"""),"VD014")</f>
        <v>VD014</v>
      </c>
      <c r="I444" s="1">
        <f>IFERROR(__xludf.DUMMYFUNCTION("""COMPUTED_VALUE"""),6.0)</f>
        <v>6</v>
      </c>
      <c r="J444" s="1">
        <f>IFERROR(__xludf.DUMMYFUNCTION("""COMPUTED_VALUE"""),1575.9)</f>
        <v>1575.9</v>
      </c>
      <c r="K444" s="1">
        <f>IFERROR(__xludf.DUMMYFUNCTION("""COMPUTED_VALUE"""),1575.9)</f>
        <v>1575.9</v>
      </c>
    </row>
    <row r="445">
      <c r="A445" s="1">
        <f>IFERROR(__xludf.DUMMYFUNCTION("""COMPUTED_VALUE"""),1000.0)</f>
        <v>1000</v>
      </c>
      <c r="B445" s="1">
        <f>IFERROR(__xludf.DUMMYFUNCTION("""COMPUTED_VALUE"""),183782.0)</f>
        <v>183782</v>
      </c>
      <c r="C445" s="1">
        <f>IFERROR(__xludf.DUMMYFUNCTION("""COMPUTED_VALUE"""),2026.0)</f>
        <v>2026</v>
      </c>
      <c r="D445" s="1">
        <f>IFERROR(__xludf.DUMMYFUNCTION("""COMPUTED_VALUE"""),46302.0)</f>
        <v>46302</v>
      </c>
      <c r="E445" s="1" t="str">
        <f>IFERROR(__xludf.DUMMYFUNCTION("""COMPUTED_VALUE"""),"VF")</f>
        <v>VF</v>
      </c>
      <c r="F445" s="1">
        <f>IFERROR(__xludf.DUMMYFUNCTION("""COMPUTED_VALUE"""),2.0)</f>
        <v>2</v>
      </c>
      <c r="G445" s="1" t="str">
        <f>IFERROR(__xludf.DUMMYFUNCTION("""COMPUTED_VALUE"""),"PR019")</f>
        <v>PR019</v>
      </c>
      <c r="H445" s="1" t="str">
        <f>IFERROR(__xludf.DUMMYFUNCTION("""COMPUTED_VALUE"""),"VD020")</f>
        <v>VD020</v>
      </c>
      <c r="I445" s="1">
        <f>IFERROR(__xludf.DUMMYFUNCTION("""COMPUTED_VALUE"""),6.0)</f>
        <v>6</v>
      </c>
      <c r="J445" s="1">
        <f>IFERROR(__xludf.DUMMYFUNCTION("""COMPUTED_VALUE"""),317.36)</f>
        <v>317.36</v>
      </c>
      <c r="K445" s="1">
        <f>IFERROR(__xludf.DUMMYFUNCTION("""COMPUTED_VALUE"""),317.36)</f>
        <v>317.36</v>
      </c>
    </row>
    <row r="446">
      <c r="A446" s="1">
        <f>IFERROR(__xludf.DUMMYFUNCTION("""COMPUTED_VALUE"""),1000.0)</f>
        <v>1000</v>
      </c>
      <c r="B446" s="1">
        <f>IFERROR(__xludf.DUMMYFUNCTION("""COMPUTED_VALUE"""),183783.0)</f>
        <v>183783</v>
      </c>
      <c r="C446" s="1">
        <f>IFERROR(__xludf.DUMMYFUNCTION("""COMPUTED_VALUE"""),2026.0)</f>
        <v>2026</v>
      </c>
      <c r="D446" s="1">
        <f>IFERROR(__xludf.DUMMYFUNCTION("""COMPUTED_VALUE"""),46301.0)</f>
        <v>46301</v>
      </c>
      <c r="E446" s="1" t="str">
        <f>IFERROR(__xludf.DUMMYFUNCTION("""COMPUTED_VALUE"""),"VF")</f>
        <v>VF</v>
      </c>
      <c r="F446" s="1">
        <f>IFERROR(__xludf.DUMMYFUNCTION("""COMPUTED_VALUE"""),1.0)</f>
        <v>1</v>
      </c>
      <c r="G446" s="1" t="str">
        <f>IFERROR(__xludf.DUMMYFUNCTION("""COMPUTED_VALUE"""),"PR007")</f>
        <v>PR007</v>
      </c>
      <c r="H446" s="1" t="str">
        <f>IFERROR(__xludf.DUMMYFUNCTION("""COMPUTED_VALUE"""),"VD028")</f>
        <v>VD028</v>
      </c>
      <c r="I446" s="1">
        <f>IFERROR(__xludf.DUMMYFUNCTION("""COMPUTED_VALUE"""),14.0)</f>
        <v>14</v>
      </c>
      <c r="J446" s="1">
        <f>IFERROR(__xludf.DUMMYFUNCTION("""COMPUTED_VALUE"""),1226.65)</f>
        <v>1226.65</v>
      </c>
      <c r="K446" s="1">
        <f>IFERROR(__xludf.DUMMYFUNCTION("""COMPUTED_VALUE"""),1226.65)</f>
        <v>1226.65</v>
      </c>
    </row>
    <row r="447">
      <c r="A447" s="1">
        <f>IFERROR(__xludf.DUMMYFUNCTION("""COMPUTED_VALUE"""),1000.0)</f>
        <v>1000</v>
      </c>
      <c r="B447" s="1">
        <f>IFERROR(__xludf.DUMMYFUNCTION("""COMPUTED_VALUE"""),183784.0)</f>
        <v>183784</v>
      </c>
      <c r="C447" s="1">
        <f>IFERROR(__xludf.DUMMYFUNCTION("""COMPUTED_VALUE"""),2026.0)</f>
        <v>2026</v>
      </c>
      <c r="D447" s="1">
        <f>IFERROR(__xludf.DUMMYFUNCTION("""COMPUTED_VALUE"""),46301.0)</f>
        <v>46301</v>
      </c>
      <c r="E447" s="1" t="str">
        <f>IFERROR(__xludf.DUMMYFUNCTION("""COMPUTED_VALUE"""),"VF")</f>
        <v>VF</v>
      </c>
      <c r="F447" s="1">
        <f>IFERROR(__xludf.DUMMYFUNCTION("""COMPUTED_VALUE"""),1.0)</f>
        <v>1</v>
      </c>
      <c r="G447" s="1" t="str">
        <f>IFERROR(__xludf.DUMMYFUNCTION("""COMPUTED_VALUE"""),"PR032")</f>
        <v>PR032</v>
      </c>
      <c r="H447" s="1" t="str">
        <f>IFERROR(__xludf.DUMMYFUNCTION("""COMPUTED_VALUE"""),"VD033")</f>
        <v>VD033</v>
      </c>
      <c r="I447" s="1">
        <f>IFERROR(__xludf.DUMMYFUNCTION("""COMPUTED_VALUE"""),30.0)</f>
        <v>30</v>
      </c>
      <c r="J447" s="1">
        <f>IFERROR(__xludf.DUMMYFUNCTION("""COMPUTED_VALUE"""),7950.0)</f>
        <v>7950</v>
      </c>
      <c r="K447" s="1">
        <f>IFERROR(__xludf.DUMMYFUNCTION("""COMPUTED_VALUE"""),7950.0)</f>
        <v>7950</v>
      </c>
    </row>
    <row r="448">
      <c r="A448" s="1">
        <f>IFERROR(__xludf.DUMMYFUNCTION("""COMPUTED_VALUE"""),2000.0)</f>
        <v>2000</v>
      </c>
      <c r="B448" s="1">
        <f>IFERROR(__xludf.DUMMYFUNCTION("""COMPUTED_VALUE"""),183785.0)</f>
        <v>183785</v>
      </c>
      <c r="C448" s="1">
        <f>IFERROR(__xludf.DUMMYFUNCTION("""COMPUTED_VALUE"""),2026.0)</f>
        <v>2026</v>
      </c>
      <c r="D448" s="1">
        <f>IFERROR(__xludf.DUMMYFUNCTION("""COMPUTED_VALUE"""),46300.0)</f>
        <v>46300</v>
      </c>
      <c r="E448" s="1" t="str">
        <f>IFERROR(__xludf.DUMMYFUNCTION("""COMPUTED_VALUE"""),"VF")</f>
        <v>VF</v>
      </c>
      <c r="F448" s="1">
        <f>IFERROR(__xludf.DUMMYFUNCTION("""COMPUTED_VALUE"""),1.0)</f>
        <v>1</v>
      </c>
      <c r="G448" s="1" t="str">
        <f>IFERROR(__xludf.DUMMYFUNCTION("""COMPUTED_VALUE"""),"PR052")</f>
        <v>PR052</v>
      </c>
      <c r="H448" s="1" t="str">
        <f>IFERROR(__xludf.DUMMYFUNCTION("""COMPUTED_VALUE"""),"VD037")</f>
        <v>VD037</v>
      </c>
      <c r="I448" s="1">
        <f>IFERROR(__xludf.DUMMYFUNCTION("""COMPUTED_VALUE"""),16.0)</f>
        <v>16</v>
      </c>
      <c r="J448" s="1">
        <f>IFERROR(__xludf.DUMMYFUNCTION("""COMPUTED_VALUE"""),870.26)</f>
        <v>870.26</v>
      </c>
      <c r="K448" s="1">
        <f>IFERROR(__xludf.DUMMYFUNCTION("""COMPUTED_VALUE"""),870.26)</f>
        <v>870.26</v>
      </c>
    </row>
    <row r="449">
      <c r="A449" s="1">
        <f>IFERROR(__xludf.DUMMYFUNCTION("""COMPUTED_VALUE"""),2000.0)</f>
        <v>2000</v>
      </c>
      <c r="B449" s="1">
        <f>IFERROR(__xludf.DUMMYFUNCTION("""COMPUTED_VALUE"""),183786.0)</f>
        <v>183786</v>
      </c>
      <c r="C449" s="1">
        <f>IFERROR(__xludf.DUMMYFUNCTION("""COMPUTED_VALUE"""),2026.0)</f>
        <v>2026</v>
      </c>
      <c r="D449" s="1">
        <f>IFERROR(__xludf.DUMMYFUNCTION("""COMPUTED_VALUE"""),46300.0)</f>
        <v>46300</v>
      </c>
      <c r="E449" s="1" t="str">
        <f>IFERROR(__xludf.DUMMYFUNCTION("""COMPUTED_VALUE"""),"VF")</f>
        <v>VF</v>
      </c>
      <c r="F449" s="1">
        <f>IFERROR(__xludf.DUMMYFUNCTION("""COMPUTED_VALUE"""),1.0)</f>
        <v>1</v>
      </c>
      <c r="G449" s="1" t="str">
        <f>IFERROR(__xludf.DUMMYFUNCTION("""COMPUTED_VALUE"""),"PR055")</f>
        <v>PR055</v>
      </c>
      <c r="H449" s="1" t="str">
        <f>IFERROR(__xludf.DUMMYFUNCTION("""COMPUTED_VALUE"""),"VD036")</f>
        <v>VD036</v>
      </c>
      <c r="I449" s="1">
        <f>IFERROR(__xludf.DUMMYFUNCTION("""COMPUTED_VALUE"""),1.0)</f>
        <v>1</v>
      </c>
      <c r="J449" s="1">
        <f>IFERROR(__xludf.DUMMYFUNCTION("""COMPUTED_VALUE"""),89.9)</f>
        <v>89.9</v>
      </c>
      <c r="K449" s="1">
        <f>IFERROR(__xludf.DUMMYFUNCTION("""COMPUTED_VALUE"""),89.9)</f>
        <v>89.9</v>
      </c>
    </row>
    <row r="450">
      <c r="A450" s="1">
        <f>IFERROR(__xludf.DUMMYFUNCTION("""COMPUTED_VALUE"""),1000.0)</f>
        <v>1000</v>
      </c>
      <c r="B450" s="1">
        <f>IFERROR(__xludf.DUMMYFUNCTION("""COMPUTED_VALUE"""),183786.0)</f>
        <v>183786</v>
      </c>
      <c r="C450" s="1">
        <f>IFERROR(__xludf.DUMMYFUNCTION("""COMPUTED_VALUE"""),2026.0)</f>
        <v>2026</v>
      </c>
      <c r="D450" s="1">
        <f>IFERROR(__xludf.DUMMYFUNCTION("""COMPUTED_VALUE"""),46300.0)</f>
        <v>46300</v>
      </c>
      <c r="E450" s="1" t="str">
        <f>IFERROR(__xludf.DUMMYFUNCTION("""COMPUTED_VALUE"""),"VF")</f>
        <v>VF</v>
      </c>
      <c r="F450" s="1">
        <f>IFERROR(__xludf.DUMMYFUNCTION("""COMPUTED_VALUE"""),2.0)</f>
        <v>2</v>
      </c>
      <c r="G450" s="1" t="str">
        <f>IFERROR(__xludf.DUMMYFUNCTION("""COMPUTED_VALUE"""),"PR027")</f>
        <v>PR027</v>
      </c>
      <c r="H450" s="1" t="str">
        <f>IFERROR(__xludf.DUMMYFUNCTION("""COMPUTED_VALUE"""),"VD019")</f>
        <v>VD019</v>
      </c>
      <c r="I450" s="1">
        <f>IFERROR(__xludf.DUMMYFUNCTION("""COMPUTED_VALUE"""),8.0)</f>
        <v>8</v>
      </c>
      <c r="J450" s="1">
        <f>IFERROR(__xludf.DUMMYFUNCTION("""COMPUTED_VALUE"""),988.8)</f>
        <v>988.8</v>
      </c>
      <c r="K450" s="1">
        <f>IFERROR(__xludf.DUMMYFUNCTION("""COMPUTED_VALUE"""),988.8)</f>
        <v>988.8</v>
      </c>
    </row>
    <row r="451">
      <c r="A451" s="1">
        <f>IFERROR(__xludf.DUMMYFUNCTION("""COMPUTED_VALUE"""),1000.0)</f>
        <v>1000</v>
      </c>
      <c r="B451" s="1">
        <f>IFERROR(__xludf.DUMMYFUNCTION("""COMPUTED_VALUE"""),183787.0)</f>
        <v>183787</v>
      </c>
      <c r="C451" s="1">
        <f>IFERROR(__xludf.DUMMYFUNCTION("""COMPUTED_VALUE"""),2026.0)</f>
        <v>2026</v>
      </c>
      <c r="D451" s="1">
        <f>IFERROR(__xludf.DUMMYFUNCTION("""COMPUTED_VALUE"""),46300.0)</f>
        <v>46300</v>
      </c>
      <c r="E451" s="1" t="str">
        <f>IFERROR(__xludf.DUMMYFUNCTION("""COMPUTED_VALUE"""),"VF")</f>
        <v>VF</v>
      </c>
      <c r="F451" s="1">
        <f>IFERROR(__xludf.DUMMYFUNCTION("""COMPUTED_VALUE"""),1.0)</f>
        <v>1</v>
      </c>
      <c r="G451" s="1" t="str">
        <f>IFERROR(__xludf.DUMMYFUNCTION("""COMPUTED_VALUE"""),"PR034")</f>
        <v>PR034</v>
      </c>
      <c r="H451" s="1" t="str">
        <f>IFERROR(__xludf.DUMMYFUNCTION("""COMPUTED_VALUE"""),"VD048")</f>
        <v>VD048</v>
      </c>
      <c r="I451" s="1">
        <f>IFERROR(__xludf.DUMMYFUNCTION("""COMPUTED_VALUE"""),30.0)</f>
        <v>30</v>
      </c>
      <c r="J451" s="1">
        <f>IFERROR(__xludf.DUMMYFUNCTION("""COMPUTED_VALUE"""),2777.91)</f>
        <v>2777.91</v>
      </c>
      <c r="K451" s="1">
        <f>IFERROR(__xludf.DUMMYFUNCTION("""COMPUTED_VALUE"""),2777.91)</f>
        <v>2777.91</v>
      </c>
    </row>
    <row r="452">
      <c r="A452" s="1">
        <f>IFERROR(__xludf.DUMMYFUNCTION("""COMPUTED_VALUE"""),1000.0)</f>
        <v>1000</v>
      </c>
      <c r="B452" s="1">
        <f>IFERROR(__xludf.DUMMYFUNCTION("""COMPUTED_VALUE"""),183787.0)</f>
        <v>183787</v>
      </c>
      <c r="C452" s="1">
        <f>IFERROR(__xludf.DUMMYFUNCTION("""COMPUTED_VALUE"""),2026.0)</f>
        <v>2026</v>
      </c>
      <c r="D452" s="1">
        <f>IFERROR(__xludf.DUMMYFUNCTION("""COMPUTED_VALUE"""),46300.0)</f>
        <v>46300</v>
      </c>
      <c r="E452" s="1" t="str">
        <f>IFERROR(__xludf.DUMMYFUNCTION("""COMPUTED_VALUE"""),"VF")</f>
        <v>VF</v>
      </c>
      <c r="F452" s="1">
        <f>IFERROR(__xludf.DUMMYFUNCTION("""COMPUTED_VALUE"""),2.0)</f>
        <v>2</v>
      </c>
      <c r="G452" s="1" t="str">
        <f>IFERROR(__xludf.DUMMYFUNCTION("""COMPUTED_VALUE"""),"PR028")</f>
        <v>PR028</v>
      </c>
      <c r="H452" s="1" t="str">
        <f>IFERROR(__xludf.DUMMYFUNCTION("""COMPUTED_VALUE"""),"VD042")</f>
        <v>VD042</v>
      </c>
      <c r="I452" s="1">
        <f>IFERROR(__xludf.DUMMYFUNCTION("""COMPUTED_VALUE"""),3.0)</f>
        <v>3</v>
      </c>
      <c r="J452" s="1">
        <f>IFERROR(__xludf.DUMMYFUNCTION("""COMPUTED_VALUE"""),749.7)</f>
        <v>749.7</v>
      </c>
      <c r="K452" s="1">
        <f>IFERROR(__xludf.DUMMYFUNCTION("""COMPUTED_VALUE"""),749.7)</f>
        <v>749.7</v>
      </c>
    </row>
    <row r="453">
      <c r="A453" s="1">
        <f>IFERROR(__xludf.DUMMYFUNCTION("""COMPUTED_VALUE"""),1000.0)</f>
        <v>1000</v>
      </c>
      <c r="B453" s="1">
        <f>IFERROR(__xludf.DUMMYFUNCTION("""COMPUTED_VALUE"""),183788.0)</f>
        <v>183788</v>
      </c>
      <c r="C453" s="1">
        <f>IFERROR(__xludf.DUMMYFUNCTION("""COMPUTED_VALUE"""),2026.0)</f>
        <v>2026</v>
      </c>
      <c r="D453" s="1">
        <f>IFERROR(__xludf.DUMMYFUNCTION("""COMPUTED_VALUE"""),46300.0)</f>
        <v>46300</v>
      </c>
      <c r="E453" s="1" t="str">
        <f>IFERROR(__xludf.DUMMYFUNCTION("""COMPUTED_VALUE"""),"VF")</f>
        <v>VF</v>
      </c>
      <c r="F453" s="1">
        <f>IFERROR(__xludf.DUMMYFUNCTION("""COMPUTED_VALUE"""),1.0)</f>
        <v>1</v>
      </c>
      <c r="G453" s="1" t="str">
        <f>IFERROR(__xludf.DUMMYFUNCTION("""COMPUTED_VALUE"""),"PR039")</f>
        <v>PR039</v>
      </c>
      <c r="H453" s="1" t="str">
        <f>IFERROR(__xludf.DUMMYFUNCTION("""COMPUTED_VALUE"""),"VD023")</f>
        <v>VD023</v>
      </c>
      <c r="I453" s="1">
        <f>IFERROR(__xludf.DUMMYFUNCTION("""COMPUTED_VALUE"""),9.0)</f>
        <v>9</v>
      </c>
      <c r="J453" s="1">
        <f>IFERROR(__xludf.DUMMYFUNCTION("""COMPUTED_VALUE"""),1445.4)</f>
        <v>1445.4</v>
      </c>
      <c r="K453" s="1">
        <f>IFERROR(__xludf.DUMMYFUNCTION("""COMPUTED_VALUE"""),1445.4)</f>
        <v>1445.4</v>
      </c>
    </row>
    <row r="454">
      <c r="A454" s="1">
        <f>IFERROR(__xludf.DUMMYFUNCTION("""COMPUTED_VALUE"""),1000.0)</f>
        <v>1000</v>
      </c>
      <c r="B454" s="1">
        <f>IFERROR(__xludf.DUMMYFUNCTION("""COMPUTED_VALUE"""),183789.0)</f>
        <v>183789</v>
      </c>
      <c r="C454" s="1">
        <f>IFERROR(__xludf.DUMMYFUNCTION("""COMPUTED_VALUE"""),2026.0)</f>
        <v>2026</v>
      </c>
      <c r="D454" s="1">
        <f>IFERROR(__xludf.DUMMYFUNCTION("""COMPUTED_VALUE"""),46299.0)</f>
        <v>46299</v>
      </c>
      <c r="E454" s="1" t="str">
        <f>IFERROR(__xludf.DUMMYFUNCTION("""COMPUTED_VALUE"""),"VF")</f>
        <v>VF</v>
      </c>
      <c r="F454" s="1">
        <f>IFERROR(__xludf.DUMMYFUNCTION("""COMPUTED_VALUE"""),1.0)</f>
        <v>1</v>
      </c>
      <c r="G454" s="1" t="str">
        <f>IFERROR(__xludf.DUMMYFUNCTION("""COMPUTED_VALUE"""),"PR053")</f>
        <v>PR053</v>
      </c>
      <c r="H454" s="1" t="str">
        <f>IFERROR(__xludf.DUMMYFUNCTION("""COMPUTED_VALUE"""),"VD024")</f>
        <v>VD024</v>
      </c>
      <c r="I454" s="1">
        <f>IFERROR(__xludf.DUMMYFUNCTION("""COMPUTED_VALUE"""),6.0)</f>
        <v>6</v>
      </c>
      <c r="J454" s="1">
        <f>IFERROR(__xludf.DUMMYFUNCTION("""COMPUTED_VALUE"""),308.38)</f>
        <v>308.38</v>
      </c>
      <c r="K454" s="1">
        <f>IFERROR(__xludf.DUMMYFUNCTION("""COMPUTED_VALUE"""),308.38)</f>
        <v>308.38</v>
      </c>
    </row>
    <row r="455">
      <c r="A455" s="1">
        <f>IFERROR(__xludf.DUMMYFUNCTION("""COMPUTED_VALUE"""),1000.0)</f>
        <v>1000</v>
      </c>
      <c r="B455" s="1">
        <f>IFERROR(__xludf.DUMMYFUNCTION("""COMPUTED_VALUE"""),183789.0)</f>
        <v>183789</v>
      </c>
      <c r="C455" s="1">
        <f>IFERROR(__xludf.DUMMYFUNCTION("""COMPUTED_VALUE"""),2026.0)</f>
        <v>2026</v>
      </c>
      <c r="D455" s="1">
        <f>IFERROR(__xludf.DUMMYFUNCTION("""COMPUTED_VALUE"""),46299.0)</f>
        <v>46299</v>
      </c>
      <c r="E455" s="1" t="str">
        <f>IFERROR(__xludf.DUMMYFUNCTION("""COMPUTED_VALUE"""),"VF")</f>
        <v>VF</v>
      </c>
      <c r="F455" s="1">
        <f>IFERROR(__xludf.DUMMYFUNCTION("""COMPUTED_VALUE"""),2.0)</f>
        <v>2</v>
      </c>
      <c r="G455" s="1" t="str">
        <f>IFERROR(__xludf.DUMMYFUNCTION("""COMPUTED_VALUE"""),"PR032")</f>
        <v>PR032</v>
      </c>
      <c r="H455" s="1" t="str">
        <f>IFERROR(__xludf.DUMMYFUNCTION("""COMPUTED_VALUE"""),"VD011")</f>
        <v>VD011</v>
      </c>
      <c r="I455" s="1">
        <f>IFERROR(__xludf.DUMMYFUNCTION("""COMPUTED_VALUE"""),27.0)</f>
        <v>27</v>
      </c>
      <c r="J455" s="1">
        <f>IFERROR(__xludf.DUMMYFUNCTION("""COMPUTED_VALUE"""),7020.0)</f>
        <v>7020</v>
      </c>
      <c r="K455" s="1">
        <f>IFERROR(__xludf.DUMMYFUNCTION("""COMPUTED_VALUE"""),7020.0)</f>
        <v>7020</v>
      </c>
    </row>
    <row r="456">
      <c r="A456" s="1">
        <f>IFERROR(__xludf.DUMMYFUNCTION("""COMPUTED_VALUE"""),2000.0)</f>
        <v>2000</v>
      </c>
      <c r="B456" s="1">
        <f>IFERROR(__xludf.DUMMYFUNCTION("""COMPUTED_VALUE"""),183790.0)</f>
        <v>183790</v>
      </c>
      <c r="C456" s="1">
        <f>IFERROR(__xludf.DUMMYFUNCTION("""COMPUTED_VALUE"""),2026.0)</f>
        <v>2026</v>
      </c>
      <c r="D456" s="1">
        <f>IFERROR(__xludf.DUMMYFUNCTION("""COMPUTED_VALUE"""),46299.0)</f>
        <v>46299</v>
      </c>
      <c r="E456" s="1" t="str">
        <f>IFERROR(__xludf.DUMMYFUNCTION("""COMPUTED_VALUE"""),"VF")</f>
        <v>VF</v>
      </c>
      <c r="F456" s="1">
        <f>IFERROR(__xludf.DUMMYFUNCTION("""COMPUTED_VALUE"""),1.0)</f>
        <v>1</v>
      </c>
      <c r="G456" s="1" t="str">
        <f>IFERROR(__xludf.DUMMYFUNCTION("""COMPUTED_VALUE"""),"PR027")</f>
        <v>PR027</v>
      </c>
      <c r="H456" s="1" t="str">
        <f>IFERROR(__xludf.DUMMYFUNCTION("""COMPUTED_VALUE"""),"VD030")</f>
        <v>VD030</v>
      </c>
      <c r="I456" s="1">
        <f>IFERROR(__xludf.DUMMYFUNCTION("""COMPUTED_VALUE"""),3.0)</f>
        <v>3</v>
      </c>
      <c r="J456" s="1">
        <f>IFERROR(__xludf.DUMMYFUNCTION("""COMPUTED_VALUE"""),381.6)</f>
        <v>381.6</v>
      </c>
      <c r="K456" s="1">
        <f>IFERROR(__xludf.DUMMYFUNCTION("""COMPUTED_VALUE"""),381.6)</f>
        <v>381.6</v>
      </c>
    </row>
    <row r="457">
      <c r="A457" s="1">
        <f>IFERROR(__xludf.DUMMYFUNCTION("""COMPUTED_VALUE"""),1000.0)</f>
        <v>1000</v>
      </c>
      <c r="B457" s="1">
        <f>IFERROR(__xludf.DUMMYFUNCTION("""COMPUTED_VALUE"""),183791.0)</f>
        <v>183791</v>
      </c>
      <c r="C457" s="1">
        <f>IFERROR(__xludf.DUMMYFUNCTION("""COMPUTED_VALUE"""),2026.0)</f>
        <v>2026</v>
      </c>
      <c r="D457" s="1">
        <f>IFERROR(__xludf.DUMMYFUNCTION("""COMPUTED_VALUE"""),46299.0)</f>
        <v>46299</v>
      </c>
      <c r="E457" s="1" t="str">
        <f>IFERROR(__xludf.DUMMYFUNCTION("""COMPUTED_VALUE"""),"VF")</f>
        <v>VF</v>
      </c>
      <c r="F457" s="1">
        <f>IFERROR(__xludf.DUMMYFUNCTION("""COMPUTED_VALUE"""),1.0)</f>
        <v>1</v>
      </c>
      <c r="G457" s="1" t="str">
        <f>IFERROR(__xludf.DUMMYFUNCTION("""COMPUTED_VALUE"""),"PR049")</f>
        <v>PR049</v>
      </c>
      <c r="H457" s="1" t="str">
        <f>IFERROR(__xludf.DUMMYFUNCTION("""COMPUTED_VALUE"""),"VD017")</f>
        <v>VD017</v>
      </c>
      <c r="I457" s="1">
        <f>IFERROR(__xludf.DUMMYFUNCTION("""COMPUTED_VALUE"""),24.0)</f>
        <v>24</v>
      </c>
      <c r="J457" s="1">
        <f>IFERROR(__xludf.DUMMYFUNCTION("""COMPUTED_VALUE"""),868.56)</f>
        <v>868.56</v>
      </c>
      <c r="K457" s="1">
        <f>IFERROR(__xludf.DUMMYFUNCTION("""COMPUTED_VALUE"""),868.56)</f>
        <v>868.56</v>
      </c>
    </row>
    <row r="458">
      <c r="A458" s="1">
        <f>IFERROR(__xludf.DUMMYFUNCTION("""COMPUTED_VALUE"""),1000.0)</f>
        <v>1000</v>
      </c>
      <c r="B458" s="1">
        <f>IFERROR(__xludf.DUMMYFUNCTION("""COMPUTED_VALUE"""),183792.0)</f>
        <v>183792</v>
      </c>
      <c r="C458" s="1">
        <f>IFERROR(__xludf.DUMMYFUNCTION("""COMPUTED_VALUE"""),2026.0)</f>
        <v>2026</v>
      </c>
      <c r="D458" s="1">
        <f>IFERROR(__xludf.DUMMYFUNCTION("""COMPUTED_VALUE"""),46298.0)</f>
        <v>46298</v>
      </c>
      <c r="E458" s="1" t="str">
        <f>IFERROR(__xludf.DUMMYFUNCTION("""COMPUTED_VALUE"""),"VF")</f>
        <v>VF</v>
      </c>
      <c r="F458" s="1">
        <f>IFERROR(__xludf.DUMMYFUNCTION("""COMPUTED_VALUE"""),1.0)</f>
        <v>1</v>
      </c>
      <c r="G458" s="1" t="str">
        <f>IFERROR(__xludf.DUMMYFUNCTION("""COMPUTED_VALUE"""),"PR050")</f>
        <v>PR050</v>
      </c>
      <c r="H458" s="1" t="str">
        <f>IFERROR(__xludf.DUMMYFUNCTION("""COMPUTED_VALUE"""),"VD018")</f>
        <v>VD018</v>
      </c>
      <c r="I458" s="1">
        <f>IFERROR(__xludf.DUMMYFUNCTION("""COMPUTED_VALUE"""),30.0)</f>
        <v>30</v>
      </c>
      <c r="J458" s="1">
        <f>IFERROR(__xludf.DUMMYFUNCTION("""COMPUTED_VALUE"""),987.0)</f>
        <v>987</v>
      </c>
      <c r="K458" s="1">
        <f>IFERROR(__xludf.DUMMYFUNCTION("""COMPUTED_VALUE"""),987.0)</f>
        <v>987</v>
      </c>
    </row>
    <row r="459">
      <c r="A459" s="1">
        <f>IFERROR(__xludf.DUMMYFUNCTION("""COMPUTED_VALUE"""),2000.0)</f>
        <v>2000</v>
      </c>
      <c r="B459" s="1">
        <f>IFERROR(__xludf.DUMMYFUNCTION("""COMPUTED_VALUE"""),183793.0)</f>
        <v>183793</v>
      </c>
      <c r="C459" s="1">
        <f>IFERROR(__xludf.DUMMYFUNCTION("""COMPUTED_VALUE"""),2026.0)</f>
        <v>2026</v>
      </c>
      <c r="D459" s="1">
        <f>IFERROR(__xludf.DUMMYFUNCTION("""COMPUTED_VALUE"""),46298.0)</f>
        <v>46298</v>
      </c>
      <c r="E459" s="1" t="str">
        <f>IFERROR(__xludf.DUMMYFUNCTION("""COMPUTED_VALUE"""),"VF")</f>
        <v>VF</v>
      </c>
      <c r="F459" s="1">
        <f>IFERROR(__xludf.DUMMYFUNCTION("""COMPUTED_VALUE"""),1.0)</f>
        <v>1</v>
      </c>
      <c r="G459" s="1" t="str">
        <f>IFERROR(__xludf.DUMMYFUNCTION("""COMPUTED_VALUE"""),"PR051")</f>
        <v>PR051</v>
      </c>
      <c r="H459" s="1" t="str">
        <f>IFERROR(__xludf.DUMMYFUNCTION("""COMPUTED_VALUE"""),"VD021")</f>
        <v>VD021</v>
      </c>
      <c r="I459" s="1">
        <f>IFERROR(__xludf.DUMMYFUNCTION("""COMPUTED_VALUE"""),9.0)</f>
        <v>9</v>
      </c>
      <c r="J459" s="1">
        <f>IFERROR(__xludf.DUMMYFUNCTION("""COMPUTED_VALUE"""),302.02)</f>
        <v>302.02</v>
      </c>
      <c r="K459" s="1">
        <f>IFERROR(__xludf.DUMMYFUNCTION("""COMPUTED_VALUE"""),302.02)</f>
        <v>302.02</v>
      </c>
    </row>
    <row r="460">
      <c r="A460" s="1">
        <f>IFERROR(__xludf.DUMMYFUNCTION("""COMPUTED_VALUE"""),1000.0)</f>
        <v>1000</v>
      </c>
      <c r="B460" s="1">
        <f>IFERROR(__xludf.DUMMYFUNCTION("""COMPUTED_VALUE"""),183794.0)</f>
        <v>183794</v>
      </c>
      <c r="C460" s="1">
        <f>IFERROR(__xludf.DUMMYFUNCTION("""COMPUTED_VALUE"""),2026.0)</f>
        <v>2026</v>
      </c>
      <c r="D460" s="1">
        <f>IFERROR(__xludf.DUMMYFUNCTION("""COMPUTED_VALUE"""),46298.0)</f>
        <v>46298</v>
      </c>
      <c r="E460" s="1" t="str">
        <f>IFERROR(__xludf.DUMMYFUNCTION("""COMPUTED_VALUE"""),"VF")</f>
        <v>VF</v>
      </c>
      <c r="F460" s="1">
        <f>IFERROR(__xludf.DUMMYFUNCTION("""COMPUTED_VALUE"""),1.0)</f>
        <v>1</v>
      </c>
      <c r="G460" s="1" t="str">
        <f>IFERROR(__xludf.DUMMYFUNCTION("""COMPUTED_VALUE"""),"PR031")</f>
        <v>PR031</v>
      </c>
      <c r="H460" s="1" t="str">
        <f>IFERROR(__xludf.DUMMYFUNCTION("""COMPUTED_VALUE"""),"VD018")</f>
        <v>VD018</v>
      </c>
      <c r="I460" s="1">
        <f>IFERROR(__xludf.DUMMYFUNCTION("""COMPUTED_VALUE"""),12.0)</f>
        <v>12</v>
      </c>
      <c r="J460" s="1">
        <f>IFERROR(__xludf.DUMMYFUNCTION("""COMPUTED_VALUE"""),3175.2)</f>
        <v>3175.2</v>
      </c>
      <c r="K460" s="1">
        <f>IFERROR(__xludf.DUMMYFUNCTION("""COMPUTED_VALUE"""),3175.2)</f>
        <v>3175.2</v>
      </c>
    </row>
    <row r="461">
      <c r="A461" s="1">
        <f>IFERROR(__xludf.DUMMYFUNCTION("""COMPUTED_VALUE"""),2000.0)</f>
        <v>2000</v>
      </c>
      <c r="B461" s="1">
        <f>IFERROR(__xludf.DUMMYFUNCTION("""COMPUTED_VALUE"""),183795.0)</f>
        <v>183795</v>
      </c>
      <c r="C461" s="1">
        <f>IFERROR(__xludf.DUMMYFUNCTION("""COMPUTED_VALUE"""),2026.0)</f>
        <v>2026</v>
      </c>
      <c r="D461" s="1">
        <f>IFERROR(__xludf.DUMMYFUNCTION("""COMPUTED_VALUE"""),46298.0)</f>
        <v>46298</v>
      </c>
      <c r="E461" s="1" t="str">
        <f>IFERROR(__xludf.DUMMYFUNCTION("""COMPUTED_VALUE"""),"VF")</f>
        <v>VF</v>
      </c>
      <c r="F461" s="1">
        <f>IFERROR(__xludf.DUMMYFUNCTION("""COMPUTED_VALUE"""),1.0)</f>
        <v>1</v>
      </c>
      <c r="G461" s="1" t="str">
        <f>IFERROR(__xludf.DUMMYFUNCTION("""COMPUTED_VALUE"""),"PR017")</f>
        <v>PR017</v>
      </c>
      <c r="H461" s="1" t="str">
        <f>IFERROR(__xludf.DUMMYFUNCTION("""COMPUTED_VALUE"""),"VD014")</f>
        <v>VD014</v>
      </c>
      <c r="I461" s="1">
        <f>IFERROR(__xludf.DUMMYFUNCTION("""COMPUTED_VALUE"""),6.0)</f>
        <v>6</v>
      </c>
      <c r="J461" s="1">
        <f>IFERROR(__xludf.DUMMYFUNCTION("""COMPUTED_VALUE"""),197.34)</f>
        <v>197.34</v>
      </c>
      <c r="K461" s="1">
        <f>IFERROR(__xludf.DUMMYFUNCTION("""COMPUTED_VALUE"""),197.34)</f>
        <v>197.34</v>
      </c>
    </row>
    <row r="462">
      <c r="A462" s="1">
        <f>IFERROR(__xludf.DUMMYFUNCTION("""COMPUTED_VALUE"""),1000.0)</f>
        <v>1000</v>
      </c>
      <c r="B462" s="1">
        <f>IFERROR(__xludf.DUMMYFUNCTION("""COMPUTED_VALUE"""),183796.0)</f>
        <v>183796</v>
      </c>
      <c r="C462" s="1">
        <f>IFERROR(__xludf.DUMMYFUNCTION("""COMPUTED_VALUE"""),2026.0)</f>
        <v>2026</v>
      </c>
      <c r="D462" s="1">
        <f>IFERROR(__xludf.DUMMYFUNCTION("""COMPUTED_VALUE"""),46298.0)</f>
        <v>46298</v>
      </c>
      <c r="E462" s="1" t="str">
        <f>IFERROR(__xludf.DUMMYFUNCTION("""COMPUTED_VALUE"""),"VF")</f>
        <v>VF</v>
      </c>
      <c r="F462" s="1">
        <f>IFERROR(__xludf.DUMMYFUNCTION("""COMPUTED_VALUE"""),1.0)</f>
        <v>1</v>
      </c>
      <c r="G462" s="1" t="str">
        <f>IFERROR(__xludf.DUMMYFUNCTION("""COMPUTED_VALUE"""),"PR044")</f>
        <v>PR044</v>
      </c>
      <c r="H462" s="1" t="str">
        <f>IFERROR(__xludf.DUMMYFUNCTION("""COMPUTED_VALUE"""),"VD025")</f>
        <v>VD025</v>
      </c>
      <c r="I462" s="1">
        <f>IFERROR(__xludf.DUMMYFUNCTION("""COMPUTED_VALUE"""),1.0)</f>
        <v>1</v>
      </c>
      <c r="J462" s="1">
        <f>IFERROR(__xludf.DUMMYFUNCTION("""COMPUTED_VALUE"""),76.13)</f>
        <v>76.13</v>
      </c>
      <c r="K462" s="1">
        <f>IFERROR(__xludf.DUMMYFUNCTION("""COMPUTED_VALUE"""),76.13)</f>
        <v>76.13</v>
      </c>
    </row>
    <row r="463">
      <c r="A463" s="1">
        <f>IFERROR(__xludf.DUMMYFUNCTION("""COMPUTED_VALUE"""),1000.0)</f>
        <v>1000</v>
      </c>
      <c r="B463" s="1">
        <f>IFERROR(__xludf.DUMMYFUNCTION("""COMPUTED_VALUE"""),183797.0)</f>
        <v>183797</v>
      </c>
      <c r="C463" s="1">
        <f>IFERROR(__xludf.DUMMYFUNCTION("""COMPUTED_VALUE"""),2026.0)</f>
        <v>2026</v>
      </c>
      <c r="D463" s="1">
        <f>IFERROR(__xludf.DUMMYFUNCTION("""COMPUTED_VALUE"""),46297.0)</f>
        <v>46297</v>
      </c>
      <c r="E463" s="1" t="str">
        <f>IFERROR(__xludf.DUMMYFUNCTION("""COMPUTED_VALUE"""),"VF")</f>
        <v>VF</v>
      </c>
      <c r="F463" s="1">
        <f>IFERROR(__xludf.DUMMYFUNCTION("""COMPUTED_VALUE"""),1.0)</f>
        <v>1</v>
      </c>
      <c r="G463" s="1" t="str">
        <f>IFERROR(__xludf.DUMMYFUNCTION("""COMPUTED_VALUE"""),"PR018")</f>
        <v>PR018</v>
      </c>
      <c r="H463" s="1" t="str">
        <f>IFERROR(__xludf.DUMMYFUNCTION("""COMPUTED_VALUE"""),"VD019")</f>
        <v>VD019</v>
      </c>
      <c r="I463" s="1">
        <f>IFERROR(__xludf.DUMMYFUNCTION("""COMPUTED_VALUE"""),3.0)</f>
        <v>3</v>
      </c>
      <c r="J463" s="1">
        <f>IFERROR(__xludf.DUMMYFUNCTION("""COMPUTED_VALUE"""),98.7)</f>
        <v>98.7</v>
      </c>
      <c r="K463" s="1">
        <f>IFERROR(__xludf.DUMMYFUNCTION("""COMPUTED_VALUE"""),98.7)</f>
        <v>98.7</v>
      </c>
    </row>
    <row r="464">
      <c r="A464" s="1">
        <f>IFERROR(__xludf.DUMMYFUNCTION("""COMPUTED_VALUE"""),1000.0)</f>
        <v>1000</v>
      </c>
      <c r="B464" s="1">
        <f>IFERROR(__xludf.DUMMYFUNCTION("""COMPUTED_VALUE"""),183798.0)</f>
        <v>183798</v>
      </c>
      <c r="C464" s="1">
        <f>IFERROR(__xludf.DUMMYFUNCTION("""COMPUTED_VALUE"""),2026.0)</f>
        <v>2026</v>
      </c>
      <c r="D464" s="1">
        <f>IFERROR(__xludf.DUMMYFUNCTION("""COMPUTED_VALUE"""),46297.0)</f>
        <v>46297</v>
      </c>
      <c r="E464" s="1" t="str">
        <f>IFERROR(__xludf.DUMMYFUNCTION("""COMPUTED_VALUE"""),"VF")</f>
        <v>VF</v>
      </c>
      <c r="F464" s="1">
        <f>IFERROR(__xludf.DUMMYFUNCTION("""COMPUTED_VALUE"""),1.0)</f>
        <v>1</v>
      </c>
      <c r="G464" s="1" t="str">
        <f>IFERROR(__xludf.DUMMYFUNCTION("""COMPUTED_VALUE"""),"PR010")</f>
        <v>PR010</v>
      </c>
      <c r="H464" s="1" t="str">
        <f>IFERROR(__xludf.DUMMYFUNCTION("""COMPUTED_VALUE"""),"VD042")</f>
        <v>VD042</v>
      </c>
      <c r="I464" s="1">
        <f>IFERROR(__xludf.DUMMYFUNCTION("""COMPUTED_VALUE"""),10.0)</f>
        <v>10</v>
      </c>
      <c r="J464" s="1">
        <f>IFERROR(__xludf.DUMMYFUNCTION("""COMPUTED_VALUE"""),489.41)</f>
        <v>489.41</v>
      </c>
      <c r="K464" s="1">
        <f>IFERROR(__xludf.DUMMYFUNCTION("""COMPUTED_VALUE"""),489.41)</f>
        <v>489.41</v>
      </c>
    </row>
    <row r="465">
      <c r="A465" s="1">
        <f>IFERROR(__xludf.DUMMYFUNCTION("""COMPUTED_VALUE"""),1000.0)</f>
        <v>1000</v>
      </c>
      <c r="B465" s="1">
        <f>IFERROR(__xludf.DUMMYFUNCTION("""COMPUTED_VALUE"""),183799.0)</f>
        <v>183799</v>
      </c>
      <c r="C465" s="1">
        <f>IFERROR(__xludf.DUMMYFUNCTION("""COMPUTED_VALUE"""),2026.0)</f>
        <v>2026</v>
      </c>
      <c r="D465" s="1">
        <f>IFERROR(__xludf.DUMMYFUNCTION("""COMPUTED_VALUE"""),46296.0)</f>
        <v>46296</v>
      </c>
      <c r="E465" s="1" t="str">
        <f>IFERROR(__xludf.DUMMYFUNCTION("""COMPUTED_VALUE"""),"VF")</f>
        <v>VF</v>
      </c>
      <c r="F465" s="1">
        <f>IFERROR(__xludf.DUMMYFUNCTION("""COMPUTED_VALUE"""),1.0)</f>
        <v>1</v>
      </c>
      <c r="G465" s="1" t="str">
        <f>IFERROR(__xludf.DUMMYFUNCTION("""COMPUTED_VALUE"""),"PR041")</f>
        <v>PR041</v>
      </c>
      <c r="H465" s="1" t="str">
        <f>IFERROR(__xludf.DUMMYFUNCTION("""COMPUTED_VALUE"""),"VD032")</f>
        <v>VD032</v>
      </c>
      <c r="I465" s="1">
        <f>IFERROR(__xludf.DUMMYFUNCTION("""COMPUTED_VALUE"""),10.0)</f>
        <v>10</v>
      </c>
      <c r="J465" s="1">
        <f>IFERROR(__xludf.DUMMYFUNCTION("""COMPUTED_VALUE"""),554.49)</f>
        <v>554.49</v>
      </c>
      <c r="K465" s="1">
        <f>IFERROR(__xludf.DUMMYFUNCTION("""COMPUTED_VALUE"""),554.49)</f>
        <v>554.49</v>
      </c>
    </row>
    <row r="466">
      <c r="A466" s="1">
        <f>IFERROR(__xludf.DUMMYFUNCTION("""COMPUTED_VALUE"""),1000.0)</f>
        <v>1000</v>
      </c>
      <c r="B466" s="1">
        <f>IFERROR(__xludf.DUMMYFUNCTION("""COMPUTED_VALUE"""),183799.0)</f>
        <v>183799</v>
      </c>
      <c r="C466" s="1">
        <f>IFERROR(__xludf.DUMMYFUNCTION("""COMPUTED_VALUE"""),2026.0)</f>
        <v>2026</v>
      </c>
      <c r="D466" s="1">
        <f>IFERROR(__xludf.DUMMYFUNCTION("""COMPUTED_VALUE"""),46296.0)</f>
        <v>46296</v>
      </c>
      <c r="E466" s="1" t="str">
        <f>IFERROR(__xludf.DUMMYFUNCTION("""COMPUTED_VALUE"""),"VF")</f>
        <v>VF</v>
      </c>
      <c r="F466" s="1">
        <f>IFERROR(__xludf.DUMMYFUNCTION("""COMPUTED_VALUE"""),2.0)</f>
        <v>2</v>
      </c>
      <c r="G466" s="1" t="str">
        <f>IFERROR(__xludf.DUMMYFUNCTION("""COMPUTED_VALUE"""),"PR050")</f>
        <v>PR050</v>
      </c>
      <c r="H466" s="1" t="str">
        <f>IFERROR(__xludf.DUMMYFUNCTION("""COMPUTED_VALUE"""),"VD042")</f>
        <v>VD042</v>
      </c>
      <c r="I466" s="1">
        <f>IFERROR(__xludf.DUMMYFUNCTION("""COMPUTED_VALUE"""),2.0)</f>
        <v>2</v>
      </c>
      <c r="J466" s="1">
        <f>IFERROR(__xludf.DUMMYFUNCTION("""COMPUTED_VALUE"""),68.43)</f>
        <v>68.43</v>
      </c>
      <c r="K466" s="1">
        <f>IFERROR(__xludf.DUMMYFUNCTION("""COMPUTED_VALUE"""),68.43)</f>
        <v>68.43</v>
      </c>
    </row>
    <row r="467">
      <c r="A467" s="1">
        <f>IFERROR(__xludf.DUMMYFUNCTION("""COMPUTED_VALUE"""),2000.0)</f>
        <v>2000</v>
      </c>
      <c r="B467" s="1">
        <f>IFERROR(__xludf.DUMMYFUNCTION("""COMPUTED_VALUE"""),183800.0)</f>
        <v>183800</v>
      </c>
      <c r="C467" s="1">
        <f>IFERROR(__xludf.DUMMYFUNCTION("""COMPUTED_VALUE"""),2026.0)</f>
        <v>2026</v>
      </c>
      <c r="D467" s="1">
        <f>IFERROR(__xludf.DUMMYFUNCTION("""COMPUTED_VALUE"""),46296.0)</f>
        <v>46296</v>
      </c>
      <c r="E467" s="1" t="str">
        <f>IFERROR(__xludf.DUMMYFUNCTION("""COMPUTED_VALUE"""),"VF")</f>
        <v>VF</v>
      </c>
      <c r="F467" s="1">
        <f>IFERROR(__xludf.DUMMYFUNCTION("""COMPUTED_VALUE"""),1.0)</f>
        <v>1</v>
      </c>
      <c r="G467" s="1" t="str">
        <f>IFERROR(__xludf.DUMMYFUNCTION("""COMPUTED_VALUE"""),"PR022")</f>
        <v>PR022</v>
      </c>
      <c r="H467" s="1" t="str">
        <f>IFERROR(__xludf.DUMMYFUNCTION("""COMPUTED_VALUE"""),"VD031")</f>
        <v>VD031</v>
      </c>
      <c r="I467" s="1">
        <f>IFERROR(__xludf.DUMMYFUNCTION("""COMPUTED_VALUE"""),10.0)</f>
        <v>10</v>
      </c>
      <c r="J467" s="1">
        <f>IFERROR(__xludf.DUMMYFUNCTION("""COMPUTED_VALUE"""),3270.0)</f>
        <v>3270</v>
      </c>
      <c r="K467" s="1">
        <f>IFERROR(__xludf.DUMMYFUNCTION("""COMPUTED_VALUE"""),3270.0)</f>
        <v>3270</v>
      </c>
    </row>
    <row r="468">
      <c r="A468" s="1">
        <f>IFERROR(__xludf.DUMMYFUNCTION("""COMPUTED_VALUE"""),1000.0)</f>
        <v>1000</v>
      </c>
      <c r="B468" s="1">
        <f>IFERROR(__xludf.DUMMYFUNCTION("""COMPUTED_VALUE"""),183800.0)</f>
        <v>183800</v>
      </c>
      <c r="C468" s="1">
        <f>IFERROR(__xludf.DUMMYFUNCTION("""COMPUTED_VALUE"""),2026.0)</f>
        <v>2026</v>
      </c>
      <c r="D468" s="1">
        <f>IFERROR(__xludf.DUMMYFUNCTION("""COMPUTED_VALUE"""),46296.0)</f>
        <v>46296</v>
      </c>
      <c r="E468" s="1" t="str">
        <f>IFERROR(__xludf.DUMMYFUNCTION("""COMPUTED_VALUE"""),"VF")</f>
        <v>VF</v>
      </c>
      <c r="F468" s="1">
        <f>IFERROR(__xludf.DUMMYFUNCTION("""COMPUTED_VALUE"""),2.0)</f>
        <v>2</v>
      </c>
      <c r="G468" s="1" t="str">
        <f>IFERROR(__xludf.DUMMYFUNCTION("""COMPUTED_VALUE"""),"PR048")</f>
        <v>PR048</v>
      </c>
      <c r="H468" s="1" t="str">
        <f>IFERROR(__xludf.DUMMYFUNCTION("""COMPUTED_VALUE"""),"VD016")</f>
        <v>VD016</v>
      </c>
      <c r="I468" s="1">
        <f>IFERROR(__xludf.DUMMYFUNCTION("""COMPUTED_VALUE"""),16.0)</f>
        <v>16</v>
      </c>
      <c r="J468" s="1">
        <f>IFERROR(__xludf.DUMMYFUNCTION("""COMPUTED_VALUE"""),5009.47)</f>
        <v>5009.47</v>
      </c>
      <c r="K468" s="1">
        <f>IFERROR(__xludf.DUMMYFUNCTION("""COMPUTED_VALUE"""),5009.47)</f>
        <v>5009.47</v>
      </c>
    </row>
    <row r="469">
      <c r="A469" s="1">
        <f>IFERROR(__xludf.DUMMYFUNCTION("""COMPUTED_VALUE"""),1000.0)</f>
        <v>1000</v>
      </c>
      <c r="B469" s="1">
        <f>IFERROR(__xludf.DUMMYFUNCTION("""COMPUTED_VALUE"""),183800.0)</f>
        <v>183800</v>
      </c>
      <c r="C469" s="1">
        <f>IFERROR(__xludf.DUMMYFUNCTION("""COMPUTED_VALUE"""),2026.0)</f>
        <v>2026</v>
      </c>
      <c r="D469" s="1">
        <f>IFERROR(__xludf.DUMMYFUNCTION("""COMPUTED_VALUE"""),46296.0)</f>
        <v>46296</v>
      </c>
      <c r="E469" s="1" t="str">
        <f>IFERROR(__xludf.DUMMYFUNCTION("""COMPUTED_VALUE"""),"VF")</f>
        <v>VF</v>
      </c>
      <c r="F469" s="1">
        <f>IFERROR(__xludf.DUMMYFUNCTION("""COMPUTED_VALUE"""),3.0)</f>
        <v>3</v>
      </c>
      <c r="G469" s="1" t="str">
        <f>IFERROR(__xludf.DUMMYFUNCTION("""COMPUTED_VALUE"""),"PR028")</f>
        <v>PR028</v>
      </c>
      <c r="H469" s="1" t="str">
        <f>IFERROR(__xludf.DUMMYFUNCTION("""COMPUTED_VALUE"""),"VD041")</f>
        <v>VD041</v>
      </c>
      <c r="I469" s="1">
        <f>IFERROR(__xludf.DUMMYFUNCTION("""COMPUTED_VALUE"""),16.0)</f>
        <v>16</v>
      </c>
      <c r="J469" s="1">
        <f>IFERROR(__xludf.DUMMYFUNCTION("""COMPUTED_VALUE"""),4038.38)</f>
        <v>4038.38</v>
      </c>
      <c r="K469" s="1">
        <f>IFERROR(__xludf.DUMMYFUNCTION("""COMPUTED_VALUE"""),4038.38)</f>
        <v>4038.38</v>
      </c>
    </row>
    <row r="470">
      <c r="A470" s="1">
        <f>IFERROR(__xludf.DUMMYFUNCTION("""COMPUTED_VALUE"""),1000.0)</f>
        <v>1000</v>
      </c>
      <c r="B470" s="1">
        <f>IFERROR(__xludf.DUMMYFUNCTION("""COMPUTED_VALUE"""),183801.0)</f>
        <v>183801</v>
      </c>
      <c r="C470" s="1">
        <f>IFERROR(__xludf.DUMMYFUNCTION("""COMPUTED_VALUE"""),2026.0)</f>
        <v>2026</v>
      </c>
      <c r="D470" s="1">
        <f>IFERROR(__xludf.DUMMYFUNCTION("""COMPUTED_VALUE"""),46296.0)</f>
        <v>46296</v>
      </c>
      <c r="E470" s="1" t="str">
        <f>IFERROR(__xludf.DUMMYFUNCTION("""COMPUTED_VALUE"""),"VF")</f>
        <v>VF</v>
      </c>
      <c r="F470" s="1">
        <f>IFERROR(__xludf.DUMMYFUNCTION("""COMPUTED_VALUE"""),1.0)</f>
        <v>1</v>
      </c>
      <c r="G470" s="1" t="str">
        <f>IFERROR(__xludf.DUMMYFUNCTION("""COMPUTED_VALUE"""),"PR002")</f>
        <v>PR002</v>
      </c>
      <c r="H470" s="1" t="str">
        <f>IFERROR(__xludf.DUMMYFUNCTION("""COMPUTED_VALUE"""),"VD027")</f>
        <v>VD027</v>
      </c>
      <c r="I470" s="1">
        <f>IFERROR(__xludf.DUMMYFUNCTION("""COMPUTED_VALUE"""),2.0)</f>
        <v>2</v>
      </c>
      <c r="J470" s="1">
        <f>IFERROR(__xludf.DUMMYFUNCTION("""COMPUTED_VALUE"""),153.78)</f>
        <v>153.78</v>
      </c>
      <c r="K470" s="1">
        <f>IFERROR(__xludf.DUMMYFUNCTION("""COMPUTED_VALUE"""),153.78)</f>
        <v>153.78</v>
      </c>
    </row>
    <row r="471">
      <c r="A471" s="1">
        <f>IFERROR(__xludf.DUMMYFUNCTION("""COMPUTED_VALUE"""),1000.0)</f>
        <v>1000</v>
      </c>
      <c r="B471" s="1">
        <f>IFERROR(__xludf.DUMMYFUNCTION("""COMPUTED_VALUE"""),183802.0)</f>
        <v>183802</v>
      </c>
      <c r="C471" s="1">
        <f>IFERROR(__xludf.DUMMYFUNCTION("""COMPUTED_VALUE"""),2026.0)</f>
        <v>2026</v>
      </c>
      <c r="D471" s="1">
        <f>IFERROR(__xludf.DUMMYFUNCTION("""COMPUTED_VALUE"""),46296.0)</f>
        <v>46296</v>
      </c>
      <c r="E471" s="1" t="str">
        <f>IFERROR(__xludf.DUMMYFUNCTION("""COMPUTED_VALUE"""),"VF")</f>
        <v>VF</v>
      </c>
      <c r="F471" s="1">
        <f>IFERROR(__xludf.DUMMYFUNCTION("""COMPUTED_VALUE"""),1.0)</f>
        <v>1</v>
      </c>
      <c r="G471" s="1" t="str">
        <f>IFERROR(__xludf.DUMMYFUNCTION("""COMPUTED_VALUE"""),"PR043")</f>
        <v>PR043</v>
      </c>
      <c r="H471" s="1" t="str">
        <f>IFERROR(__xludf.DUMMYFUNCTION("""COMPUTED_VALUE"""),"VD046")</f>
        <v>VD046</v>
      </c>
      <c r="I471" s="1">
        <f>IFERROR(__xludf.DUMMYFUNCTION("""COMPUTED_VALUE"""),2.0)</f>
        <v>2</v>
      </c>
      <c r="J471" s="1">
        <f>IFERROR(__xludf.DUMMYFUNCTION("""COMPUTED_VALUE"""),146.45)</f>
        <v>146.45</v>
      </c>
      <c r="K471" s="1">
        <f>IFERROR(__xludf.DUMMYFUNCTION("""COMPUTED_VALUE"""),146.45)</f>
        <v>146.45</v>
      </c>
    </row>
    <row r="472">
      <c r="A472" s="1">
        <f>IFERROR(__xludf.DUMMYFUNCTION("""COMPUTED_VALUE"""),1000.0)</f>
        <v>1000</v>
      </c>
      <c r="B472" s="1">
        <f>IFERROR(__xludf.DUMMYFUNCTION("""COMPUTED_VALUE"""),183802.0)</f>
        <v>183802</v>
      </c>
      <c r="C472" s="1">
        <f>IFERROR(__xludf.DUMMYFUNCTION("""COMPUTED_VALUE"""),2026.0)</f>
        <v>2026</v>
      </c>
      <c r="D472" s="1">
        <f>IFERROR(__xludf.DUMMYFUNCTION("""COMPUTED_VALUE"""),46296.0)</f>
        <v>46296</v>
      </c>
      <c r="E472" s="1" t="str">
        <f>IFERROR(__xludf.DUMMYFUNCTION("""COMPUTED_VALUE"""),"VF")</f>
        <v>VF</v>
      </c>
      <c r="F472" s="1">
        <f>IFERROR(__xludf.DUMMYFUNCTION("""COMPUTED_VALUE"""),2.0)</f>
        <v>2</v>
      </c>
      <c r="G472" s="1" t="str">
        <f>IFERROR(__xludf.DUMMYFUNCTION("""COMPUTED_VALUE"""),"PR033")</f>
        <v>PR033</v>
      </c>
      <c r="H472" s="1" t="str">
        <f>IFERROR(__xludf.DUMMYFUNCTION("""COMPUTED_VALUE"""),"VD042")</f>
        <v>VD042</v>
      </c>
      <c r="I472" s="1">
        <f>IFERROR(__xludf.DUMMYFUNCTION("""COMPUTED_VALUE"""),10.0)</f>
        <v>10</v>
      </c>
      <c r="J472" s="1">
        <f>IFERROR(__xludf.DUMMYFUNCTION("""COMPUTED_VALUE"""),2832.91)</f>
        <v>2832.91</v>
      </c>
      <c r="K472" s="1">
        <f>IFERROR(__xludf.DUMMYFUNCTION("""COMPUTED_VALUE"""),2832.91)</f>
        <v>2832.91</v>
      </c>
    </row>
    <row r="473">
      <c r="A473" s="1">
        <f>IFERROR(__xludf.DUMMYFUNCTION("""COMPUTED_VALUE"""),1000.0)</f>
        <v>1000</v>
      </c>
      <c r="B473" s="1">
        <f>IFERROR(__xludf.DUMMYFUNCTION("""COMPUTED_VALUE"""),183803.0)</f>
        <v>183803</v>
      </c>
      <c r="C473" s="1">
        <f>IFERROR(__xludf.DUMMYFUNCTION("""COMPUTED_VALUE"""),2026.0)</f>
        <v>2026</v>
      </c>
      <c r="D473" s="1">
        <f>IFERROR(__xludf.DUMMYFUNCTION("""COMPUTED_VALUE"""),46296.0)</f>
        <v>46296</v>
      </c>
      <c r="E473" s="1" t="str">
        <f>IFERROR(__xludf.DUMMYFUNCTION("""COMPUTED_VALUE"""),"VF")</f>
        <v>VF</v>
      </c>
      <c r="F473" s="1">
        <f>IFERROR(__xludf.DUMMYFUNCTION("""COMPUTED_VALUE"""),1.0)</f>
        <v>1</v>
      </c>
      <c r="G473" s="1" t="str">
        <f>IFERROR(__xludf.DUMMYFUNCTION("""COMPUTED_VALUE"""),"PR041")</f>
        <v>PR041</v>
      </c>
      <c r="H473" s="1" t="str">
        <f>IFERROR(__xludf.DUMMYFUNCTION("""COMPUTED_VALUE"""),"VD020")</f>
        <v>VD020</v>
      </c>
      <c r="I473" s="1">
        <f>IFERROR(__xludf.DUMMYFUNCTION("""COMPUTED_VALUE"""),7.0)</f>
        <v>7</v>
      </c>
      <c r="J473" s="1">
        <f>IFERROR(__xludf.DUMMYFUNCTION("""COMPUTED_VALUE"""),388.14)</f>
        <v>388.14</v>
      </c>
      <c r="K473" s="1">
        <f>IFERROR(__xludf.DUMMYFUNCTION("""COMPUTED_VALUE"""),388.14)</f>
        <v>388.14</v>
      </c>
    </row>
    <row r="474">
      <c r="A474" s="1">
        <f>IFERROR(__xludf.DUMMYFUNCTION("""COMPUTED_VALUE"""),1000.0)</f>
        <v>1000</v>
      </c>
      <c r="B474" s="1">
        <f>IFERROR(__xludf.DUMMYFUNCTION("""COMPUTED_VALUE"""),183804.0)</f>
        <v>183804</v>
      </c>
      <c r="C474" s="1">
        <f>IFERROR(__xludf.DUMMYFUNCTION("""COMPUTED_VALUE"""),2026.0)</f>
        <v>2026</v>
      </c>
      <c r="D474" s="1">
        <f>IFERROR(__xludf.DUMMYFUNCTION("""COMPUTED_VALUE"""),46296.0)</f>
        <v>46296</v>
      </c>
      <c r="E474" s="1" t="str">
        <f>IFERROR(__xludf.DUMMYFUNCTION("""COMPUTED_VALUE"""),"VF")</f>
        <v>VF</v>
      </c>
      <c r="F474" s="1">
        <f>IFERROR(__xludf.DUMMYFUNCTION("""COMPUTED_VALUE"""),1.0)</f>
        <v>1</v>
      </c>
      <c r="G474" s="1" t="str">
        <f>IFERROR(__xludf.DUMMYFUNCTION("""COMPUTED_VALUE"""),"PR030")</f>
        <v>PR030</v>
      </c>
      <c r="H474" s="1" t="str">
        <f>IFERROR(__xludf.DUMMYFUNCTION("""COMPUTED_VALUE"""),"VD045")</f>
        <v>VD045</v>
      </c>
      <c r="I474" s="1">
        <f>IFERROR(__xludf.DUMMYFUNCTION("""COMPUTED_VALUE"""),5.0)</f>
        <v>5</v>
      </c>
      <c r="J474" s="1">
        <f>IFERROR(__xludf.DUMMYFUNCTION("""COMPUTED_VALUE"""),1312.5)</f>
        <v>1312.5</v>
      </c>
      <c r="K474" s="1">
        <f>IFERROR(__xludf.DUMMYFUNCTION("""COMPUTED_VALUE"""),1312.5)</f>
        <v>1312.5</v>
      </c>
    </row>
    <row r="475">
      <c r="A475" s="1">
        <f>IFERROR(__xludf.DUMMYFUNCTION("""COMPUTED_VALUE"""),2000.0)</f>
        <v>2000</v>
      </c>
      <c r="B475" s="1">
        <f>IFERROR(__xludf.DUMMYFUNCTION("""COMPUTED_VALUE"""),183804.0)</f>
        <v>183804</v>
      </c>
      <c r="C475" s="1">
        <f>IFERROR(__xludf.DUMMYFUNCTION("""COMPUTED_VALUE"""),2026.0)</f>
        <v>2026</v>
      </c>
      <c r="D475" s="1">
        <f>IFERROR(__xludf.DUMMYFUNCTION("""COMPUTED_VALUE"""),46296.0)</f>
        <v>46296</v>
      </c>
      <c r="E475" s="1" t="str">
        <f>IFERROR(__xludf.DUMMYFUNCTION("""COMPUTED_VALUE"""),"VF")</f>
        <v>VF</v>
      </c>
      <c r="F475" s="1">
        <f>IFERROR(__xludf.DUMMYFUNCTION("""COMPUTED_VALUE"""),2.0)</f>
        <v>2</v>
      </c>
      <c r="G475" s="1" t="str">
        <f>IFERROR(__xludf.DUMMYFUNCTION("""COMPUTED_VALUE"""),"PR060")</f>
        <v>PR060</v>
      </c>
      <c r="H475" s="1" t="str">
        <f>IFERROR(__xludf.DUMMYFUNCTION("""COMPUTED_VALUE"""),"VD032")</f>
        <v>VD032</v>
      </c>
      <c r="I475" s="1">
        <f>IFERROR(__xludf.DUMMYFUNCTION("""COMPUTED_VALUE"""),6.0)</f>
        <v>6</v>
      </c>
      <c r="J475" s="1">
        <f>IFERROR(__xludf.DUMMYFUNCTION("""COMPUTED_VALUE"""),1090.8)</f>
        <v>1090.8</v>
      </c>
      <c r="K475" s="1">
        <f>IFERROR(__xludf.DUMMYFUNCTION("""COMPUTED_VALUE"""),1090.8)</f>
        <v>1090.8</v>
      </c>
    </row>
    <row r="476">
      <c r="A476" s="1">
        <f>IFERROR(__xludf.DUMMYFUNCTION("""COMPUTED_VALUE"""),1000.0)</f>
        <v>1000</v>
      </c>
      <c r="B476" s="1">
        <f>IFERROR(__xludf.DUMMYFUNCTION("""COMPUTED_VALUE"""),183804.0)</f>
        <v>183804</v>
      </c>
      <c r="C476" s="1">
        <f>IFERROR(__xludf.DUMMYFUNCTION("""COMPUTED_VALUE"""),2026.0)</f>
        <v>2026</v>
      </c>
      <c r="D476" s="1">
        <f>IFERROR(__xludf.DUMMYFUNCTION("""COMPUTED_VALUE"""),46296.0)</f>
        <v>46296</v>
      </c>
      <c r="E476" s="1" t="str">
        <f>IFERROR(__xludf.DUMMYFUNCTION("""COMPUTED_VALUE"""),"VF")</f>
        <v>VF</v>
      </c>
      <c r="F476" s="1">
        <f>IFERROR(__xludf.DUMMYFUNCTION("""COMPUTED_VALUE"""),3.0)</f>
        <v>3</v>
      </c>
      <c r="G476" s="1" t="str">
        <f>IFERROR(__xludf.DUMMYFUNCTION("""COMPUTED_VALUE"""),"PR051")</f>
        <v>PR051</v>
      </c>
      <c r="H476" s="1" t="str">
        <f>IFERROR(__xludf.DUMMYFUNCTION("""COMPUTED_VALUE"""),"VD034")</f>
        <v>VD034</v>
      </c>
      <c r="I476" s="1">
        <f>IFERROR(__xludf.DUMMYFUNCTION("""COMPUTED_VALUE"""),20.0)</f>
        <v>20</v>
      </c>
      <c r="J476" s="1">
        <f>IFERROR(__xludf.DUMMYFUNCTION("""COMPUTED_VALUE"""),658.0)</f>
        <v>658</v>
      </c>
      <c r="K476" s="1">
        <f>IFERROR(__xludf.DUMMYFUNCTION("""COMPUTED_VALUE"""),658.0)</f>
        <v>658</v>
      </c>
    </row>
    <row r="477">
      <c r="A477" s="1">
        <f>IFERROR(__xludf.DUMMYFUNCTION("""COMPUTED_VALUE"""),1000.0)</f>
        <v>1000</v>
      </c>
      <c r="B477" s="1">
        <f>IFERROR(__xludf.DUMMYFUNCTION("""COMPUTED_VALUE"""),183805.0)</f>
        <v>183805</v>
      </c>
      <c r="C477" s="1">
        <f>IFERROR(__xludf.DUMMYFUNCTION("""COMPUTED_VALUE"""),2026.0)</f>
        <v>2026</v>
      </c>
      <c r="D477" s="1">
        <f>IFERROR(__xludf.DUMMYFUNCTION("""COMPUTED_VALUE"""),46296.0)</f>
        <v>46296</v>
      </c>
      <c r="E477" s="1" t="str">
        <f>IFERROR(__xludf.DUMMYFUNCTION("""COMPUTED_VALUE"""),"VF")</f>
        <v>VF</v>
      </c>
      <c r="F477" s="1">
        <f>IFERROR(__xludf.DUMMYFUNCTION("""COMPUTED_VALUE"""),1.0)</f>
        <v>1</v>
      </c>
      <c r="G477" s="1" t="str">
        <f>IFERROR(__xludf.DUMMYFUNCTION("""COMPUTED_VALUE"""),"PR005")</f>
        <v>PR005</v>
      </c>
      <c r="H477" s="1" t="str">
        <f>IFERROR(__xludf.DUMMYFUNCTION("""COMPUTED_VALUE"""),"VD011")</f>
        <v>VD011</v>
      </c>
      <c r="I477" s="1">
        <f>IFERROR(__xludf.DUMMYFUNCTION("""COMPUTED_VALUE"""),10.0)</f>
        <v>10</v>
      </c>
      <c r="J477" s="1">
        <f>IFERROR(__xludf.DUMMYFUNCTION("""COMPUTED_VALUE"""),2676.97)</f>
        <v>2676.97</v>
      </c>
      <c r="K477" s="1">
        <f>IFERROR(__xludf.DUMMYFUNCTION("""COMPUTED_VALUE"""),2676.97)</f>
        <v>2676.97</v>
      </c>
    </row>
    <row r="478">
      <c r="A478" s="1">
        <f>IFERROR(__xludf.DUMMYFUNCTION("""COMPUTED_VALUE"""),1000.0)</f>
        <v>1000</v>
      </c>
      <c r="B478" s="1">
        <f>IFERROR(__xludf.DUMMYFUNCTION("""COMPUTED_VALUE"""),183806.0)</f>
        <v>183806</v>
      </c>
      <c r="C478" s="1">
        <f>IFERROR(__xludf.DUMMYFUNCTION("""COMPUTED_VALUE"""),2026.0)</f>
        <v>2026</v>
      </c>
      <c r="D478" s="1">
        <f>IFERROR(__xludf.DUMMYFUNCTION("""COMPUTED_VALUE"""),46296.0)</f>
        <v>46296</v>
      </c>
      <c r="E478" s="1" t="str">
        <f>IFERROR(__xludf.DUMMYFUNCTION("""COMPUTED_VALUE"""),"VF")</f>
        <v>VF</v>
      </c>
      <c r="F478" s="1">
        <f>IFERROR(__xludf.DUMMYFUNCTION("""COMPUTED_VALUE"""),1.0)</f>
        <v>1</v>
      </c>
      <c r="G478" s="1" t="str">
        <f>IFERROR(__xludf.DUMMYFUNCTION("""COMPUTED_VALUE"""),"PR013")</f>
        <v>PR013</v>
      </c>
      <c r="H478" s="1" t="str">
        <f>IFERROR(__xludf.DUMMYFUNCTION("""COMPUTED_VALUE"""),"VD012")</f>
        <v>VD012</v>
      </c>
      <c r="I478" s="1">
        <f>IFERROR(__xludf.DUMMYFUNCTION("""COMPUTED_VALUE"""),20.0)</f>
        <v>20</v>
      </c>
      <c r="J478" s="1">
        <f>IFERROR(__xludf.DUMMYFUNCTION("""COMPUTED_VALUE"""),845.88)</f>
        <v>845.88</v>
      </c>
      <c r="K478" s="1">
        <f>IFERROR(__xludf.DUMMYFUNCTION("""COMPUTED_VALUE"""),845.88)</f>
        <v>845.88</v>
      </c>
    </row>
    <row r="479">
      <c r="A479" s="1">
        <f>IFERROR(__xludf.DUMMYFUNCTION("""COMPUTED_VALUE"""),2000.0)</f>
        <v>2000</v>
      </c>
      <c r="B479" s="1">
        <f>IFERROR(__xludf.DUMMYFUNCTION("""COMPUTED_VALUE"""),183806.0)</f>
        <v>183806</v>
      </c>
      <c r="C479" s="1">
        <f>IFERROR(__xludf.DUMMYFUNCTION("""COMPUTED_VALUE"""),2026.0)</f>
        <v>2026</v>
      </c>
      <c r="D479" s="1">
        <f>IFERROR(__xludf.DUMMYFUNCTION("""COMPUTED_VALUE"""),46295.0)</f>
        <v>46295</v>
      </c>
      <c r="E479" s="1" t="str">
        <f>IFERROR(__xludf.DUMMYFUNCTION("""COMPUTED_VALUE"""),"VF")</f>
        <v>VF</v>
      </c>
      <c r="F479" s="1">
        <f>IFERROR(__xludf.DUMMYFUNCTION("""COMPUTED_VALUE"""),2.0)</f>
        <v>2</v>
      </c>
      <c r="G479" s="1" t="str">
        <f>IFERROR(__xludf.DUMMYFUNCTION("""COMPUTED_VALUE"""),"PR037")</f>
        <v>PR037</v>
      </c>
      <c r="H479" s="1" t="str">
        <f>IFERROR(__xludf.DUMMYFUNCTION("""COMPUTED_VALUE"""),"VD039")</f>
        <v>VD039</v>
      </c>
      <c r="I479" s="1">
        <f>IFERROR(__xludf.DUMMYFUNCTION("""COMPUTED_VALUE"""),14.0)</f>
        <v>14</v>
      </c>
      <c r="J479" s="1">
        <f>IFERROR(__xludf.DUMMYFUNCTION("""COMPUTED_VALUE"""),1979.6)</f>
        <v>1979.6</v>
      </c>
      <c r="K479" s="1">
        <f>IFERROR(__xludf.DUMMYFUNCTION("""COMPUTED_VALUE"""),1979.6)</f>
        <v>1979.6</v>
      </c>
    </row>
    <row r="480">
      <c r="A480" s="1">
        <f>IFERROR(__xludf.DUMMYFUNCTION("""COMPUTED_VALUE"""),1000.0)</f>
        <v>1000</v>
      </c>
      <c r="B480" s="1">
        <f>IFERROR(__xludf.DUMMYFUNCTION("""COMPUTED_VALUE"""),183806.0)</f>
        <v>183806</v>
      </c>
      <c r="C480" s="1">
        <f>IFERROR(__xludf.DUMMYFUNCTION("""COMPUTED_VALUE"""),2026.0)</f>
        <v>2026</v>
      </c>
      <c r="D480" s="1">
        <f>IFERROR(__xludf.DUMMYFUNCTION("""COMPUTED_VALUE"""),46295.0)</f>
        <v>46295</v>
      </c>
      <c r="E480" s="1" t="str">
        <f>IFERROR(__xludf.DUMMYFUNCTION("""COMPUTED_VALUE"""),"VF")</f>
        <v>VF</v>
      </c>
      <c r="F480" s="1">
        <f>IFERROR(__xludf.DUMMYFUNCTION("""COMPUTED_VALUE"""),3.0)</f>
        <v>3</v>
      </c>
      <c r="G480" s="1" t="str">
        <f>IFERROR(__xludf.DUMMYFUNCTION("""COMPUTED_VALUE"""),"PR032")</f>
        <v>PR032</v>
      </c>
      <c r="H480" s="1" t="str">
        <f>IFERROR(__xludf.DUMMYFUNCTION("""COMPUTED_VALUE"""),"VD022")</f>
        <v>VD022</v>
      </c>
      <c r="I480" s="1">
        <f>IFERROR(__xludf.DUMMYFUNCTION("""COMPUTED_VALUE"""),16.0)</f>
        <v>16</v>
      </c>
      <c r="J480" s="1">
        <f>IFERROR(__xludf.DUMMYFUNCTION("""COMPUTED_VALUE"""),4160.0)</f>
        <v>4160</v>
      </c>
      <c r="K480" s="1">
        <f>IFERROR(__xludf.DUMMYFUNCTION("""COMPUTED_VALUE"""),4160.0)</f>
        <v>4160</v>
      </c>
    </row>
    <row r="481">
      <c r="A481" s="1">
        <f>IFERROR(__xludf.DUMMYFUNCTION("""COMPUTED_VALUE"""),1000.0)</f>
        <v>1000</v>
      </c>
      <c r="B481" s="1">
        <f>IFERROR(__xludf.DUMMYFUNCTION("""COMPUTED_VALUE"""),183807.0)</f>
        <v>183807</v>
      </c>
      <c r="C481" s="1">
        <f>IFERROR(__xludf.DUMMYFUNCTION("""COMPUTED_VALUE"""),2026.0)</f>
        <v>2026</v>
      </c>
      <c r="D481" s="1">
        <f>IFERROR(__xludf.DUMMYFUNCTION("""COMPUTED_VALUE"""),46294.0)</f>
        <v>46294</v>
      </c>
      <c r="E481" s="1" t="str">
        <f>IFERROR(__xludf.DUMMYFUNCTION("""COMPUTED_VALUE"""),"VF")</f>
        <v>VF</v>
      </c>
      <c r="F481" s="1">
        <f>IFERROR(__xludf.DUMMYFUNCTION("""COMPUTED_VALUE"""),1.0)</f>
        <v>1</v>
      </c>
      <c r="G481" s="1" t="str">
        <f>IFERROR(__xludf.DUMMYFUNCTION("""COMPUTED_VALUE"""),"PR052")</f>
        <v>PR052</v>
      </c>
      <c r="H481" s="1" t="str">
        <f>IFERROR(__xludf.DUMMYFUNCTION("""COMPUTED_VALUE"""),"VD045")</f>
        <v>VD045</v>
      </c>
      <c r="I481" s="1">
        <f>IFERROR(__xludf.DUMMYFUNCTION("""COMPUTED_VALUE"""),5.0)</f>
        <v>5</v>
      </c>
      <c r="J481" s="1">
        <f>IFERROR(__xludf.DUMMYFUNCTION("""COMPUTED_VALUE"""),269.46)</f>
        <v>269.46</v>
      </c>
      <c r="K481" s="1">
        <f>IFERROR(__xludf.DUMMYFUNCTION("""COMPUTED_VALUE"""),269.46)</f>
        <v>269.46</v>
      </c>
    </row>
    <row r="482">
      <c r="A482" s="1">
        <f>IFERROR(__xludf.DUMMYFUNCTION("""COMPUTED_VALUE"""),1000.0)</f>
        <v>1000</v>
      </c>
      <c r="B482" s="1">
        <f>IFERROR(__xludf.DUMMYFUNCTION("""COMPUTED_VALUE"""),183808.0)</f>
        <v>183808</v>
      </c>
      <c r="C482" s="1">
        <f>IFERROR(__xludf.DUMMYFUNCTION("""COMPUTED_VALUE"""),2026.0)</f>
        <v>2026</v>
      </c>
      <c r="D482" s="1">
        <f>IFERROR(__xludf.DUMMYFUNCTION("""COMPUTED_VALUE"""),46294.0)</f>
        <v>46294</v>
      </c>
      <c r="E482" s="1" t="str">
        <f>IFERROR(__xludf.DUMMYFUNCTION("""COMPUTED_VALUE"""),"VF")</f>
        <v>VF</v>
      </c>
      <c r="F482" s="1">
        <f>IFERROR(__xludf.DUMMYFUNCTION("""COMPUTED_VALUE"""),1.0)</f>
        <v>1</v>
      </c>
      <c r="G482" s="1" t="str">
        <f>IFERROR(__xludf.DUMMYFUNCTION("""COMPUTED_VALUE"""),"PR038")</f>
        <v>PR038</v>
      </c>
      <c r="H482" s="1" t="str">
        <f>IFERROR(__xludf.DUMMYFUNCTION("""COMPUTED_VALUE"""),"VD020")</f>
        <v>VD020</v>
      </c>
      <c r="I482" s="1">
        <f>IFERROR(__xludf.DUMMYFUNCTION("""COMPUTED_VALUE"""),2.0)</f>
        <v>2</v>
      </c>
      <c r="J482" s="1">
        <f>IFERROR(__xludf.DUMMYFUNCTION("""COMPUTED_VALUE"""),305.81)</f>
        <v>305.81</v>
      </c>
      <c r="K482" s="1">
        <f>IFERROR(__xludf.DUMMYFUNCTION("""COMPUTED_VALUE"""),305.81)</f>
        <v>305.81</v>
      </c>
    </row>
    <row r="483">
      <c r="A483" s="1">
        <f>IFERROR(__xludf.DUMMYFUNCTION("""COMPUTED_VALUE"""),1000.0)</f>
        <v>1000</v>
      </c>
      <c r="B483" s="1">
        <f>IFERROR(__xludf.DUMMYFUNCTION("""COMPUTED_VALUE"""),183809.0)</f>
        <v>183809</v>
      </c>
      <c r="C483" s="1">
        <f>IFERROR(__xludf.DUMMYFUNCTION("""COMPUTED_VALUE"""),2026.0)</f>
        <v>2026</v>
      </c>
      <c r="D483" s="1">
        <f>IFERROR(__xludf.DUMMYFUNCTION("""COMPUTED_VALUE"""),46294.0)</f>
        <v>46294</v>
      </c>
      <c r="E483" s="1" t="str">
        <f>IFERROR(__xludf.DUMMYFUNCTION("""COMPUTED_VALUE"""),"VF")</f>
        <v>VF</v>
      </c>
      <c r="F483" s="1">
        <f>IFERROR(__xludf.DUMMYFUNCTION("""COMPUTED_VALUE"""),1.0)</f>
        <v>1</v>
      </c>
      <c r="G483" s="1" t="str">
        <f>IFERROR(__xludf.DUMMYFUNCTION("""COMPUTED_VALUE"""),"PR049")</f>
        <v>PR049</v>
      </c>
      <c r="H483" s="1" t="str">
        <f>IFERROR(__xludf.DUMMYFUNCTION("""COMPUTED_VALUE"""),"VD029")</f>
        <v>VD029</v>
      </c>
      <c r="I483" s="1">
        <f>IFERROR(__xludf.DUMMYFUNCTION("""COMPUTED_VALUE"""),9.0)</f>
        <v>9</v>
      </c>
      <c r="J483" s="1">
        <f>IFERROR(__xludf.DUMMYFUNCTION("""COMPUTED_VALUE"""),310.91)</f>
        <v>310.91</v>
      </c>
      <c r="K483" s="1">
        <f>IFERROR(__xludf.DUMMYFUNCTION("""COMPUTED_VALUE"""),310.91)</f>
        <v>310.91</v>
      </c>
    </row>
    <row r="484">
      <c r="A484" s="1">
        <f>IFERROR(__xludf.DUMMYFUNCTION("""COMPUTED_VALUE"""),1000.0)</f>
        <v>1000</v>
      </c>
      <c r="B484" s="1">
        <f>IFERROR(__xludf.DUMMYFUNCTION("""COMPUTED_VALUE"""),183809.0)</f>
        <v>183809</v>
      </c>
      <c r="C484" s="1">
        <f>IFERROR(__xludf.DUMMYFUNCTION("""COMPUTED_VALUE"""),2026.0)</f>
        <v>2026</v>
      </c>
      <c r="D484" s="1">
        <f>IFERROR(__xludf.DUMMYFUNCTION("""COMPUTED_VALUE"""),46294.0)</f>
        <v>46294</v>
      </c>
      <c r="E484" s="1" t="str">
        <f>IFERROR(__xludf.DUMMYFUNCTION("""COMPUTED_VALUE"""),"VF")</f>
        <v>VF</v>
      </c>
      <c r="F484" s="1">
        <f>IFERROR(__xludf.DUMMYFUNCTION("""COMPUTED_VALUE"""),2.0)</f>
        <v>2</v>
      </c>
      <c r="G484" s="1" t="str">
        <f>IFERROR(__xludf.DUMMYFUNCTION("""COMPUTED_VALUE"""),"PR022")</f>
        <v>PR022</v>
      </c>
      <c r="H484" s="1" t="str">
        <f>IFERROR(__xludf.DUMMYFUNCTION("""COMPUTED_VALUE"""),"VD015")</f>
        <v>VD015</v>
      </c>
      <c r="I484" s="1">
        <f>IFERROR(__xludf.DUMMYFUNCTION("""COMPUTED_VALUE"""),12.0)</f>
        <v>12</v>
      </c>
      <c r="J484" s="1">
        <f>IFERROR(__xludf.DUMMYFUNCTION("""COMPUTED_VALUE"""),3672.0)</f>
        <v>3672</v>
      </c>
      <c r="K484" s="1">
        <f>IFERROR(__xludf.DUMMYFUNCTION("""COMPUTED_VALUE"""),3672.0)</f>
        <v>3672</v>
      </c>
    </row>
    <row r="485">
      <c r="A485" s="1">
        <f>IFERROR(__xludf.DUMMYFUNCTION("""COMPUTED_VALUE"""),1000.0)</f>
        <v>1000</v>
      </c>
      <c r="B485" s="1">
        <f>IFERROR(__xludf.DUMMYFUNCTION("""COMPUTED_VALUE"""),183810.0)</f>
        <v>183810</v>
      </c>
      <c r="C485" s="1">
        <f>IFERROR(__xludf.DUMMYFUNCTION("""COMPUTED_VALUE"""),2026.0)</f>
        <v>2026</v>
      </c>
      <c r="D485" s="1">
        <f>IFERROR(__xludf.DUMMYFUNCTION("""COMPUTED_VALUE"""),46294.0)</f>
        <v>46294</v>
      </c>
      <c r="E485" s="1" t="str">
        <f>IFERROR(__xludf.DUMMYFUNCTION("""COMPUTED_VALUE"""),"VF")</f>
        <v>VF</v>
      </c>
      <c r="F485" s="1">
        <f>IFERROR(__xludf.DUMMYFUNCTION("""COMPUTED_VALUE"""),1.0)</f>
        <v>1</v>
      </c>
      <c r="G485" s="1" t="str">
        <f>IFERROR(__xludf.DUMMYFUNCTION("""COMPUTED_VALUE"""),"PR015")</f>
        <v>PR015</v>
      </c>
      <c r="H485" s="1" t="str">
        <f>IFERROR(__xludf.DUMMYFUNCTION("""COMPUTED_VALUE"""),"VD020")</f>
        <v>VD020</v>
      </c>
      <c r="I485" s="1">
        <f>IFERROR(__xludf.DUMMYFUNCTION("""COMPUTED_VALUE"""),10.0)</f>
        <v>10</v>
      </c>
      <c r="J485" s="1">
        <f>IFERROR(__xludf.DUMMYFUNCTION("""COMPUTED_VALUE"""),442.0)</f>
        <v>442</v>
      </c>
      <c r="K485" s="1">
        <f>IFERROR(__xludf.DUMMYFUNCTION("""COMPUTED_VALUE"""),442.0)</f>
        <v>442</v>
      </c>
    </row>
    <row r="486">
      <c r="A486" s="1">
        <f>IFERROR(__xludf.DUMMYFUNCTION("""COMPUTED_VALUE"""),1000.0)</f>
        <v>1000</v>
      </c>
      <c r="B486" s="1">
        <f>IFERROR(__xludf.DUMMYFUNCTION("""COMPUTED_VALUE"""),183811.0)</f>
        <v>183811</v>
      </c>
      <c r="C486" s="1">
        <f>IFERROR(__xludf.DUMMYFUNCTION("""COMPUTED_VALUE"""),2026.0)</f>
        <v>2026</v>
      </c>
      <c r="D486" s="1">
        <f>IFERROR(__xludf.DUMMYFUNCTION("""COMPUTED_VALUE"""),46294.0)</f>
        <v>46294</v>
      </c>
      <c r="E486" s="1" t="str">
        <f>IFERROR(__xludf.DUMMYFUNCTION("""COMPUTED_VALUE"""),"VF")</f>
        <v>VF</v>
      </c>
      <c r="F486" s="1">
        <f>IFERROR(__xludf.DUMMYFUNCTION("""COMPUTED_VALUE"""),1.0)</f>
        <v>1</v>
      </c>
      <c r="G486" s="1" t="str">
        <f>IFERROR(__xludf.DUMMYFUNCTION("""COMPUTED_VALUE"""),"PR039")</f>
        <v>PR039</v>
      </c>
      <c r="H486" s="1" t="str">
        <f>IFERROR(__xludf.DUMMYFUNCTION("""COMPUTED_VALUE"""),"VD020")</f>
        <v>VD020</v>
      </c>
      <c r="I486" s="1">
        <f>IFERROR(__xludf.DUMMYFUNCTION("""COMPUTED_VALUE"""),9.0)</f>
        <v>9</v>
      </c>
      <c r="J486" s="1">
        <f>IFERROR(__xludf.DUMMYFUNCTION("""COMPUTED_VALUE"""),1445.4)</f>
        <v>1445.4</v>
      </c>
      <c r="K486" s="1">
        <f>IFERROR(__xludf.DUMMYFUNCTION("""COMPUTED_VALUE"""),1445.4)</f>
        <v>1445.4</v>
      </c>
    </row>
    <row r="487">
      <c r="A487" s="1">
        <f>IFERROR(__xludf.DUMMYFUNCTION("""COMPUTED_VALUE"""),1000.0)</f>
        <v>1000</v>
      </c>
      <c r="B487" s="1">
        <f>IFERROR(__xludf.DUMMYFUNCTION("""COMPUTED_VALUE"""),183811.0)</f>
        <v>183811</v>
      </c>
      <c r="C487" s="1">
        <f>IFERROR(__xludf.DUMMYFUNCTION("""COMPUTED_VALUE"""),2026.0)</f>
        <v>2026</v>
      </c>
      <c r="D487" s="1">
        <f>IFERROR(__xludf.DUMMYFUNCTION("""COMPUTED_VALUE"""),46293.0)</f>
        <v>46293</v>
      </c>
      <c r="E487" s="1" t="str">
        <f>IFERROR(__xludf.DUMMYFUNCTION("""COMPUTED_VALUE"""),"VF")</f>
        <v>VF</v>
      </c>
      <c r="F487" s="1">
        <f>IFERROR(__xludf.DUMMYFUNCTION("""COMPUTED_VALUE"""),2.0)</f>
        <v>2</v>
      </c>
      <c r="G487" s="1" t="str">
        <f>IFERROR(__xludf.DUMMYFUNCTION("""COMPUTED_VALUE"""),"PR035")</f>
        <v>PR035</v>
      </c>
      <c r="H487" s="1" t="str">
        <f>IFERROR(__xludf.DUMMYFUNCTION("""COMPUTED_VALUE"""),"VD017")</f>
        <v>VD017</v>
      </c>
      <c r="I487" s="1">
        <f>IFERROR(__xludf.DUMMYFUNCTION("""COMPUTED_VALUE"""),14.0)</f>
        <v>14</v>
      </c>
      <c r="J487" s="1">
        <f>IFERROR(__xludf.DUMMYFUNCTION("""COMPUTED_VALUE"""),1343.58)</f>
        <v>1343.58</v>
      </c>
      <c r="K487" s="1">
        <f>IFERROR(__xludf.DUMMYFUNCTION("""COMPUTED_VALUE"""),1343.58)</f>
        <v>1343.58</v>
      </c>
    </row>
    <row r="488">
      <c r="A488" s="1">
        <f>IFERROR(__xludf.DUMMYFUNCTION("""COMPUTED_VALUE"""),1000.0)</f>
        <v>1000</v>
      </c>
      <c r="B488" s="1">
        <f>IFERROR(__xludf.DUMMYFUNCTION("""COMPUTED_VALUE"""),183812.0)</f>
        <v>183812</v>
      </c>
      <c r="C488" s="1">
        <f>IFERROR(__xludf.DUMMYFUNCTION("""COMPUTED_VALUE"""),2026.0)</f>
        <v>2026</v>
      </c>
      <c r="D488" s="1">
        <f>IFERROR(__xludf.DUMMYFUNCTION("""COMPUTED_VALUE"""),46293.0)</f>
        <v>46293</v>
      </c>
      <c r="E488" s="1" t="str">
        <f>IFERROR(__xludf.DUMMYFUNCTION("""COMPUTED_VALUE"""),"VF")</f>
        <v>VF</v>
      </c>
      <c r="F488" s="1">
        <f>IFERROR(__xludf.DUMMYFUNCTION("""COMPUTED_VALUE"""),1.0)</f>
        <v>1</v>
      </c>
      <c r="G488" s="1" t="str">
        <f>IFERROR(__xludf.DUMMYFUNCTION("""COMPUTED_VALUE"""),"PR025")</f>
        <v>PR025</v>
      </c>
      <c r="H488" s="1" t="str">
        <f>IFERROR(__xludf.DUMMYFUNCTION("""COMPUTED_VALUE"""),"VD012")</f>
        <v>VD012</v>
      </c>
      <c r="I488" s="1">
        <f>IFERROR(__xludf.DUMMYFUNCTION("""COMPUTED_VALUE"""),3.0)</f>
        <v>3</v>
      </c>
      <c r="J488" s="1">
        <f>IFERROR(__xludf.DUMMYFUNCTION("""COMPUTED_VALUE"""),962.68)</f>
        <v>962.68</v>
      </c>
      <c r="K488" s="1">
        <f>IFERROR(__xludf.DUMMYFUNCTION("""COMPUTED_VALUE"""),962.68)</f>
        <v>962.68</v>
      </c>
    </row>
    <row r="489">
      <c r="A489" s="1">
        <f>IFERROR(__xludf.DUMMYFUNCTION("""COMPUTED_VALUE"""),2000.0)</f>
        <v>2000</v>
      </c>
      <c r="B489" s="1">
        <f>IFERROR(__xludf.DUMMYFUNCTION("""COMPUTED_VALUE"""),183813.0)</f>
        <v>183813</v>
      </c>
      <c r="C489" s="1">
        <f>IFERROR(__xludf.DUMMYFUNCTION("""COMPUTED_VALUE"""),2026.0)</f>
        <v>2026</v>
      </c>
      <c r="D489" s="1">
        <f>IFERROR(__xludf.DUMMYFUNCTION("""COMPUTED_VALUE"""),46293.0)</f>
        <v>46293</v>
      </c>
      <c r="E489" s="1" t="str">
        <f>IFERROR(__xludf.DUMMYFUNCTION("""COMPUTED_VALUE"""),"VF")</f>
        <v>VF</v>
      </c>
      <c r="F489" s="1">
        <f>IFERROR(__xludf.DUMMYFUNCTION("""COMPUTED_VALUE"""),1.0)</f>
        <v>1</v>
      </c>
      <c r="G489" s="1" t="str">
        <f>IFERROR(__xludf.DUMMYFUNCTION("""COMPUTED_VALUE"""),"PR027")</f>
        <v>PR027</v>
      </c>
      <c r="H489" s="1" t="str">
        <f>IFERROR(__xludf.DUMMYFUNCTION("""COMPUTED_VALUE"""),"VD031")</f>
        <v>VD031</v>
      </c>
      <c r="I489" s="1">
        <f>IFERROR(__xludf.DUMMYFUNCTION("""COMPUTED_VALUE"""),8.0)</f>
        <v>8</v>
      </c>
      <c r="J489" s="1">
        <f>IFERROR(__xludf.DUMMYFUNCTION("""COMPUTED_VALUE"""),969.6)</f>
        <v>969.6</v>
      </c>
      <c r="K489" s="1">
        <f>IFERROR(__xludf.DUMMYFUNCTION("""COMPUTED_VALUE"""),969.6)</f>
        <v>969.6</v>
      </c>
    </row>
    <row r="490">
      <c r="A490" s="1">
        <f>IFERROR(__xludf.DUMMYFUNCTION("""COMPUTED_VALUE"""),2000.0)</f>
        <v>2000</v>
      </c>
      <c r="B490" s="1">
        <f>IFERROR(__xludf.DUMMYFUNCTION("""COMPUTED_VALUE"""),183814.0)</f>
        <v>183814</v>
      </c>
      <c r="C490" s="1">
        <f>IFERROR(__xludf.DUMMYFUNCTION("""COMPUTED_VALUE"""),2026.0)</f>
        <v>2026</v>
      </c>
      <c r="D490" s="1">
        <f>IFERROR(__xludf.DUMMYFUNCTION("""COMPUTED_VALUE"""),46292.0)</f>
        <v>46292</v>
      </c>
      <c r="E490" s="1" t="str">
        <f>IFERROR(__xludf.DUMMYFUNCTION("""COMPUTED_VALUE"""),"VF")</f>
        <v>VF</v>
      </c>
      <c r="F490" s="1">
        <f>IFERROR(__xludf.DUMMYFUNCTION("""COMPUTED_VALUE"""),1.0)</f>
        <v>1</v>
      </c>
      <c r="G490" s="1" t="str">
        <f>IFERROR(__xludf.DUMMYFUNCTION("""COMPUTED_VALUE"""),"PR020")</f>
        <v>PR020</v>
      </c>
      <c r="H490" s="1" t="str">
        <f>IFERROR(__xludf.DUMMYFUNCTION("""COMPUTED_VALUE"""),"VD022")</f>
        <v>VD022</v>
      </c>
      <c r="I490" s="1">
        <f>IFERROR(__xludf.DUMMYFUNCTION("""COMPUTED_VALUE"""),6.0)</f>
        <v>6</v>
      </c>
      <c r="J490" s="1">
        <f>IFERROR(__xludf.DUMMYFUNCTION("""COMPUTED_VALUE"""),1853.38)</f>
        <v>1853.38</v>
      </c>
      <c r="K490" s="1">
        <f>IFERROR(__xludf.DUMMYFUNCTION("""COMPUTED_VALUE"""),1853.38)</f>
        <v>1853.38</v>
      </c>
    </row>
    <row r="491">
      <c r="A491" s="1">
        <f>IFERROR(__xludf.DUMMYFUNCTION("""COMPUTED_VALUE"""),1000.0)</f>
        <v>1000</v>
      </c>
      <c r="B491" s="1">
        <f>IFERROR(__xludf.DUMMYFUNCTION("""COMPUTED_VALUE"""),183815.0)</f>
        <v>183815</v>
      </c>
      <c r="C491" s="1">
        <f>IFERROR(__xludf.DUMMYFUNCTION("""COMPUTED_VALUE"""),2026.0)</f>
        <v>2026</v>
      </c>
      <c r="D491" s="1">
        <f>IFERROR(__xludf.DUMMYFUNCTION("""COMPUTED_VALUE"""),46292.0)</f>
        <v>46292</v>
      </c>
      <c r="E491" s="1" t="str">
        <f>IFERROR(__xludf.DUMMYFUNCTION("""COMPUTED_VALUE"""),"VF")</f>
        <v>VF</v>
      </c>
      <c r="F491" s="1">
        <f>IFERROR(__xludf.DUMMYFUNCTION("""COMPUTED_VALUE"""),1.0)</f>
        <v>1</v>
      </c>
      <c r="G491" s="1" t="str">
        <f>IFERROR(__xludf.DUMMYFUNCTION("""COMPUTED_VALUE"""),"PR050")</f>
        <v>PR050</v>
      </c>
      <c r="H491" s="1" t="str">
        <f>IFERROR(__xludf.DUMMYFUNCTION("""COMPUTED_VALUE"""),"VD047")</f>
        <v>VD047</v>
      </c>
      <c r="I491" s="1">
        <f>IFERROR(__xludf.DUMMYFUNCTION("""COMPUTED_VALUE"""),8.0)</f>
        <v>8</v>
      </c>
      <c r="J491" s="1">
        <f>IFERROR(__xludf.DUMMYFUNCTION("""COMPUTED_VALUE"""),289.52)</f>
        <v>289.52</v>
      </c>
      <c r="K491" s="1">
        <f>IFERROR(__xludf.DUMMYFUNCTION("""COMPUTED_VALUE"""),289.52)</f>
        <v>289.52</v>
      </c>
    </row>
    <row r="492">
      <c r="A492" s="1">
        <f>IFERROR(__xludf.DUMMYFUNCTION("""COMPUTED_VALUE"""),1000.0)</f>
        <v>1000</v>
      </c>
      <c r="B492" s="1">
        <f>IFERROR(__xludf.DUMMYFUNCTION("""COMPUTED_VALUE"""),183815.0)</f>
        <v>183815</v>
      </c>
      <c r="C492" s="1">
        <f>IFERROR(__xludf.DUMMYFUNCTION("""COMPUTED_VALUE"""),2026.0)</f>
        <v>2026</v>
      </c>
      <c r="D492" s="1">
        <f>IFERROR(__xludf.DUMMYFUNCTION("""COMPUTED_VALUE"""),46291.0)</f>
        <v>46291</v>
      </c>
      <c r="E492" s="1" t="str">
        <f>IFERROR(__xludf.DUMMYFUNCTION("""COMPUTED_VALUE"""),"VF")</f>
        <v>VF</v>
      </c>
      <c r="F492" s="1">
        <f>IFERROR(__xludf.DUMMYFUNCTION("""COMPUTED_VALUE"""),2.0)</f>
        <v>2</v>
      </c>
      <c r="G492" s="1" t="str">
        <f>IFERROR(__xludf.DUMMYFUNCTION("""COMPUTED_VALUE"""),"PR053")</f>
        <v>PR053</v>
      </c>
      <c r="H492" s="1" t="str">
        <f>IFERROR(__xludf.DUMMYFUNCTION("""COMPUTED_VALUE"""),"VD041")</f>
        <v>VD041</v>
      </c>
      <c r="I492" s="1">
        <f>IFERROR(__xludf.DUMMYFUNCTION("""COMPUTED_VALUE"""),5.0)</f>
        <v>5</v>
      </c>
      <c r="J492" s="1">
        <f>IFERROR(__xludf.DUMMYFUNCTION("""COMPUTED_VALUE"""),274.45)</f>
        <v>274.45</v>
      </c>
      <c r="K492" s="1">
        <f>IFERROR(__xludf.DUMMYFUNCTION("""COMPUTED_VALUE"""),274.45)</f>
        <v>274.45</v>
      </c>
    </row>
    <row r="493">
      <c r="A493" s="1">
        <f>IFERROR(__xludf.DUMMYFUNCTION("""COMPUTED_VALUE"""),1000.0)</f>
        <v>1000</v>
      </c>
      <c r="B493" s="1">
        <f>IFERROR(__xludf.DUMMYFUNCTION("""COMPUTED_VALUE"""),183816.0)</f>
        <v>183816</v>
      </c>
      <c r="C493" s="1">
        <f>IFERROR(__xludf.DUMMYFUNCTION("""COMPUTED_VALUE"""),2026.0)</f>
        <v>2026</v>
      </c>
      <c r="D493" s="1">
        <f>IFERROR(__xludf.DUMMYFUNCTION("""COMPUTED_VALUE"""),46291.0)</f>
        <v>46291</v>
      </c>
      <c r="E493" s="1" t="str">
        <f>IFERROR(__xludf.DUMMYFUNCTION("""COMPUTED_VALUE"""),"VF")</f>
        <v>VF</v>
      </c>
      <c r="F493" s="1">
        <f>IFERROR(__xludf.DUMMYFUNCTION("""COMPUTED_VALUE"""),1.0)</f>
        <v>1</v>
      </c>
      <c r="G493" s="1" t="str">
        <f>IFERROR(__xludf.DUMMYFUNCTION("""COMPUTED_VALUE"""),"PR042")</f>
        <v>PR042</v>
      </c>
      <c r="H493" s="1" t="str">
        <f>IFERROR(__xludf.DUMMYFUNCTION("""COMPUTED_VALUE"""),"VD018")</f>
        <v>VD018</v>
      </c>
      <c r="I493" s="1">
        <f>IFERROR(__xludf.DUMMYFUNCTION("""COMPUTED_VALUE"""),14.0)</f>
        <v>14</v>
      </c>
      <c r="J493" s="1">
        <f>IFERROR(__xludf.DUMMYFUNCTION("""COMPUTED_VALUE"""),822.4)</f>
        <v>822.4</v>
      </c>
      <c r="K493" s="1">
        <f>IFERROR(__xludf.DUMMYFUNCTION("""COMPUTED_VALUE"""),822.4)</f>
        <v>822.4</v>
      </c>
    </row>
    <row r="494">
      <c r="A494" s="1">
        <f>IFERROR(__xludf.DUMMYFUNCTION("""COMPUTED_VALUE"""),2000.0)</f>
        <v>2000</v>
      </c>
      <c r="B494" s="1">
        <f>IFERROR(__xludf.DUMMYFUNCTION("""COMPUTED_VALUE"""),183816.0)</f>
        <v>183816</v>
      </c>
      <c r="C494" s="1">
        <f>IFERROR(__xludf.DUMMYFUNCTION("""COMPUTED_VALUE"""),2026.0)</f>
        <v>2026</v>
      </c>
      <c r="D494" s="1">
        <f>IFERROR(__xludf.DUMMYFUNCTION("""COMPUTED_VALUE"""),46290.0)</f>
        <v>46290</v>
      </c>
      <c r="E494" s="1" t="str">
        <f>IFERROR(__xludf.DUMMYFUNCTION("""COMPUTED_VALUE"""),"VF")</f>
        <v>VF</v>
      </c>
      <c r="F494" s="1">
        <f>IFERROR(__xludf.DUMMYFUNCTION("""COMPUTED_VALUE"""),2.0)</f>
        <v>2</v>
      </c>
      <c r="G494" s="1" t="str">
        <f>IFERROR(__xludf.DUMMYFUNCTION("""COMPUTED_VALUE"""),"PR041")</f>
        <v>PR041</v>
      </c>
      <c r="H494" s="1" t="str">
        <f>IFERROR(__xludf.DUMMYFUNCTION("""COMPUTED_VALUE"""),"VD049")</f>
        <v>VD049</v>
      </c>
      <c r="I494" s="1">
        <f>IFERROR(__xludf.DUMMYFUNCTION("""COMPUTED_VALUE"""),6.0)</f>
        <v>6</v>
      </c>
      <c r="J494" s="1">
        <f>IFERROR(__xludf.DUMMYFUNCTION("""COMPUTED_VALUE"""),352.46)</f>
        <v>352.46</v>
      </c>
      <c r="K494" s="1">
        <f>IFERROR(__xludf.DUMMYFUNCTION("""COMPUTED_VALUE"""),352.46)</f>
        <v>352.46</v>
      </c>
    </row>
    <row r="495">
      <c r="A495" s="1">
        <f>IFERROR(__xludf.DUMMYFUNCTION("""COMPUTED_VALUE"""),1000.0)</f>
        <v>1000</v>
      </c>
      <c r="B495" s="1">
        <f>IFERROR(__xludf.DUMMYFUNCTION("""COMPUTED_VALUE"""),183816.0)</f>
        <v>183816</v>
      </c>
      <c r="C495" s="1">
        <f>IFERROR(__xludf.DUMMYFUNCTION("""COMPUTED_VALUE"""),2026.0)</f>
        <v>2026</v>
      </c>
      <c r="D495" s="1">
        <f>IFERROR(__xludf.DUMMYFUNCTION("""COMPUTED_VALUE"""),46290.0)</f>
        <v>46290</v>
      </c>
      <c r="E495" s="1" t="str">
        <f>IFERROR(__xludf.DUMMYFUNCTION("""COMPUTED_VALUE"""),"VF")</f>
        <v>VF</v>
      </c>
      <c r="F495" s="1">
        <f>IFERROR(__xludf.DUMMYFUNCTION("""COMPUTED_VALUE"""),3.0)</f>
        <v>3</v>
      </c>
      <c r="G495" s="1" t="str">
        <f>IFERROR(__xludf.DUMMYFUNCTION("""COMPUTED_VALUE"""),"PR043")</f>
        <v>PR043</v>
      </c>
      <c r="H495" s="1" t="str">
        <f>IFERROR(__xludf.DUMMYFUNCTION("""COMPUTED_VALUE"""),"VD032")</f>
        <v>VD032</v>
      </c>
      <c r="I495" s="1">
        <f>IFERROR(__xludf.DUMMYFUNCTION("""COMPUTED_VALUE"""),2.0)</f>
        <v>2</v>
      </c>
      <c r="J495" s="1">
        <f>IFERROR(__xludf.DUMMYFUNCTION("""COMPUTED_VALUE"""),155.15)</f>
        <v>155.15</v>
      </c>
      <c r="K495" s="1">
        <f>IFERROR(__xludf.DUMMYFUNCTION("""COMPUTED_VALUE"""),155.15)</f>
        <v>155.15</v>
      </c>
    </row>
    <row r="496">
      <c r="A496" s="1">
        <f>IFERROR(__xludf.DUMMYFUNCTION("""COMPUTED_VALUE"""),1000.0)</f>
        <v>1000</v>
      </c>
      <c r="B496" s="1">
        <f>IFERROR(__xludf.DUMMYFUNCTION("""COMPUTED_VALUE"""),183817.0)</f>
        <v>183817</v>
      </c>
      <c r="C496" s="1">
        <f>IFERROR(__xludf.DUMMYFUNCTION("""COMPUTED_VALUE"""),2026.0)</f>
        <v>2026</v>
      </c>
      <c r="D496" s="1">
        <f>IFERROR(__xludf.DUMMYFUNCTION("""COMPUTED_VALUE"""),46290.0)</f>
        <v>46290</v>
      </c>
      <c r="E496" s="1" t="str">
        <f>IFERROR(__xludf.DUMMYFUNCTION("""COMPUTED_VALUE"""),"VF")</f>
        <v>VF</v>
      </c>
      <c r="F496" s="1">
        <f>IFERROR(__xludf.DUMMYFUNCTION("""COMPUTED_VALUE"""),1.0)</f>
        <v>1</v>
      </c>
      <c r="G496" s="1" t="str">
        <f>IFERROR(__xludf.DUMMYFUNCTION("""COMPUTED_VALUE"""),"PR006")</f>
        <v>PR006</v>
      </c>
      <c r="H496" s="1" t="str">
        <f>IFERROR(__xludf.DUMMYFUNCTION("""COMPUTED_VALUE"""),"VD044")</f>
        <v>VD044</v>
      </c>
      <c r="I496" s="1">
        <f>IFERROR(__xludf.DUMMYFUNCTION("""COMPUTED_VALUE"""),8.0)</f>
        <v>8</v>
      </c>
      <c r="J496" s="1">
        <f>IFERROR(__xludf.DUMMYFUNCTION("""COMPUTED_VALUE"""),341.54)</f>
        <v>341.54</v>
      </c>
      <c r="K496" s="1">
        <f>IFERROR(__xludf.DUMMYFUNCTION("""COMPUTED_VALUE"""),341.54)</f>
        <v>341.54</v>
      </c>
    </row>
    <row r="497">
      <c r="A497" s="1">
        <f>IFERROR(__xludf.DUMMYFUNCTION("""COMPUTED_VALUE"""),1000.0)</f>
        <v>1000</v>
      </c>
      <c r="B497" s="1">
        <f>IFERROR(__xludf.DUMMYFUNCTION("""COMPUTED_VALUE"""),183817.0)</f>
        <v>183817</v>
      </c>
      <c r="C497" s="1">
        <f>IFERROR(__xludf.DUMMYFUNCTION("""COMPUTED_VALUE"""),2026.0)</f>
        <v>2026</v>
      </c>
      <c r="D497" s="1">
        <f>IFERROR(__xludf.DUMMYFUNCTION("""COMPUTED_VALUE"""),46290.0)</f>
        <v>46290</v>
      </c>
      <c r="E497" s="1" t="str">
        <f>IFERROR(__xludf.DUMMYFUNCTION("""COMPUTED_VALUE"""),"VF")</f>
        <v>VF</v>
      </c>
      <c r="F497" s="1">
        <f>IFERROR(__xludf.DUMMYFUNCTION("""COMPUTED_VALUE"""),2.0)</f>
        <v>2</v>
      </c>
      <c r="G497" s="1" t="str">
        <f>IFERROR(__xludf.DUMMYFUNCTION("""COMPUTED_VALUE"""),"PR058")</f>
        <v>PR058</v>
      </c>
      <c r="H497" s="1" t="str">
        <f>IFERROR(__xludf.DUMMYFUNCTION("""COMPUTED_VALUE"""),"VD018")</f>
        <v>VD018</v>
      </c>
      <c r="I497" s="1">
        <f>IFERROR(__xludf.DUMMYFUNCTION("""COMPUTED_VALUE"""),4.0)</f>
        <v>4</v>
      </c>
      <c r="J497" s="1">
        <f>IFERROR(__xludf.DUMMYFUNCTION("""COMPUTED_VALUE"""),792.0)</f>
        <v>792</v>
      </c>
      <c r="K497" s="1">
        <f>IFERROR(__xludf.DUMMYFUNCTION("""COMPUTED_VALUE"""),792.0)</f>
        <v>792</v>
      </c>
    </row>
    <row r="498">
      <c r="A498" s="1">
        <f>IFERROR(__xludf.DUMMYFUNCTION("""COMPUTED_VALUE"""),1000.0)</f>
        <v>1000</v>
      </c>
      <c r="B498" s="1">
        <f>IFERROR(__xludf.DUMMYFUNCTION("""COMPUTED_VALUE"""),183817.0)</f>
        <v>183817</v>
      </c>
      <c r="C498" s="1">
        <f>IFERROR(__xludf.DUMMYFUNCTION("""COMPUTED_VALUE"""),2026.0)</f>
        <v>2026</v>
      </c>
      <c r="D498" s="1">
        <f>IFERROR(__xludf.DUMMYFUNCTION("""COMPUTED_VALUE"""),46290.0)</f>
        <v>46290</v>
      </c>
      <c r="E498" s="1" t="str">
        <f>IFERROR(__xludf.DUMMYFUNCTION("""COMPUTED_VALUE"""),"VF")</f>
        <v>VF</v>
      </c>
      <c r="F498" s="1">
        <f>IFERROR(__xludf.DUMMYFUNCTION("""COMPUTED_VALUE"""),3.0)</f>
        <v>3</v>
      </c>
      <c r="G498" s="1" t="str">
        <f>IFERROR(__xludf.DUMMYFUNCTION("""COMPUTED_VALUE"""),"PR038")</f>
        <v>PR038</v>
      </c>
      <c r="H498" s="1" t="str">
        <f>IFERROR(__xludf.DUMMYFUNCTION("""COMPUTED_VALUE"""),"VD032")</f>
        <v>VD032</v>
      </c>
      <c r="I498" s="1">
        <f>IFERROR(__xludf.DUMMYFUNCTION("""COMPUTED_VALUE"""),4.0)</f>
        <v>4</v>
      </c>
      <c r="J498" s="1">
        <f>IFERROR(__xludf.DUMMYFUNCTION("""COMPUTED_VALUE"""),600.18)</f>
        <v>600.18</v>
      </c>
      <c r="K498" s="1">
        <f>IFERROR(__xludf.DUMMYFUNCTION("""COMPUTED_VALUE"""),600.18)</f>
        <v>600.18</v>
      </c>
    </row>
    <row r="499">
      <c r="A499" s="1">
        <f>IFERROR(__xludf.DUMMYFUNCTION("""COMPUTED_VALUE"""),1000.0)</f>
        <v>1000</v>
      </c>
      <c r="B499" s="1">
        <f>IFERROR(__xludf.DUMMYFUNCTION("""COMPUTED_VALUE"""),183818.0)</f>
        <v>183818</v>
      </c>
      <c r="C499" s="1">
        <f>IFERROR(__xludf.DUMMYFUNCTION("""COMPUTED_VALUE"""),2026.0)</f>
        <v>2026</v>
      </c>
      <c r="D499" s="1">
        <f>IFERROR(__xludf.DUMMYFUNCTION("""COMPUTED_VALUE"""),46290.0)</f>
        <v>46290</v>
      </c>
      <c r="E499" s="1" t="str">
        <f>IFERROR(__xludf.DUMMYFUNCTION("""COMPUTED_VALUE"""),"VF")</f>
        <v>VF</v>
      </c>
      <c r="F499" s="1">
        <f>IFERROR(__xludf.DUMMYFUNCTION("""COMPUTED_VALUE"""),1.0)</f>
        <v>1</v>
      </c>
      <c r="G499" s="1" t="str">
        <f>IFERROR(__xludf.DUMMYFUNCTION("""COMPUTED_VALUE"""),"PR022")</f>
        <v>PR022</v>
      </c>
      <c r="H499" s="1" t="str">
        <f>IFERROR(__xludf.DUMMYFUNCTION("""COMPUTED_VALUE"""),"VD026")</f>
        <v>VD026</v>
      </c>
      <c r="I499" s="1">
        <f>IFERROR(__xludf.DUMMYFUNCTION("""COMPUTED_VALUE"""),9.0)</f>
        <v>9</v>
      </c>
      <c r="J499" s="1">
        <f>IFERROR(__xludf.DUMMYFUNCTION("""COMPUTED_VALUE"""),2916.0)</f>
        <v>2916</v>
      </c>
      <c r="K499" s="1">
        <f>IFERROR(__xludf.DUMMYFUNCTION("""COMPUTED_VALUE"""),2916.0)</f>
        <v>2916</v>
      </c>
    </row>
    <row r="500">
      <c r="A500" s="1">
        <f>IFERROR(__xludf.DUMMYFUNCTION("""COMPUTED_VALUE"""),1000.0)</f>
        <v>1000</v>
      </c>
      <c r="B500" s="1">
        <f>IFERROR(__xludf.DUMMYFUNCTION("""COMPUTED_VALUE"""),183819.0)</f>
        <v>183819</v>
      </c>
      <c r="C500" s="1">
        <f>IFERROR(__xludf.DUMMYFUNCTION("""COMPUTED_VALUE"""),2026.0)</f>
        <v>2026</v>
      </c>
      <c r="D500" s="1">
        <f>IFERROR(__xludf.DUMMYFUNCTION("""COMPUTED_VALUE"""),46290.0)</f>
        <v>46290</v>
      </c>
      <c r="E500" s="1" t="str">
        <f>IFERROR(__xludf.DUMMYFUNCTION("""COMPUTED_VALUE"""),"VF")</f>
        <v>VF</v>
      </c>
      <c r="F500" s="1">
        <f>IFERROR(__xludf.DUMMYFUNCTION("""COMPUTED_VALUE"""),1.0)</f>
        <v>1</v>
      </c>
      <c r="G500" s="1" t="str">
        <f>IFERROR(__xludf.DUMMYFUNCTION("""COMPUTED_VALUE"""),"PR035")</f>
        <v>PR035</v>
      </c>
      <c r="H500" s="1" t="str">
        <f>IFERROR(__xludf.DUMMYFUNCTION("""COMPUTED_VALUE"""),"VD046")</f>
        <v>VD046</v>
      </c>
      <c r="I500" s="1">
        <f>IFERROR(__xludf.DUMMYFUNCTION("""COMPUTED_VALUE"""),5.0)</f>
        <v>5</v>
      </c>
      <c r="J500" s="1">
        <f>IFERROR(__xludf.DUMMYFUNCTION("""COMPUTED_VALUE"""),479.85)</f>
        <v>479.85</v>
      </c>
      <c r="K500" s="1">
        <f>IFERROR(__xludf.DUMMYFUNCTION("""COMPUTED_VALUE"""),479.85)</f>
        <v>479.85</v>
      </c>
    </row>
    <row r="501">
      <c r="A501" s="1">
        <f>IFERROR(__xludf.DUMMYFUNCTION("""COMPUTED_VALUE"""),1000.0)</f>
        <v>1000</v>
      </c>
      <c r="B501" s="1">
        <f>IFERROR(__xludf.DUMMYFUNCTION("""COMPUTED_VALUE"""),183819.0)</f>
        <v>183819</v>
      </c>
      <c r="C501" s="1">
        <f>IFERROR(__xludf.DUMMYFUNCTION("""COMPUTED_VALUE"""),2026.0)</f>
        <v>2026</v>
      </c>
      <c r="D501" s="1">
        <f>IFERROR(__xludf.DUMMYFUNCTION("""COMPUTED_VALUE"""),46290.0)</f>
        <v>46290</v>
      </c>
      <c r="E501" s="1" t="str">
        <f>IFERROR(__xludf.DUMMYFUNCTION("""COMPUTED_VALUE"""),"VF")</f>
        <v>VF</v>
      </c>
      <c r="F501" s="1">
        <f>IFERROR(__xludf.DUMMYFUNCTION("""COMPUTED_VALUE"""),2.0)</f>
        <v>2</v>
      </c>
      <c r="G501" s="1" t="str">
        <f>IFERROR(__xludf.DUMMYFUNCTION("""COMPUTED_VALUE"""),"PR015")</f>
        <v>PR015</v>
      </c>
      <c r="H501" s="1" t="str">
        <f>IFERROR(__xludf.DUMMYFUNCTION("""COMPUTED_VALUE"""),"VD032")</f>
        <v>VD032</v>
      </c>
      <c r="I501" s="1">
        <f>IFERROR(__xludf.DUMMYFUNCTION("""COMPUTED_VALUE"""),5.0)</f>
        <v>5</v>
      </c>
      <c r="J501" s="1">
        <f>IFERROR(__xludf.DUMMYFUNCTION("""COMPUTED_VALUE"""),223.13)</f>
        <v>223.13</v>
      </c>
      <c r="K501" s="1">
        <f>IFERROR(__xludf.DUMMYFUNCTION("""COMPUTED_VALUE"""),223.13)</f>
        <v>223.13</v>
      </c>
    </row>
    <row r="502">
      <c r="A502" s="1">
        <f>IFERROR(__xludf.DUMMYFUNCTION("""COMPUTED_VALUE"""),2000.0)</f>
        <v>2000</v>
      </c>
      <c r="B502" s="1">
        <f>IFERROR(__xludf.DUMMYFUNCTION("""COMPUTED_VALUE"""),183820.0)</f>
        <v>183820</v>
      </c>
      <c r="C502" s="1">
        <f>IFERROR(__xludf.DUMMYFUNCTION("""COMPUTED_VALUE"""),2026.0)</f>
        <v>2026</v>
      </c>
      <c r="D502" s="1">
        <f>IFERROR(__xludf.DUMMYFUNCTION("""COMPUTED_VALUE"""),46290.0)</f>
        <v>46290</v>
      </c>
      <c r="E502" s="1" t="str">
        <f>IFERROR(__xludf.DUMMYFUNCTION("""COMPUTED_VALUE"""),"VF")</f>
        <v>VF</v>
      </c>
      <c r="F502" s="1">
        <f>IFERROR(__xludf.DUMMYFUNCTION("""COMPUTED_VALUE"""),1.0)</f>
        <v>1</v>
      </c>
      <c r="G502" s="1" t="str">
        <f>IFERROR(__xludf.DUMMYFUNCTION("""COMPUTED_VALUE"""),"PR020")</f>
        <v>PR020</v>
      </c>
      <c r="H502" s="1" t="str">
        <f>IFERROR(__xludf.DUMMYFUNCTION("""COMPUTED_VALUE"""),"VD021")</f>
        <v>VD021</v>
      </c>
      <c r="I502" s="1">
        <f>IFERROR(__xludf.DUMMYFUNCTION("""COMPUTED_VALUE"""),9.0)</f>
        <v>9</v>
      </c>
      <c r="J502" s="1">
        <f>IFERROR(__xludf.DUMMYFUNCTION("""COMPUTED_VALUE"""),2753.08)</f>
        <v>2753.08</v>
      </c>
      <c r="K502" s="1">
        <f>IFERROR(__xludf.DUMMYFUNCTION("""COMPUTED_VALUE"""),2753.08)</f>
        <v>2753.08</v>
      </c>
    </row>
    <row r="503">
      <c r="A503" s="1">
        <f>IFERROR(__xludf.DUMMYFUNCTION("""COMPUTED_VALUE"""),2000.0)</f>
        <v>2000</v>
      </c>
      <c r="B503" s="1">
        <f>IFERROR(__xludf.DUMMYFUNCTION("""COMPUTED_VALUE"""),183820.0)</f>
        <v>183820</v>
      </c>
      <c r="C503" s="1">
        <f>IFERROR(__xludf.DUMMYFUNCTION("""COMPUTED_VALUE"""),2026.0)</f>
        <v>2026</v>
      </c>
      <c r="D503" s="1">
        <f>IFERROR(__xludf.DUMMYFUNCTION("""COMPUTED_VALUE"""),46290.0)</f>
        <v>46290</v>
      </c>
      <c r="E503" s="1" t="str">
        <f>IFERROR(__xludf.DUMMYFUNCTION("""COMPUTED_VALUE"""),"VF")</f>
        <v>VF</v>
      </c>
      <c r="F503" s="1">
        <f>IFERROR(__xludf.DUMMYFUNCTION("""COMPUTED_VALUE"""),2.0)</f>
        <v>2</v>
      </c>
      <c r="G503" s="1" t="str">
        <f>IFERROR(__xludf.DUMMYFUNCTION("""COMPUTED_VALUE"""),"PR011")</f>
        <v>PR011</v>
      </c>
      <c r="H503" s="1" t="str">
        <f>IFERROR(__xludf.DUMMYFUNCTION("""COMPUTED_VALUE"""),"VD014")</f>
        <v>VD014</v>
      </c>
      <c r="I503" s="1">
        <f>IFERROR(__xludf.DUMMYFUNCTION("""COMPUTED_VALUE"""),9.0)</f>
        <v>9</v>
      </c>
      <c r="J503" s="1">
        <f>IFERROR(__xludf.DUMMYFUNCTION("""COMPUTED_VALUE"""),455.87)</f>
        <v>455.87</v>
      </c>
      <c r="K503" s="1">
        <f>IFERROR(__xludf.DUMMYFUNCTION("""COMPUTED_VALUE"""),455.87)</f>
        <v>455.87</v>
      </c>
    </row>
    <row r="504">
      <c r="A504" s="1">
        <f>IFERROR(__xludf.DUMMYFUNCTION("""COMPUTED_VALUE"""),1000.0)</f>
        <v>1000</v>
      </c>
      <c r="B504" s="1">
        <f>IFERROR(__xludf.DUMMYFUNCTION("""COMPUTED_VALUE"""),183821.0)</f>
        <v>183821</v>
      </c>
      <c r="C504" s="1">
        <f>IFERROR(__xludf.DUMMYFUNCTION("""COMPUTED_VALUE"""),2026.0)</f>
        <v>2026</v>
      </c>
      <c r="D504" s="1">
        <f>IFERROR(__xludf.DUMMYFUNCTION("""COMPUTED_VALUE"""),46289.0)</f>
        <v>46289</v>
      </c>
      <c r="E504" s="1" t="str">
        <f>IFERROR(__xludf.DUMMYFUNCTION("""COMPUTED_VALUE"""),"VF")</f>
        <v>VF</v>
      </c>
      <c r="F504" s="1">
        <f>IFERROR(__xludf.DUMMYFUNCTION("""COMPUTED_VALUE"""),1.0)</f>
        <v>1</v>
      </c>
      <c r="G504" s="1" t="str">
        <f>IFERROR(__xludf.DUMMYFUNCTION("""COMPUTED_VALUE"""),"PR050")</f>
        <v>PR050</v>
      </c>
      <c r="H504" s="1" t="str">
        <f>IFERROR(__xludf.DUMMYFUNCTION("""COMPUTED_VALUE"""),"VD040")</f>
        <v>VD040</v>
      </c>
      <c r="I504" s="1">
        <f>IFERROR(__xludf.DUMMYFUNCTION("""COMPUTED_VALUE"""),1.0)</f>
        <v>1</v>
      </c>
      <c r="J504" s="1">
        <f>IFERROR(__xludf.DUMMYFUNCTION("""COMPUTED_VALUE"""),33.56)</f>
        <v>33.56</v>
      </c>
      <c r="K504" s="1">
        <f>IFERROR(__xludf.DUMMYFUNCTION("""COMPUTED_VALUE"""),33.56)</f>
        <v>33.56</v>
      </c>
    </row>
    <row r="505">
      <c r="A505" s="1">
        <f>IFERROR(__xludf.DUMMYFUNCTION("""COMPUTED_VALUE"""),1000.0)</f>
        <v>1000</v>
      </c>
      <c r="B505" s="1">
        <f>IFERROR(__xludf.DUMMYFUNCTION("""COMPUTED_VALUE"""),183821.0)</f>
        <v>183821</v>
      </c>
      <c r="C505" s="1">
        <f>IFERROR(__xludf.DUMMYFUNCTION("""COMPUTED_VALUE"""),2026.0)</f>
        <v>2026</v>
      </c>
      <c r="D505" s="1">
        <f>IFERROR(__xludf.DUMMYFUNCTION("""COMPUTED_VALUE"""),46289.0)</f>
        <v>46289</v>
      </c>
      <c r="E505" s="1" t="str">
        <f>IFERROR(__xludf.DUMMYFUNCTION("""COMPUTED_VALUE"""),"VF")</f>
        <v>VF</v>
      </c>
      <c r="F505" s="1">
        <f>IFERROR(__xludf.DUMMYFUNCTION("""COMPUTED_VALUE"""),2.0)</f>
        <v>2</v>
      </c>
      <c r="G505" s="1" t="str">
        <f>IFERROR(__xludf.DUMMYFUNCTION("""COMPUTED_VALUE"""),"PR046")</f>
        <v>PR046</v>
      </c>
      <c r="H505" s="1" t="str">
        <f>IFERROR(__xludf.DUMMYFUNCTION("""COMPUTED_VALUE"""),"VD019")</f>
        <v>VD019</v>
      </c>
      <c r="I505" s="1">
        <f>IFERROR(__xludf.DUMMYFUNCTION("""COMPUTED_VALUE"""),4.0)</f>
        <v>4</v>
      </c>
      <c r="J505" s="1">
        <f>IFERROR(__xludf.DUMMYFUNCTION("""COMPUTED_VALUE"""),1263.96)</f>
        <v>1263.96</v>
      </c>
      <c r="K505" s="1">
        <f>IFERROR(__xludf.DUMMYFUNCTION("""COMPUTED_VALUE"""),1263.96)</f>
        <v>1263.96</v>
      </c>
    </row>
    <row r="506">
      <c r="A506" s="1">
        <f>IFERROR(__xludf.DUMMYFUNCTION("""COMPUTED_VALUE"""),1000.0)</f>
        <v>1000</v>
      </c>
      <c r="B506" s="1">
        <f>IFERROR(__xludf.DUMMYFUNCTION("""COMPUTED_VALUE"""),183822.0)</f>
        <v>183822</v>
      </c>
      <c r="C506" s="1">
        <f>IFERROR(__xludf.DUMMYFUNCTION("""COMPUTED_VALUE"""),2026.0)</f>
        <v>2026</v>
      </c>
      <c r="D506" s="1">
        <f>IFERROR(__xludf.DUMMYFUNCTION("""COMPUTED_VALUE"""),46289.0)</f>
        <v>46289</v>
      </c>
      <c r="E506" s="1" t="str">
        <f>IFERROR(__xludf.DUMMYFUNCTION("""COMPUTED_VALUE"""),"VF")</f>
        <v>VF</v>
      </c>
      <c r="F506" s="1">
        <f>IFERROR(__xludf.DUMMYFUNCTION("""COMPUTED_VALUE"""),1.0)</f>
        <v>1</v>
      </c>
      <c r="G506" s="1" t="str">
        <f>IFERROR(__xludf.DUMMYFUNCTION("""COMPUTED_VALUE"""),"PR016")</f>
        <v>PR016</v>
      </c>
      <c r="H506" s="1" t="str">
        <f>IFERROR(__xludf.DUMMYFUNCTION("""COMPUTED_VALUE"""),"VD012")</f>
        <v>VD012</v>
      </c>
      <c r="I506" s="1">
        <f>IFERROR(__xludf.DUMMYFUNCTION("""COMPUTED_VALUE"""),2.0)</f>
        <v>2</v>
      </c>
      <c r="J506" s="1">
        <f>IFERROR(__xludf.DUMMYFUNCTION("""COMPUTED_VALUE"""),53.35)</f>
        <v>53.35</v>
      </c>
      <c r="K506" s="1">
        <f>IFERROR(__xludf.DUMMYFUNCTION("""COMPUTED_VALUE"""),53.35)</f>
        <v>53.35</v>
      </c>
    </row>
    <row r="507">
      <c r="A507" s="1">
        <f>IFERROR(__xludf.DUMMYFUNCTION("""COMPUTED_VALUE"""),1000.0)</f>
        <v>1000</v>
      </c>
      <c r="B507" s="1">
        <f>IFERROR(__xludf.DUMMYFUNCTION("""COMPUTED_VALUE"""),183822.0)</f>
        <v>183822</v>
      </c>
      <c r="C507" s="1">
        <f>IFERROR(__xludf.DUMMYFUNCTION("""COMPUTED_VALUE"""),2026.0)</f>
        <v>2026</v>
      </c>
      <c r="D507" s="1">
        <f>IFERROR(__xludf.DUMMYFUNCTION("""COMPUTED_VALUE"""),46289.0)</f>
        <v>46289</v>
      </c>
      <c r="E507" s="1" t="str">
        <f>IFERROR(__xludf.DUMMYFUNCTION("""COMPUTED_VALUE"""),"VF")</f>
        <v>VF</v>
      </c>
      <c r="F507" s="1">
        <f>IFERROR(__xludf.DUMMYFUNCTION("""COMPUTED_VALUE"""),2.0)</f>
        <v>2</v>
      </c>
      <c r="G507" s="1" t="str">
        <f>IFERROR(__xludf.DUMMYFUNCTION("""COMPUTED_VALUE"""),"PR041")</f>
        <v>PR041</v>
      </c>
      <c r="H507" s="1" t="str">
        <f>IFERROR(__xludf.DUMMYFUNCTION("""COMPUTED_VALUE"""),"VD049")</f>
        <v>VD049</v>
      </c>
      <c r="I507" s="1">
        <f>IFERROR(__xludf.DUMMYFUNCTION("""COMPUTED_VALUE"""),1.0)</f>
        <v>1</v>
      </c>
      <c r="J507" s="1">
        <f>IFERROR(__xludf.DUMMYFUNCTION("""COMPUTED_VALUE"""),59.84)</f>
        <v>59.84</v>
      </c>
      <c r="K507" s="1">
        <f>IFERROR(__xludf.DUMMYFUNCTION("""COMPUTED_VALUE"""),59.84)</f>
        <v>59.84</v>
      </c>
    </row>
    <row r="508">
      <c r="A508" s="1">
        <f>IFERROR(__xludf.DUMMYFUNCTION("""COMPUTED_VALUE"""),1000.0)</f>
        <v>1000</v>
      </c>
      <c r="B508" s="1">
        <f>IFERROR(__xludf.DUMMYFUNCTION("""COMPUTED_VALUE"""),183822.0)</f>
        <v>183822</v>
      </c>
      <c r="C508" s="1">
        <f>IFERROR(__xludf.DUMMYFUNCTION("""COMPUTED_VALUE"""),2026.0)</f>
        <v>2026</v>
      </c>
      <c r="D508" s="1">
        <f>IFERROR(__xludf.DUMMYFUNCTION("""COMPUTED_VALUE"""),46289.0)</f>
        <v>46289</v>
      </c>
      <c r="E508" s="1" t="str">
        <f>IFERROR(__xludf.DUMMYFUNCTION("""COMPUTED_VALUE"""),"VF")</f>
        <v>VF</v>
      </c>
      <c r="F508" s="1">
        <f>IFERROR(__xludf.DUMMYFUNCTION("""COMPUTED_VALUE"""),3.0)</f>
        <v>3</v>
      </c>
      <c r="G508" s="1" t="str">
        <f>IFERROR(__xludf.DUMMYFUNCTION("""COMPUTED_VALUE"""),"PR037")</f>
        <v>PR037</v>
      </c>
      <c r="H508" s="1" t="str">
        <f>IFERROR(__xludf.DUMMYFUNCTION("""COMPUTED_VALUE"""),"VD038")</f>
        <v>VD038</v>
      </c>
      <c r="I508" s="1">
        <f>IFERROR(__xludf.DUMMYFUNCTION("""COMPUTED_VALUE"""),14.0)</f>
        <v>14</v>
      </c>
      <c r="J508" s="1">
        <f>IFERROR(__xludf.DUMMYFUNCTION("""COMPUTED_VALUE"""),1960.0)</f>
        <v>1960</v>
      </c>
      <c r="K508" s="1">
        <f>IFERROR(__xludf.DUMMYFUNCTION("""COMPUTED_VALUE"""),1960.0)</f>
        <v>1960</v>
      </c>
    </row>
    <row r="509">
      <c r="A509" s="1">
        <f>IFERROR(__xludf.DUMMYFUNCTION("""COMPUTED_VALUE"""),1000.0)</f>
        <v>1000</v>
      </c>
      <c r="B509" s="1">
        <f>IFERROR(__xludf.DUMMYFUNCTION("""COMPUTED_VALUE"""),183823.0)</f>
        <v>183823</v>
      </c>
      <c r="C509" s="1">
        <f>IFERROR(__xludf.DUMMYFUNCTION("""COMPUTED_VALUE"""),2026.0)</f>
        <v>2026</v>
      </c>
      <c r="D509" s="1">
        <f>IFERROR(__xludf.DUMMYFUNCTION("""COMPUTED_VALUE"""),46289.0)</f>
        <v>46289</v>
      </c>
      <c r="E509" s="1" t="str">
        <f>IFERROR(__xludf.DUMMYFUNCTION("""COMPUTED_VALUE"""),"VF")</f>
        <v>VF</v>
      </c>
      <c r="F509" s="1">
        <f>IFERROR(__xludf.DUMMYFUNCTION("""COMPUTED_VALUE"""),1.0)</f>
        <v>1</v>
      </c>
      <c r="G509" s="1" t="str">
        <f>IFERROR(__xludf.DUMMYFUNCTION("""COMPUTED_VALUE"""),"PR019")</f>
        <v>PR019</v>
      </c>
      <c r="H509" s="1" t="str">
        <f>IFERROR(__xludf.DUMMYFUNCTION("""COMPUTED_VALUE"""),"VD018")</f>
        <v>VD018</v>
      </c>
      <c r="I509" s="1">
        <f>IFERROR(__xludf.DUMMYFUNCTION("""COMPUTED_VALUE"""),4.0)</f>
        <v>4</v>
      </c>
      <c r="J509" s="1">
        <f>IFERROR(__xludf.DUMMYFUNCTION("""COMPUTED_VALUE"""),213.57)</f>
        <v>213.57</v>
      </c>
      <c r="K509" s="1">
        <f>IFERROR(__xludf.DUMMYFUNCTION("""COMPUTED_VALUE"""),213.57)</f>
        <v>213.57</v>
      </c>
    </row>
    <row r="510">
      <c r="A510" s="1">
        <f>IFERROR(__xludf.DUMMYFUNCTION("""COMPUTED_VALUE"""),1000.0)</f>
        <v>1000</v>
      </c>
      <c r="B510" s="1">
        <f>IFERROR(__xludf.DUMMYFUNCTION("""COMPUTED_VALUE"""),183824.0)</f>
        <v>183824</v>
      </c>
      <c r="C510" s="1">
        <f>IFERROR(__xludf.DUMMYFUNCTION("""COMPUTED_VALUE"""),2026.0)</f>
        <v>2026</v>
      </c>
      <c r="D510" s="1">
        <f>IFERROR(__xludf.DUMMYFUNCTION("""COMPUTED_VALUE"""),46289.0)</f>
        <v>46289</v>
      </c>
      <c r="E510" s="1" t="str">
        <f>IFERROR(__xludf.DUMMYFUNCTION("""COMPUTED_VALUE"""),"VF")</f>
        <v>VF</v>
      </c>
      <c r="F510" s="1">
        <f>IFERROR(__xludf.DUMMYFUNCTION("""COMPUTED_VALUE"""),1.0)</f>
        <v>1</v>
      </c>
      <c r="G510" s="1" t="str">
        <f>IFERROR(__xludf.DUMMYFUNCTION("""COMPUTED_VALUE"""),"PR052")</f>
        <v>PR052</v>
      </c>
      <c r="H510" s="1" t="str">
        <f>IFERROR(__xludf.DUMMYFUNCTION("""COMPUTED_VALUE"""),"VD043")</f>
        <v>VD043</v>
      </c>
      <c r="I510" s="1">
        <f>IFERROR(__xludf.DUMMYFUNCTION("""COMPUTED_VALUE"""),7.0)</f>
        <v>7</v>
      </c>
      <c r="J510" s="1">
        <f>IFERROR(__xludf.DUMMYFUNCTION("""COMPUTED_VALUE"""),356.29)</f>
        <v>356.29</v>
      </c>
      <c r="K510" s="1">
        <f>IFERROR(__xludf.DUMMYFUNCTION("""COMPUTED_VALUE"""),356.29)</f>
        <v>356.29</v>
      </c>
    </row>
    <row r="511">
      <c r="A511" s="1">
        <f>IFERROR(__xludf.DUMMYFUNCTION("""COMPUTED_VALUE"""),1000.0)</f>
        <v>1000</v>
      </c>
      <c r="B511" s="1">
        <f>IFERROR(__xludf.DUMMYFUNCTION("""COMPUTED_VALUE"""),183825.0)</f>
        <v>183825</v>
      </c>
      <c r="C511" s="1">
        <f>IFERROR(__xludf.DUMMYFUNCTION("""COMPUTED_VALUE"""),2026.0)</f>
        <v>2026</v>
      </c>
      <c r="D511" s="1">
        <f>IFERROR(__xludf.DUMMYFUNCTION("""COMPUTED_VALUE"""),46289.0)</f>
        <v>46289</v>
      </c>
      <c r="E511" s="1" t="str">
        <f>IFERROR(__xludf.DUMMYFUNCTION("""COMPUTED_VALUE"""),"VF")</f>
        <v>VF</v>
      </c>
      <c r="F511" s="1">
        <f>IFERROR(__xludf.DUMMYFUNCTION("""COMPUTED_VALUE"""),1.0)</f>
        <v>1</v>
      </c>
      <c r="G511" s="1" t="str">
        <f>IFERROR(__xludf.DUMMYFUNCTION("""COMPUTED_VALUE"""),"PR011")</f>
        <v>PR011</v>
      </c>
      <c r="H511" s="1" t="str">
        <f>IFERROR(__xludf.DUMMYFUNCTION("""COMPUTED_VALUE"""),"VD042")</f>
        <v>VD042</v>
      </c>
      <c r="I511" s="1">
        <f>IFERROR(__xludf.DUMMYFUNCTION("""COMPUTED_VALUE"""),1.0)</f>
        <v>1</v>
      </c>
      <c r="J511" s="1">
        <f>IFERROR(__xludf.DUMMYFUNCTION("""COMPUTED_VALUE"""),50.65)</f>
        <v>50.65</v>
      </c>
      <c r="K511" s="1">
        <f>IFERROR(__xludf.DUMMYFUNCTION("""COMPUTED_VALUE"""),50.65)</f>
        <v>50.65</v>
      </c>
    </row>
    <row r="512">
      <c r="A512" s="1">
        <f>IFERROR(__xludf.DUMMYFUNCTION("""COMPUTED_VALUE"""),1000.0)</f>
        <v>1000</v>
      </c>
      <c r="B512" s="1">
        <f>IFERROR(__xludf.DUMMYFUNCTION("""COMPUTED_VALUE"""),183826.0)</f>
        <v>183826</v>
      </c>
      <c r="C512" s="1">
        <f>IFERROR(__xludf.DUMMYFUNCTION("""COMPUTED_VALUE"""),2026.0)</f>
        <v>2026</v>
      </c>
      <c r="D512" s="1">
        <f>IFERROR(__xludf.DUMMYFUNCTION("""COMPUTED_VALUE"""),46289.0)</f>
        <v>46289</v>
      </c>
      <c r="E512" s="1" t="str">
        <f>IFERROR(__xludf.DUMMYFUNCTION("""COMPUTED_VALUE"""),"VF")</f>
        <v>VF</v>
      </c>
      <c r="F512" s="1">
        <f>IFERROR(__xludf.DUMMYFUNCTION("""COMPUTED_VALUE"""),1.0)</f>
        <v>1</v>
      </c>
      <c r="G512" s="1" t="str">
        <f>IFERROR(__xludf.DUMMYFUNCTION("""COMPUTED_VALUE"""),"PR058")</f>
        <v>PR058</v>
      </c>
      <c r="H512" s="1" t="str">
        <f>IFERROR(__xludf.DUMMYFUNCTION("""COMPUTED_VALUE"""),"VD048")</f>
        <v>VD048</v>
      </c>
      <c r="I512" s="1">
        <f>IFERROR(__xludf.DUMMYFUNCTION("""COMPUTED_VALUE"""),8.0)</f>
        <v>8</v>
      </c>
      <c r="J512" s="1">
        <f>IFERROR(__xludf.DUMMYFUNCTION("""COMPUTED_VALUE"""),1526.4)</f>
        <v>1526.4</v>
      </c>
      <c r="K512" s="1">
        <f>IFERROR(__xludf.DUMMYFUNCTION("""COMPUTED_VALUE"""),1526.4)</f>
        <v>1526.4</v>
      </c>
    </row>
    <row r="513">
      <c r="A513" s="1">
        <f>IFERROR(__xludf.DUMMYFUNCTION("""COMPUTED_VALUE"""),1000.0)</f>
        <v>1000</v>
      </c>
      <c r="B513" s="1">
        <f>IFERROR(__xludf.DUMMYFUNCTION("""COMPUTED_VALUE"""),183827.0)</f>
        <v>183827</v>
      </c>
      <c r="C513" s="1">
        <f>IFERROR(__xludf.DUMMYFUNCTION("""COMPUTED_VALUE"""),2026.0)</f>
        <v>2026</v>
      </c>
      <c r="D513" s="1">
        <f>IFERROR(__xludf.DUMMYFUNCTION("""COMPUTED_VALUE"""),46288.0)</f>
        <v>46288</v>
      </c>
      <c r="E513" s="1" t="str">
        <f>IFERROR(__xludf.DUMMYFUNCTION("""COMPUTED_VALUE"""),"VF")</f>
        <v>VF</v>
      </c>
      <c r="F513" s="1">
        <f>IFERROR(__xludf.DUMMYFUNCTION("""COMPUTED_VALUE"""),1.0)</f>
        <v>1</v>
      </c>
      <c r="G513" s="1" t="str">
        <f>IFERROR(__xludf.DUMMYFUNCTION("""COMPUTED_VALUE"""),"PR042")</f>
        <v>PR042</v>
      </c>
      <c r="H513" s="1" t="str">
        <f>IFERROR(__xludf.DUMMYFUNCTION("""COMPUTED_VALUE"""),"VD024")</f>
        <v>VD024</v>
      </c>
      <c r="I513" s="1">
        <f>IFERROR(__xludf.DUMMYFUNCTION("""COMPUTED_VALUE"""),3.0)</f>
        <v>3</v>
      </c>
      <c r="J513" s="1">
        <f>IFERROR(__xludf.DUMMYFUNCTION("""COMPUTED_VALUE"""),169.64)</f>
        <v>169.64</v>
      </c>
      <c r="K513" s="1">
        <f>IFERROR(__xludf.DUMMYFUNCTION("""COMPUTED_VALUE"""),169.64)</f>
        <v>169.64</v>
      </c>
    </row>
    <row r="514">
      <c r="A514" s="1">
        <f>IFERROR(__xludf.DUMMYFUNCTION("""COMPUTED_VALUE"""),1000.0)</f>
        <v>1000</v>
      </c>
      <c r="B514" s="1">
        <f>IFERROR(__xludf.DUMMYFUNCTION("""COMPUTED_VALUE"""),183827.0)</f>
        <v>183827</v>
      </c>
      <c r="C514" s="1">
        <f>IFERROR(__xludf.DUMMYFUNCTION("""COMPUTED_VALUE"""),2026.0)</f>
        <v>2026</v>
      </c>
      <c r="D514" s="1">
        <f>IFERROR(__xludf.DUMMYFUNCTION("""COMPUTED_VALUE"""),46288.0)</f>
        <v>46288</v>
      </c>
      <c r="E514" s="1" t="str">
        <f>IFERROR(__xludf.DUMMYFUNCTION("""COMPUTED_VALUE"""),"VF")</f>
        <v>VF</v>
      </c>
      <c r="F514" s="1">
        <f>IFERROR(__xludf.DUMMYFUNCTION("""COMPUTED_VALUE"""),2.0)</f>
        <v>2</v>
      </c>
      <c r="G514" s="1" t="str">
        <f>IFERROR(__xludf.DUMMYFUNCTION("""COMPUTED_VALUE"""),"PR009")</f>
        <v>PR009</v>
      </c>
      <c r="H514" s="1" t="str">
        <f>IFERROR(__xludf.DUMMYFUNCTION("""COMPUTED_VALUE"""),"VD037")</f>
        <v>VD037</v>
      </c>
      <c r="I514" s="1">
        <f>IFERROR(__xludf.DUMMYFUNCTION("""COMPUTED_VALUE"""),6.0)</f>
        <v>6</v>
      </c>
      <c r="J514" s="1">
        <f>IFERROR(__xludf.DUMMYFUNCTION("""COMPUTED_VALUE"""),568.55)</f>
        <v>568.55</v>
      </c>
      <c r="K514" s="1">
        <f>IFERROR(__xludf.DUMMYFUNCTION("""COMPUTED_VALUE"""),568.55)</f>
        <v>568.55</v>
      </c>
    </row>
    <row r="515">
      <c r="A515" s="1">
        <f>IFERROR(__xludf.DUMMYFUNCTION("""COMPUTED_VALUE"""),1000.0)</f>
        <v>1000</v>
      </c>
      <c r="B515" s="1">
        <f>IFERROR(__xludf.DUMMYFUNCTION("""COMPUTED_VALUE"""),183828.0)</f>
        <v>183828</v>
      </c>
      <c r="C515" s="1">
        <f>IFERROR(__xludf.DUMMYFUNCTION("""COMPUTED_VALUE"""),2026.0)</f>
        <v>2026</v>
      </c>
      <c r="D515" s="1">
        <f>IFERROR(__xludf.DUMMYFUNCTION("""COMPUTED_VALUE"""),46288.0)</f>
        <v>46288</v>
      </c>
      <c r="E515" s="1" t="str">
        <f>IFERROR(__xludf.DUMMYFUNCTION("""COMPUTED_VALUE"""),"VF")</f>
        <v>VF</v>
      </c>
      <c r="F515" s="1">
        <f>IFERROR(__xludf.DUMMYFUNCTION("""COMPUTED_VALUE"""),1.0)</f>
        <v>1</v>
      </c>
      <c r="G515" s="1" t="str">
        <f>IFERROR(__xludf.DUMMYFUNCTION("""COMPUTED_VALUE"""),"PR017")</f>
        <v>PR017</v>
      </c>
      <c r="H515" s="1" t="str">
        <f>IFERROR(__xludf.DUMMYFUNCTION("""COMPUTED_VALUE"""),"VD043")</f>
        <v>VD043</v>
      </c>
      <c r="I515" s="1">
        <f>IFERROR(__xludf.DUMMYFUNCTION("""COMPUTED_VALUE"""),2.0)</f>
        <v>2</v>
      </c>
      <c r="J515" s="1">
        <f>IFERROR(__xludf.DUMMYFUNCTION("""COMPUTED_VALUE"""),65.18)</f>
        <v>65.18</v>
      </c>
      <c r="K515" s="1">
        <f>IFERROR(__xludf.DUMMYFUNCTION("""COMPUTED_VALUE"""),65.18)</f>
        <v>65.18</v>
      </c>
    </row>
    <row r="516">
      <c r="A516" s="1">
        <f>IFERROR(__xludf.DUMMYFUNCTION("""COMPUTED_VALUE"""),1000.0)</f>
        <v>1000</v>
      </c>
      <c r="B516" s="1">
        <f>IFERROR(__xludf.DUMMYFUNCTION("""COMPUTED_VALUE"""),183829.0)</f>
        <v>183829</v>
      </c>
      <c r="C516" s="1">
        <f>IFERROR(__xludf.DUMMYFUNCTION("""COMPUTED_VALUE"""),2026.0)</f>
        <v>2026</v>
      </c>
      <c r="D516" s="1">
        <f>IFERROR(__xludf.DUMMYFUNCTION("""COMPUTED_VALUE"""),46287.0)</f>
        <v>46287</v>
      </c>
      <c r="E516" s="1" t="str">
        <f>IFERROR(__xludf.DUMMYFUNCTION("""COMPUTED_VALUE"""),"VF")</f>
        <v>VF</v>
      </c>
      <c r="F516" s="1">
        <f>IFERROR(__xludf.DUMMYFUNCTION("""COMPUTED_VALUE"""),1.0)</f>
        <v>1</v>
      </c>
      <c r="G516" s="1" t="str">
        <f>IFERROR(__xludf.DUMMYFUNCTION("""COMPUTED_VALUE"""),"PR009")</f>
        <v>PR009</v>
      </c>
      <c r="H516" s="1" t="str">
        <f>IFERROR(__xludf.DUMMYFUNCTION("""COMPUTED_VALUE"""),"VD025")</f>
        <v>VD025</v>
      </c>
      <c r="I516" s="1">
        <f>IFERROR(__xludf.DUMMYFUNCTION("""COMPUTED_VALUE"""),5.0)</f>
        <v>5</v>
      </c>
      <c r="J516" s="1">
        <f>IFERROR(__xludf.DUMMYFUNCTION("""COMPUTED_VALUE"""),478.44)</f>
        <v>478.44</v>
      </c>
      <c r="K516" s="1">
        <f>IFERROR(__xludf.DUMMYFUNCTION("""COMPUTED_VALUE"""),478.44)</f>
        <v>478.44</v>
      </c>
    </row>
    <row r="517">
      <c r="A517" s="1">
        <f>IFERROR(__xludf.DUMMYFUNCTION("""COMPUTED_VALUE"""),2000.0)</f>
        <v>2000</v>
      </c>
      <c r="B517" s="1">
        <f>IFERROR(__xludf.DUMMYFUNCTION("""COMPUTED_VALUE"""),183829.0)</f>
        <v>183829</v>
      </c>
      <c r="C517" s="1">
        <f>IFERROR(__xludf.DUMMYFUNCTION("""COMPUTED_VALUE"""),2026.0)</f>
        <v>2026</v>
      </c>
      <c r="D517" s="1">
        <f>IFERROR(__xludf.DUMMYFUNCTION("""COMPUTED_VALUE"""),46287.0)</f>
        <v>46287</v>
      </c>
      <c r="E517" s="1" t="str">
        <f>IFERROR(__xludf.DUMMYFUNCTION("""COMPUTED_VALUE"""),"VF")</f>
        <v>VF</v>
      </c>
      <c r="F517" s="1">
        <f>IFERROR(__xludf.DUMMYFUNCTION("""COMPUTED_VALUE"""),2.0)</f>
        <v>2</v>
      </c>
      <c r="G517" s="1" t="str">
        <f>IFERROR(__xludf.DUMMYFUNCTION("""COMPUTED_VALUE"""),"PR026")</f>
        <v>PR026</v>
      </c>
      <c r="H517" s="1" t="str">
        <f>IFERROR(__xludf.DUMMYFUNCTION("""COMPUTED_VALUE"""),"VD033")</f>
        <v>VD033</v>
      </c>
      <c r="I517" s="1">
        <f>IFERROR(__xludf.DUMMYFUNCTION("""COMPUTED_VALUE"""),12.0)</f>
        <v>12</v>
      </c>
      <c r="J517" s="1">
        <f>IFERROR(__xludf.DUMMYFUNCTION("""COMPUTED_VALUE"""),4324.76)</f>
        <v>4324.76</v>
      </c>
      <c r="K517" s="1">
        <f>IFERROR(__xludf.DUMMYFUNCTION("""COMPUTED_VALUE"""),4324.76)</f>
        <v>4324.76</v>
      </c>
    </row>
    <row r="518">
      <c r="A518" s="1">
        <f>IFERROR(__xludf.DUMMYFUNCTION("""COMPUTED_VALUE"""),2000.0)</f>
        <v>2000</v>
      </c>
      <c r="B518" s="1">
        <f>IFERROR(__xludf.DUMMYFUNCTION("""COMPUTED_VALUE"""),183829.0)</f>
        <v>183829</v>
      </c>
      <c r="C518" s="1">
        <f>IFERROR(__xludf.DUMMYFUNCTION("""COMPUTED_VALUE"""),2026.0)</f>
        <v>2026</v>
      </c>
      <c r="D518" s="1">
        <f>IFERROR(__xludf.DUMMYFUNCTION("""COMPUTED_VALUE"""),46286.0)</f>
        <v>46286</v>
      </c>
      <c r="E518" s="1" t="str">
        <f>IFERROR(__xludf.DUMMYFUNCTION("""COMPUTED_VALUE"""),"VF")</f>
        <v>VF</v>
      </c>
      <c r="F518" s="1">
        <f>IFERROR(__xludf.DUMMYFUNCTION("""COMPUTED_VALUE"""),3.0)</f>
        <v>3</v>
      </c>
      <c r="G518" s="1" t="str">
        <f>IFERROR(__xludf.DUMMYFUNCTION("""COMPUTED_VALUE"""),"PR058")</f>
        <v>PR058</v>
      </c>
      <c r="H518" s="1" t="str">
        <f>IFERROR(__xludf.DUMMYFUNCTION("""COMPUTED_VALUE"""),"VD046")</f>
        <v>VD046</v>
      </c>
      <c r="I518" s="1">
        <f>IFERROR(__xludf.DUMMYFUNCTION("""COMPUTED_VALUE"""),3.0)</f>
        <v>3</v>
      </c>
      <c r="J518" s="1">
        <f>IFERROR(__xludf.DUMMYFUNCTION("""COMPUTED_VALUE"""),577.8)</f>
        <v>577.8</v>
      </c>
      <c r="K518" s="1">
        <f>IFERROR(__xludf.DUMMYFUNCTION("""COMPUTED_VALUE"""),577.8)</f>
        <v>577.8</v>
      </c>
    </row>
    <row r="519">
      <c r="A519" s="1">
        <f>IFERROR(__xludf.DUMMYFUNCTION("""COMPUTED_VALUE"""),1000.0)</f>
        <v>1000</v>
      </c>
      <c r="B519" s="1">
        <f>IFERROR(__xludf.DUMMYFUNCTION("""COMPUTED_VALUE"""),183829.0)</f>
        <v>183829</v>
      </c>
      <c r="C519" s="1">
        <f>IFERROR(__xludf.DUMMYFUNCTION("""COMPUTED_VALUE"""),2026.0)</f>
        <v>2026</v>
      </c>
      <c r="D519" s="1">
        <f>IFERROR(__xludf.DUMMYFUNCTION("""COMPUTED_VALUE"""),46286.0)</f>
        <v>46286</v>
      </c>
      <c r="E519" s="1" t="str">
        <f>IFERROR(__xludf.DUMMYFUNCTION("""COMPUTED_VALUE"""),"VF")</f>
        <v>VF</v>
      </c>
      <c r="F519" s="1">
        <f>IFERROR(__xludf.DUMMYFUNCTION("""COMPUTED_VALUE"""),4.0)</f>
        <v>4</v>
      </c>
      <c r="G519" s="1" t="str">
        <f>IFERROR(__xludf.DUMMYFUNCTION("""COMPUTED_VALUE"""),"PR011")</f>
        <v>PR011</v>
      </c>
      <c r="H519" s="1" t="str">
        <f>IFERROR(__xludf.DUMMYFUNCTION("""COMPUTED_VALUE"""),"VD039")</f>
        <v>VD039</v>
      </c>
      <c r="I519" s="1">
        <f>IFERROR(__xludf.DUMMYFUNCTION("""COMPUTED_VALUE"""),2.0)</f>
        <v>2</v>
      </c>
      <c r="J519" s="1">
        <f>IFERROR(__xludf.DUMMYFUNCTION("""COMPUTED_VALUE"""),99.43)</f>
        <v>99.43</v>
      </c>
      <c r="K519" s="1">
        <f>IFERROR(__xludf.DUMMYFUNCTION("""COMPUTED_VALUE"""),99.43)</f>
        <v>99.43</v>
      </c>
    </row>
    <row r="520">
      <c r="A520" s="1">
        <f>IFERROR(__xludf.DUMMYFUNCTION("""COMPUTED_VALUE"""),2000.0)</f>
        <v>2000</v>
      </c>
      <c r="B520" s="1">
        <f>IFERROR(__xludf.DUMMYFUNCTION("""COMPUTED_VALUE"""),183830.0)</f>
        <v>183830</v>
      </c>
      <c r="C520" s="1">
        <f>IFERROR(__xludf.DUMMYFUNCTION("""COMPUTED_VALUE"""),2026.0)</f>
        <v>2026</v>
      </c>
      <c r="D520" s="1">
        <f>IFERROR(__xludf.DUMMYFUNCTION("""COMPUTED_VALUE"""),46286.0)</f>
        <v>46286</v>
      </c>
      <c r="E520" s="1" t="str">
        <f>IFERROR(__xludf.DUMMYFUNCTION("""COMPUTED_VALUE"""),"VF")</f>
        <v>VF</v>
      </c>
      <c r="F520" s="1">
        <f>IFERROR(__xludf.DUMMYFUNCTION("""COMPUTED_VALUE"""),1.0)</f>
        <v>1</v>
      </c>
      <c r="G520" s="1" t="str">
        <f>IFERROR(__xludf.DUMMYFUNCTION("""COMPUTED_VALUE"""),"PR030")</f>
        <v>PR030</v>
      </c>
      <c r="H520" s="1" t="str">
        <f>IFERROR(__xludf.DUMMYFUNCTION("""COMPUTED_VALUE"""),"VD027")</f>
        <v>VD027</v>
      </c>
      <c r="I520" s="1">
        <f>IFERROR(__xludf.DUMMYFUNCTION("""COMPUTED_VALUE"""),8.0)</f>
        <v>8</v>
      </c>
      <c r="J520" s="1">
        <f>IFERROR(__xludf.DUMMYFUNCTION("""COMPUTED_VALUE"""),2079.2)</f>
        <v>2079.2</v>
      </c>
      <c r="K520" s="1">
        <f>IFERROR(__xludf.DUMMYFUNCTION("""COMPUTED_VALUE"""),2079.2)</f>
        <v>2079.2</v>
      </c>
    </row>
    <row r="521">
      <c r="A521" s="1">
        <f>IFERROR(__xludf.DUMMYFUNCTION("""COMPUTED_VALUE"""),1000.0)</f>
        <v>1000</v>
      </c>
      <c r="B521" s="1">
        <f>IFERROR(__xludf.DUMMYFUNCTION("""COMPUTED_VALUE"""),183831.0)</f>
        <v>183831</v>
      </c>
      <c r="C521" s="1">
        <f>IFERROR(__xludf.DUMMYFUNCTION("""COMPUTED_VALUE"""),2026.0)</f>
        <v>2026</v>
      </c>
      <c r="D521" s="1">
        <f>IFERROR(__xludf.DUMMYFUNCTION("""COMPUTED_VALUE"""),46286.0)</f>
        <v>46286</v>
      </c>
      <c r="E521" s="1" t="str">
        <f>IFERROR(__xludf.DUMMYFUNCTION("""COMPUTED_VALUE"""),"VF")</f>
        <v>VF</v>
      </c>
      <c r="F521" s="1">
        <f>IFERROR(__xludf.DUMMYFUNCTION("""COMPUTED_VALUE"""),1.0)</f>
        <v>1</v>
      </c>
      <c r="G521" s="1" t="str">
        <f>IFERROR(__xludf.DUMMYFUNCTION("""COMPUTED_VALUE"""),"PR032")</f>
        <v>PR032</v>
      </c>
      <c r="H521" s="1" t="str">
        <f>IFERROR(__xludf.DUMMYFUNCTION("""COMPUTED_VALUE"""),"VD031")</f>
        <v>VD031</v>
      </c>
      <c r="I521" s="1">
        <f>IFERROR(__xludf.DUMMYFUNCTION("""COMPUTED_VALUE"""),20.0)</f>
        <v>20</v>
      </c>
      <c r="J521" s="1">
        <f>IFERROR(__xludf.DUMMYFUNCTION("""COMPUTED_VALUE"""),5300.0)</f>
        <v>5300</v>
      </c>
      <c r="K521" s="1">
        <f>IFERROR(__xludf.DUMMYFUNCTION("""COMPUTED_VALUE"""),5300.0)</f>
        <v>5300</v>
      </c>
    </row>
    <row r="522">
      <c r="A522" s="1">
        <f>IFERROR(__xludf.DUMMYFUNCTION("""COMPUTED_VALUE"""),2000.0)</f>
        <v>2000</v>
      </c>
      <c r="B522" s="1">
        <f>IFERROR(__xludf.DUMMYFUNCTION("""COMPUTED_VALUE"""),183832.0)</f>
        <v>183832</v>
      </c>
      <c r="C522" s="1">
        <f>IFERROR(__xludf.DUMMYFUNCTION("""COMPUTED_VALUE"""),2026.0)</f>
        <v>2026</v>
      </c>
      <c r="D522" s="1">
        <f>IFERROR(__xludf.DUMMYFUNCTION("""COMPUTED_VALUE"""),46286.0)</f>
        <v>46286</v>
      </c>
      <c r="E522" s="1" t="str">
        <f>IFERROR(__xludf.DUMMYFUNCTION("""COMPUTED_VALUE"""),"VF")</f>
        <v>VF</v>
      </c>
      <c r="F522" s="1">
        <f>IFERROR(__xludf.DUMMYFUNCTION("""COMPUTED_VALUE"""),1.0)</f>
        <v>1</v>
      </c>
      <c r="G522" s="1" t="str">
        <f>IFERROR(__xludf.DUMMYFUNCTION("""COMPUTED_VALUE"""),"PR039")</f>
        <v>PR039</v>
      </c>
      <c r="H522" s="1" t="str">
        <f>IFERROR(__xludf.DUMMYFUNCTION("""COMPUTED_VALUE"""),"VD021")</f>
        <v>VD021</v>
      </c>
      <c r="I522" s="1">
        <f>IFERROR(__xludf.DUMMYFUNCTION("""COMPUTED_VALUE"""),2.0)</f>
        <v>2</v>
      </c>
      <c r="J522" s="1">
        <f>IFERROR(__xludf.DUMMYFUNCTION("""COMPUTED_VALUE"""),292.0)</f>
        <v>292</v>
      </c>
      <c r="K522" s="1">
        <f>IFERROR(__xludf.DUMMYFUNCTION("""COMPUTED_VALUE"""),292.0)</f>
        <v>292</v>
      </c>
    </row>
    <row r="523">
      <c r="A523" s="1">
        <f>IFERROR(__xludf.DUMMYFUNCTION("""COMPUTED_VALUE"""),1000.0)</f>
        <v>1000</v>
      </c>
      <c r="B523" s="1">
        <f>IFERROR(__xludf.DUMMYFUNCTION("""COMPUTED_VALUE"""),183832.0)</f>
        <v>183832</v>
      </c>
      <c r="C523" s="1">
        <f>IFERROR(__xludf.DUMMYFUNCTION("""COMPUTED_VALUE"""),2026.0)</f>
        <v>2026</v>
      </c>
      <c r="D523" s="1">
        <f>IFERROR(__xludf.DUMMYFUNCTION("""COMPUTED_VALUE"""),46286.0)</f>
        <v>46286</v>
      </c>
      <c r="E523" s="1" t="str">
        <f>IFERROR(__xludf.DUMMYFUNCTION("""COMPUTED_VALUE"""),"VF")</f>
        <v>VF</v>
      </c>
      <c r="F523" s="1">
        <f>IFERROR(__xludf.DUMMYFUNCTION("""COMPUTED_VALUE"""),2.0)</f>
        <v>2</v>
      </c>
      <c r="G523" s="1" t="str">
        <f>IFERROR(__xludf.DUMMYFUNCTION("""COMPUTED_VALUE"""),"PR045")</f>
        <v>PR045</v>
      </c>
      <c r="H523" s="1" t="str">
        <f>IFERROR(__xludf.DUMMYFUNCTION("""COMPUTED_VALUE"""),"VD017")</f>
        <v>VD017</v>
      </c>
      <c r="I523" s="1">
        <f>IFERROR(__xludf.DUMMYFUNCTION("""COMPUTED_VALUE"""),20.0)</f>
        <v>20</v>
      </c>
      <c r="J523" s="1">
        <f>IFERROR(__xludf.DUMMYFUNCTION("""COMPUTED_VALUE"""),1537.0)</f>
        <v>1537</v>
      </c>
      <c r="K523" s="1">
        <f>IFERROR(__xludf.DUMMYFUNCTION("""COMPUTED_VALUE"""),1537.0)</f>
        <v>1537</v>
      </c>
    </row>
    <row r="524">
      <c r="A524" s="1">
        <f>IFERROR(__xludf.DUMMYFUNCTION("""COMPUTED_VALUE"""),1000.0)</f>
        <v>1000</v>
      </c>
      <c r="B524" s="1">
        <f>IFERROR(__xludf.DUMMYFUNCTION("""COMPUTED_VALUE"""),183833.0)</f>
        <v>183833</v>
      </c>
      <c r="C524" s="1">
        <f>IFERROR(__xludf.DUMMYFUNCTION("""COMPUTED_VALUE"""),2026.0)</f>
        <v>2026</v>
      </c>
      <c r="D524" s="1">
        <f>IFERROR(__xludf.DUMMYFUNCTION("""COMPUTED_VALUE"""),46286.0)</f>
        <v>46286</v>
      </c>
      <c r="E524" s="1" t="str">
        <f>IFERROR(__xludf.DUMMYFUNCTION("""COMPUTED_VALUE"""),"VF")</f>
        <v>VF</v>
      </c>
      <c r="F524" s="1">
        <f>IFERROR(__xludf.DUMMYFUNCTION("""COMPUTED_VALUE"""),1.0)</f>
        <v>1</v>
      </c>
      <c r="G524" s="1" t="str">
        <f>IFERROR(__xludf.DUMMYFUNCTION("""COMPUTED_VALUE"""),"PR035")</f>
        <v>PR035</v>
      </c>
      <c r="H524" s="1" t="str">
        <f>IFERROR(__xludf.DUMMYFUNCTION("""COMPUTED_VALUE"""),"VD045")</f>
        <v>VD045</v>
      </c>
      <c r="I524" s="1">
        <f>IFERROR(__xludf.DUMMYFUNCTION("""COMPUTED_VALUE"""),6.0)</f>
        <v>6</v>
      </c>
      <c r="J524" s="1">
        <f>IFERROR(__xludf.DUMMYFUNCTION("""COMPUTED_VALUE"""),586.79)</f>
        <v>586.79</v>
      </c>
      <c r="K524" s="1">
        <f>IFERROR(__xludf.DUMMYFUNCTION("""COMPUTED_VALUE"""),586.79)</f>
        <v>586.79</v>
      </c>
    </row>
    <row r="525">
      <c r="A525" s="1">
        <f>IFERROR(__xludf.DUMMYFUNCTION("""COMPUTED_VALUE"""),1000.0)</f>
        <v>1000</v>
      </c>
      <c r="B525" s="1">
        <f>IFERROR(__xludf.DUMMYFUNCTION("""COMPUTED_VALUE"""),183834.0)</f>
        <v>183834</v>
      </c>
      <c r="C525" s="1">
        <f>IFERROR(__xludf.DUMMYFUNCTION("""COMPUTED_VALUE"""),2026.0)</f>
        <v>2026</v>
      </c>
      <c r="D525" s="1">
        <f>IFERROR(__xludf.DUMMYFUNCTION("""COMPUTED_VALUE"""),46285.0)</f>
        <v>46285</v>
      </c>
      <c r="E525" s="1" t="str">
        <f>IFERROR(__xludf.DUMMYFUNCTION("""COMPUTED_VALUE"""),"VF")</f>
        <v>VF</v>
      </c>
      <c r="F525" s="1">
        <f>IFERROR(__xludf.DUMMYFUNCTION("""COMPUTED_VALUE"""),1.0)</f>
        <v>1</v>
      </c>
      <c r="G525" s="1" t="str">
        <f>IFERROR(__xludf.DUMMYFUNCTION("""COMPUTED_VALUE"""),"PR008")</f>
        <v>PR008</v>
      </c>
      <c r="H525" s="1" t="str">
        <f>IFERROR(__xludf.DUMMYFUNCTION("""COMPUTED_VALUE"""),"VD015")</f>
        <v>VD015</v>
      </c>
      <c r="I525" s="1">
        <f>IFERROR(__xludf.DUMMYFUNCTION("""COMPUTED_VALUE"""),9.0)</f>
        <v>9</v>
      </c>
      <c r="J525" s="1">
        <f>IFERROR(__xludf.DUMMYFUNCTION("""COMPUTED_VALUE"""),809.1)</f>
        <v>809.1</v>
      </c>
      <c r="K525" s="1">
        <f>IFERROR(__xludf.DUMMYFUNCTION("""COMPUTED_VALUE"""),809.1)</f>
        <v>809.1</v>
      </c>
    </row>
    <row r="526">
      <c r="A526" s="1">
        <f>IFERROR(__xludf.DUMMYFUNCTION("""COMPUTED_VALUE"""),2000.0)</f>
        <v>2000</v>
      </c>
      <c r="B526" s="1">
        <f>IFERROR(__xludf.DUMMYFUNCTION("""COMPUTED_VALUE"""),183835.0)</f>
        <v>183835</v>
      </c>
      <c r="C526" s="1">
        <f>IFERROR(__xludf.DUMMYFUNCTION("""COMPUTED_VALUE"""),2026.0)</f>
        <v>2026</v>
      </c>
      <c r="D526" s="1">
        <f>IFERROR(__xludf.DUMMYFUNCTION("""COMPUTED_VALUE"""),46285.0)</f>
        <v>46285</v>
      </c>
      <c r="E526" s="1" t="str">
        <f>IFERROR(__xludf.DUMMYFUNCTION("""COMPUTED_VALUE"""),"VF")</f>
        <v>VF</v>
      </c>
      <c r="F526" s="1">
        <f>IFERROR(__xludf.DUMMYFUNCTION("""COMPUTED_VALUE"""),1.0)</f>
        <v>1</v>
      </c>
      <c r="G526" s="1" t="str">
        <f>IFERROR(__xludf.DUMMYFUNCTION("""COMPUTED_VALUE"""),"PR037")</f>
        <v>PR037</v>
      </c>
      <c r="H526" s="1" t="str">
        <f>IFERROR(__xludf.DUMMYFUNCTION("""COMPUTED_VALUE"""),"VD045")</f>
        <v>VD045</v>
      </c>
      <c r="I526" s="1">
        <f>IFERROR(__xludf.DUMMYFUNCTION("""COMPUTED_VALUE"""),4.0)</f>
        <v>4</v>
      </c>
      <c r="J526" s="1">
        <f>IFERROR(__xludf.DUMMYFUNCTION("""COMPUTED_VALUE"""),571.2)</f>
        <v>571.2</v>
      </c>
      <c r="K526" s="1">
        <f>IFERROR(__xludf.DUMMYFUNCTION("""COMPUTED_VALUE"""),571.2)</f>
        <v>571.2</v>
      </c>
    </row>
    <row r="527">
      <c r="A527" s="1">
        <f>IFERROR(__xludf.DUMMYFUNCTION("""COMPUTED_VALUE"""),1000.0)</f>
        <v>1000</v>
      </c>
      <c r="B527" s="1">
        <f>IFERROR(__xludf.DUMMYFUNCTION("""COMPUTED_VALUE"""),183836.0)</f>
        <v>183836</v>
      </c>
      <c r="C527" s="1">
        <f>IFERROR(__xludf.DUMMYFUNCTION("""COMPUTED_VALUE"""),2026.0)</f>
        <v>2026</v>
      </c>
      <c r="D527" s="1">
        <f>IFERROR(__xludf.DUMMYFUNCTION("""COMPUTED_VALUE"""),46285.0)</f>
        <v>46285</v>
      </c>
      <c r="E527" s="1" t="str">
        <f>IFERROR(__xludf.DUMMYFUNCTION("""COMPUTED_VALUE"""),"VF")</f>
        <v>VF</v>
      </c>
      <c r="F527" s="1">
        <f>IFERROR(__xludf.DUMMYFUNCTION("""COMPUTED_VALUE"""),1.0)</f>
        <v>1</v>
      </c>
      <c r="G527" s="1" t="str">
        <f>IFERROR(__xludf.DUMMYFUNCTION("""COMPUTED_VALUE"""),"PR055")</f>
        <v>PR055</v>
      </c>
      <c r="H527" s="1" t="str">
        <f>IFERROR(__xludf.DUMMYFUNCTION("""COMPUTED_VALUE"""),"VD047")</f>
        <v>VD047</v>
      </c>
      <c r="I527" s="1">
        <f>IFERROR(__xludf.DUMMYFUNCTION("""COMPUTED_VALUE"""),9.0)</f>
        <v>9</v>
      </c>
      <c r="J527" s="1">
        <f>IFERROR(__xludf.DUMMYFUNCTION("""COMPUTED_VALUE"""),841.46)</f>
        <v>841.46</v>
      </c>
      <c r="K527" s="1">
        <f>IFERROR(__xludf.DUMMYFUNCTION("""COMPUTED_VALUE"""),841.46)</f>
        <v>841.46</v>
      </c>
    </row>
    <row r="528">
      <c r="A528" s="1">
        <f>IFERROR(__xludf.DUMMYFUNCTION("""COMPUTED_VALUE"""),1000.0)</f>
        <v>1000</v>
      </c>
      <c r="B528" s="1">
        <f>IFERROR(__xludf.DUMMYFUNCTION("""COMPUTED_VALUE"""),183837.0)</f>
        <v>183837</v>
      </c>
      <c r="C528" s="1">
        <f>IFERROR(__xludf.DUMMYFUNCTION("""COMPUTED_VALUE"""),2026.0)</f>
        <v>2026</v>
      </c>
      <c r="D528" s="1">
        <f>IFERROR(__xludf.DUMMYFUNCTION("""COMPUTED_VALUE"""),46284.0)</f>
        <v>46284</v>
      </c>
      <c r="E528" s="1" t="str">
        <f>IFERROR(__xludf.DUMMYFUNCTION("""COMPUTED_VALUE"""),"VF")</f>
        <v>VF</v>
      </c>
      <c r="F528" s="1">
        <f>IFERROR(__xludf.DUMMYFUNCTION("""COMPUTED_VALUE"""),1.0)</f>
        <v>1</v>
      </c>
      <c r="G528" s="1" t="str">
        <f>IFERROR(__xludf.DUMMYFUNCTION("""COMPUTED_VALUE"""),"PR022")</f>
        <v>PR022</v>
      </c>
      <c r="H528" s="1" t="str">
        <f>IFERROR(__xludf.DUMMYFUNCTION("""COMPUTED_VALUE"""),"VD034")</f>
        <v>VD034</v>
      </c>
      <c r="I528" s="1">
        <f>IFERROR(__xludf.DUMMYFUNCTION("""COMPUTED_VALUE"""),10.0)</f>
        <v>10</v>
      </c>
      <c r="J528" s="1">
        <f>IFERROR(__xludf.DUMMYFUNCTION("""COMPUTED_VALUE"""),3120.0)</f>
        <v>3120</v>
      </c>
      <c r="K528" s="1">
        <f>IFERROR(__xludf.DUMMYFUNCTION("""COMPUTED_VALUE"""),3120.0)</f>
        <v>3120</v>
      </c>
    </row>
    <row r="529">
      <c r="A529" s="1">
        <f>IFERROR(__xludf.DUMMYFUNCTION("""COMPUTED_VALUE"""),1000.0)</f>
        <v>1000</v>
      </c>
      <c r="B529" s="1">
        <f>IFERROR(__xludf.DUMMYFUNCTION("""COMPUTED_VALUE"""),183838.0)</f>
        <v>183838</v>
      </c>
      <c r="C529" s="1">
        <f>IFERROR(__xludf.DUMMYFUNCTION("""COMPUTED_VALUE"""),2026.0)</f>
        <v>2026</v>
      </c>
      <c r="D529" s="1">
        <f>IFERROR(__xludf.DUMMYFUNCTION("""COMPUTED_VALUE"""),46284.0)</f>
        <v>46284</v>
      </c>
      <c r="E529" s="1" t="str">
        <f>IFERROR(__xludf.DUMMYFUNCTION("""COMPUTED_VALUE"""),"VF")</f>
        <v>VF</v>
      </c>
      <c r="F529" s="1">
        <f>IFERROR(__xludf.DUMMYFUNCTION("""COMPUTED_VALUE"""),1.0)</f>
        <v>1</v>
      </c>
      <c r="G529" s="1" t="str">
        <f>IFERROR(__xludf.DUMMYFUNCTION("""COMPUTED_VALUE"""),"PR029")</f>
        <v>PR029</v>
      </c>
      <c r="H529" s="1" t="str">
        <f>IFERROR(__xludf.DUMMYFUNCTION("""COMPUTED_VALUE"""),"VD047")</f>
        <v>VD047</v>
      </c>
      <c r="I529" s="1">
        <f>IFERROR(__xludf.DUMMYFUNCTION("""COMPUTED_VALUE"""),4.0)</f>
        <v>4</v>
      </c>
      <c r="J529" s="1">
        <f>IFERROR(__xludf.DUMMYFUNCTION("""COMPUTED_VALUE"""),1030.2)</f>
        <v>1030.2</v>
      </c>
      <c r="K529" s="1">
        <f>IFERROR(__xludf.DUMMYFUNCTION("""COMPUTED_VALUE"""),1030.2)</f>
        <v>1030.2</v>
      </c>
    </row>
    <row r="530">
      <c r="A530" s="1">
        <f>IFERROR(__xludf.DUMMYFUNCTION("""COMPUTED_VALUE"""),1000.0)</f>
        <v>1000</v>
      </c>
      <c r="B530" s="1">
        <f>IFERROR(__xludf.DUMMYFUNCTION("""COMPUTED_VALUE"""),183839.0)</f>
        <v>183839</v>
      </c>
      <c r="C530" s="1">
        <f>IFERROR(__xludf.DUMMYFUNCTION("""COMPUTED_VALUE"""),2026.0)</f>
        <v>2026</v>
      </c>
      <c r="D530" s="1">
        <f>IFERROR(__xludf.DUMMYFUNCTION("""COMPUTED_VALUE"""),46284.0)</f>
        <v>46284</v>
      </c>
      <c r="E530" s="1" t="str">
        <f>IFERROR(__xludf.DUMMYFUNCTION("""COMPUTED_VALUE"""),"VF")</f>
        <v>VF</v>
      </c>
      <c r="F530" s="1">
        <f>IFERROR(__xludf.DUMMYFUNCTION("""COMPUTED_VALUE"""),1.0)</f>
        <v>1</v>
      </c>
      <c r="G530" s="1" t="str">
        <f>IFERROR(__xludf.DUMMYFUNCTION("""COMPUTED_VALUE"""),"PR006")</f>
        <v>PR006</v>
      </c>
      <c r="H530" s="1" t="str">
        <f>IFERROR(__xludf.DUMMYFUNCTION("""COMPUTED_VALUE"""),"VD010")</f>
        <v>VD010</v>
      </c>
      <c r="I530" s="1">
        <f>IFERROR(__xludf.DUMMYFUNCTION("""COMPUTED_VALUE"""),10.0)</f>
        <v>10</v>
      </c>
      <c r="J530" s="1">
        <f>IFERROR(__xludf.DUMMYFUNCTION("""COMPUTED_VALUE"""),430.92)</f>
        <v>430.92</v>
      </c>
      <c r="K530" s="1">
        <f>IFERROR(__xludf.DUMMYFUNCTION("""COMPUTED_VALUE"""),430.92)</f>
        <v>430.92</v>
      </c>
    </row>
    <row r="531">
      <c r="A531" s="1">
        <f>IFERROR(__xludf.DUMMYFUNCTION("""COMPUTED_VALUE"""),1000.0)</f>
        <v>1000</v>
      </c>
      <c r="B531" s="1">
        <f>IFERROR(__xludf.DUMMYFUNCTION("""COMPUTED_VALUE"""),183839.0)</f>
        <v>183839</v>
      </c>
      <c r="C531" s="1">
        <f>IFERROR(__xludf.DUMMYFUNCTION("""COMPUTED_VALUE"""),2026.0)</f>
        <v>2026</v>
      </c>
      <c r="D531" s="1">
        <f>IFERROR(__xludf.DUMMYFUNCTION("""COMPUTED_VALUE"""),46284.0)</f>
        <v>46284</v>
      </c>
      <c r="E531" s="1" t="str">
        <f>IFERROR(__xludf.DUMMYFUNCTION("""COMPUTED_VALUE"""),"VF")</f>
        <v>VF</v>
      </c>
      <c r="F531" s="1">
        <f>IFERROR(__xludf.DUMMYFUNCTION("""COMPUTED_VALUE"""),2.0)</f>
        <v>2</v>
      </c>
      <c r="G531" s="1" t="str">
        <f>IFERROR(__xludf.DUMMYFUNCTION("""COMPUTED_VALUE"""),"PR003")</f>
        <v>PR003</v>
      </c>
      <c r="H531" s="1" t="str">
        <f>IFERROR(__xludf.DUMMYFUNCTION("""COMPUTED_VALUE"""),"VD017")</f>
        <v>VD017</v>
      </c>
      <c r="I531" s="1">
        <f>IFERROR(__xludf.DUMMYFUNCTION("""COMPUTED_VALUE"""),12.0)</f>
        <v>12</v>
      </c>
      <c r="J531" s="1">
        <f>IFERROR(__xludf.DUMMYFUNCTION("""COMPUTED_VALUE"""),935.88)</f>
        <v>935.88</v>
      </c>
      <c r="K531" s="1">
        <f>IFERROR(__xludf.DUMMYFUNCTION("""COMPUTED_VALUE"""),935.88)</f>
        <v>935.88</v>
      </c>
    </row>
    <row r="532">
      <c r="A532" s="1">
        <f>IFERROR(__xludf.DUMMYFUNCTION("""COMPUTED_VALUE"""),1000.0)</f>
        <v>1000</v>
      </c>
      <c r="B532" s="1">
        <f>IFERROR(__xludf.DUMMYFUNCTION("""COMPUTED_VALUE"""),183840.0)</f>
        <v>183840</v>
      </c>
      <c r="C532" s="1">
        <f>IFERROR(__xludf.DUMMYFUNCTION("""COMPUTED_VALUE"""),2026.0)</f>
        <v>2026</v>
      </c>
      <c r="D532" s="1">
        <f>IFERROR(__xludf.DUMMYFUNCTION("""COMPUTED_VALUE"""),46284.0)</f>
        <v>46284</v>
      </c>
      <c r="E532" s="1" t="str">
        <f>IFERROR(__xludf.DUMMYFUNCTION("""COMPUTED_VALUE"""),"VF")</f>
        <v>VF</v>
      </c>
      <c r="F532" s="1">
        <f>IFERROR(__xludf.DUMMYFUNCTION("""COMPUTED_VALUE"""),1.0)</f>
        <v>1</v>
      </c>
      <c r="G532" s="1" t="str">
        <f>IFERROR(__xludf.DUMMYFUNCTION("""COMPUTED_VALUE"""),"PR017")</f>
        <v>PR017</v>
      </c>
      <c r="H532" s="1" t="str">
        <f>IFERROR(__xludf.DUMMYFUNCTION("""COMPUTED_VALUE"""),"VD025")</f>
        <v>VD025</v>
      </c>
      <c r="I532" s="1">
        <f>IFERROR(__xludf.DUMMYFUNCTION("""COMPUTED_VALUE"""),1.0)</f>
        <v>1</v>
      </c>
      <c r="J532" s="1">
        <f>IFERROR(__xludf.DUMMYFUNCTION("""COMPUTED_VALUE"""),29.9)</f>
        <v>29.9</v>
      </c>
      <c r="K532" s="1">
        <f>IFERROR(__xludf.DUMMYFUNCTION("""COMPUTED_VALUE"""),29.9)</f>
        <v>29.9</v>
      </c>
    </row>
    <row r="533">
      <c r="A533" s="1">
        <f>IFERROR(__xludf.DUMMYFUNCTION("""COMPUTED_VALUE"""),1000.0)</f>
        <v>1000</v>
      </c>
      <c r="B533" s="1">
        <f>IFERROR(__xludf.DUMMYFUNCTION("""COMPUTED_VALUE"""),183841.0)</f>
        <v>183841</v>
      </c>
      <c r="C533" s="1">
        <f>IFERROR(__xludf.DUMMYFUNCTION("""COMPUTED_VALUE"""),2026.0)</f>
        <v>2026</v>
      </c>
      <c r="D533" s="1">
        <f>IFERROR(__xludf.DUMMYFUNCTION("""COMPUTED_VALUE"""),46284.0)</f>
        <v>46284</v>
      </c>
      <c r="E533" s="1" t="str">
        <f>IFERROR(__xludf.DUMMYFUNCTION("""COMPUTED_VALUE"""),"VF")</f>
        <v>VF</v>
      </c>
      <c r="F533" s="1">
        <f>IFERROR(__xludf.DUMMYFUNCTION("""COMPUTED_VALUE"""),1.0)</f>
        <v>1</v>
      </c>
      <c r="G533" s="1" t="str">
        <f>IFERROR(__xludf.DUMMYFUNCTION("""COMPUTED_VALUE"""),"PR037")</f>
        <v>PR037</v>
      </c>
      <c r="H533" s="1" t="str">
        <f>IFERROR(__xludf.DUMMYFUNCTION("""COMPUTED_VALUE"""),"VD027")</f>
        <v>VD027</v>
      </c>
      <c r="I533" s="1">
        <f>IFERROR(__xludf.DUMMYFUNCTION("""COMPUTED_VALUE"""),20.0)</f>
        <v>20</v>
      </c>
      <c r="J533" s="1">
        <f>IFERROR(__xludf.DUMMYFUNCTION("""COMPUTED_VALUE"""),2912.0)</f>
        <v>2912</v>
      </c>
      <c r="K533" s="1">
        <f>IFERROR(__xludf.DUMMYFUNCTION("""COMPUTED_VALUE"""),2912.0)</f>
        <v>2912</v>
      </c>
    </row>
    <row r="534">
      <c r="A534" s="1">
        <f>IFERROR(__xludf.DUMMYFUNCTION("""COMPUTED_VALUE"""),1000.0)</f>
        <v>1000</v>
      </c>
      <c r="B534" s="1">
        <f>IFERROR(__xludf.DUMMYFUNCTION("""COMPUTED_VALUE"""),183841.0)</f>
        <v>183841</v>
      </c>
      <c r="C534" s="1">
        <f>IFERROR(__xludf.DUMMYFUNCTION("""COMPUTED_VALUE"""),2026.0)</f>
        <v>2026</v>
      </c>
      <c r="D534" s="1">
        <f>IFERROR(__xludf.DUMMYFUNCTION("""COMPUTED_VALUE"""),46284.0)</f>
        <v>46284</v>
      </c>
      <c r="E534" s="1" t="str">
        <f>IFERROR(__xludf.DUMMYFUNCTION("""COMPUTED_VALUE"""),"VF")</f>
        <v>VF</v>
      </c>
      <c r="F534" s="1">
        <f>IFERROR(__xludf.DUMMYFUNCTION("""COMPUTED_VALUE"""),2.0)</f>
        <v>2</v>
      </c>
      <c r="G534" s="1" t="str">
        <f>IFERROR(__xludf.DUMMYFUNCTION("""COMPUTED_VALUE"""),"PR024")</f>
        <v>PR024</v>
      </c>
      <c r="H534" s="1" t="str">
        <f>IFERROR(__xludf.DUMMYFUNCTION("""COMPUTED_VALUE"""),"VD035")</f>
        <v>VD035</v>
      </c>
      <c r="I534" s="1">
        <f>IFERROR(__xludf.DUMMYFUNCTION("""COMPUTED_VALUE"""),8.0)</f>
        <v>8</v>
      </c>
      <c r="J534" s="1">
        <f>IFERROR(__xludf.DUMMYFUNCTION("""COMPUTED_VALUE"""),2183.16)</f>
        <v>2183.16</v>
      </c>
      <c r="K534" s="1">
        <f>IFERROR(__xludf.DUMMYFUNCTION("""COMPUTED_VALUE"""),2183.16)</f>
        <v>2183.16</v>
      </c>
    </row>
    <row r="535">
      <c r="A535" s="1">
        <f>IFERROR(__xludf.DUMMYFUNCTION("""COMPUTED_VALUE"""),2000.0)</f>
        <v>2000</v>
      </c>
      <c r="B535" s="1">
        <f>IFERROR(__xludf.DUMMYFUNCTION("""COMPUTED_VALUE"""),183841.0)</f>
        <v>183841</v>
      </c>
      <c r="C535" s="1">
        <f>IFERROR(__xludf.DUMMYFUNCTION("""COMPUTED_VALUE"""),2026.0)</f>
        <v>2026</v>
      </c>
      <c r="D535" s="1">
        <f>IFERROR(__xludf.DUMMYFUNCTION("""COMPUTED_VALUE"""),46283.0)</f>
        <v>46283</v>
      </c>
      <c r="E535" s="1" t="str">
        <f>IFERROR(__xludf.DUMMYFUNCTION("""COMPUTED_VALUE"""),"VF")</f>
        <v>VF</v>
      </c>
      <c r="F535" s="1">
        <f>IFERROR(__xludf.DUMMYFUNCTION("""COMPUTED_VALUE"""),3.0)</f>
        <v>3</v>
      </c>
      <c r="G535" s="1" t="str">
        <f>IFERROR(__xludf.DUMMYFUNCTION("""COMPUTED_VALUE"""),"PR006")</f>
        <v>PR006</v>
      </c>
      <c r="H535" s="1" t="str">
        <f>IFERROR(__xludf.DUMMYFUNCTION("""COMPUTED_VALUE"""),"VD022")</f>
        <v>VD022</v>
      </c>
      <c r="I535" s="1">
        <f>IFERROR(__xludf.DUMMYFUNCTION("""COMPUTED_VALUE"""),18.0)</f>
        <v>18</v>
      </c>
      <c r="J535" s="1">
        <f>IFERROR(__xludf.DUMMYFUNCTION("""COMPUTED_VALUE"""),725.38)</f>
        <v>725.38</v>
      </c>
      <c r="K535" s="1">
        <f>IFERROR(__xludf.DUMMYFUNCTION("""COMPUTED_VALUE"""),725.38)</f>
        <v>725.38</v>
      </c>
    </row>
    <row r="536">
      <c r="A536" s="1">
        <f>IFERROR(__xludf.DUMMYFUNCTION("""COMPUTED_VALUE"""),1000.0)</f>
        <v>1000</v>
      </c>
      <c r="B536" s="1">
        <f>IFERROR(__xludf.DUMMYFUNCTION("""COMPUTED_VALUE"""),183842.0)</f>
        <v>183842</v>
      </c>
      <c r="C536" s="1">
        <f>IFERROR(__xludf.DUMMYFUNCTION("""COMPUTED_VALUE"""),2026.0)</f>
        <v>2026</v>
      </c>
      <c r="D536" s="1">
        <f>IFERROR(__xludf.DUMMYFUNCTION("""COMPUTED_VALUE"""),46283.0)</f>
        <v>46283</v>
      </c>
      <c r="E536" s="1" t="str">
        <f>IFERROR(__xludf.DUMMYFUNCTION("""COMPUTED_VALUE"""),"VF")</f>
        <v>VF</v>
      </c>
      <c r="F536" s="1">
        <f>IFERROR(__xludf.DUMMYFUNCTION("""COMPUTED_VALUE"""),1.0)</f>
        <v>1</v>
      </c>
      <c r="G536" s="1" t="str">
        <f>IFERROR(__xludf.DUMMYFUNCTION("""COMPUTED_VALUE"""),"PR051")</f>
        <v>PR051</v>
      </c>
      <c r="H536" s="1" t="str">
        <f>IFERROR(__xludf.DUMMYFUNCTION("""COMPUTED_VALUE"""),"VD027")</f>
        <v>VD027</v>
      </c>
      <c r="I536" s="1">
        <f>IFERROR(__xludf.DUMMYFUNCTION("""COMPUTED_VALUE"""),18.0)</f>
        <v>18</v>
      </c>
      <c r="J536" s="1">
        <f>IFERROR(__xludf.DUMMYFUNCTION("""COMPUTED_VALUE"""),633.65)</f>
        <v>633.65</v>
      </c>
      <c r="K536" s="1">
        <f>IFERROR(__xludf.DUMMYFUNCTION("""COMPUTED_VALUE"""),633.65)</f>
        <v>633.65</v>
      </c>
    </row>
    <row r="537">
      <c r="A537" s="1">
        <f>IFERROR(__xludf.DUMMYFUNCTION("""COMPUTED_VALUE"""),2000.0)</f>
        <v>2000</v>
      </c>
      <c r="B537" s="1">
        <f>IFERROR(__xludf.DUMMYFUNCTION("""COMPUTED_VALUE"""),183843.0)</f>
        <v>183843</v>
      </c>
      <c r="C537" s="1">
        <f>IFERROR(__xludf.DUMMYFUNCTION("""COMPUTED_VALUE"""),2026.0)</f>
        <v>2026</v>
      </c>
      <c r="D537" s="1">
        <f>IFERROR(__xludf.DUMMYFUNCTION("""COMPUTED_VALUE"""),46282.0)</f>
        <v>46282</v>
      </c>
      <c r="E537" s="1" t="str">
        <f>IFERROR(__xludf.DUMMYFUNCTION("""COMPUTED_VALUE"""),"VF")</f>
        <v>VF</v>
      </c>
      <c r="F537" s="1">
        <f>IFERROR(__xludf.DUMMYFUNCTION("""COMPUTED_VALUE"""),1.0)</f>
        <v>1</v>
      </c>
      <c r="G537" s="1" t="str">
        <f>IFERROR(__xludf.DUMMYFUNCTION("""COMPUTED_VALUE"""),"PR057")</f>
        <v>PR057</v>
      </c>
      <c r="H537" s="1" t="str">
        <f>IFERROR(__xludf.DUMMYFUNCTION("""COMPUTED_VALUE"""),"VD019")</f>
        <v>VD019</v>
      </c>
      <c r="I537" s="1">
        <f>IFERROR(__xludf.DUMMYFUNCTION("""COMPUTED_VALUE"""),16.0)</f>
        <v>16</v>
      </c>
      <c r="J537" s="1">
        <f>IFERROR(__xludf.DUMMYFUNCTION("""COMPUTED_VALUE"""),1539.09)</f>
        <v>1539.09</v>
      </c>
      <c r="K537" s="1">
        <f>IFERROR(__xludf.DUMMYFUNCTION("""COMPUTED_VALUE"""),1539.09)</f>
        <v>1539.09</v>
      </c>
    </row>
    <row r="538">
      <c r="A538" s="1">
        <f>IFERROR(__xludf.DUMMYFUNCTION("""COMPUTED_VALUE"""),2000.0)</f>
        <v>2000</v>
      </c>
      <c r="B538" s="1">
        <f>IFERROR(__xludf.DUMMYFUNCTION("""COMPUTED_VALUE"""),183843.0)</f>
        <v>183843</v>
      </c>
      <c r="C538" s="1">
        <f>IFERROR(__xludf.DUMMYFUNCTION("""COMPUTED_VALUE"""),2026.0)</f>
        <v>2026</v>
      </c>
      <c r="D538" s="1">
        <f>IFERROR(__xludf.DUMMYFUNCTION("""COMPUTED_VALUE"""),46282.0)</f>
        <v>46282</v>
      </c>
      <c r="E538" s="1" t="str">
        <f>IFERROR(__xludf.DUMMYFUNCTION("""COMPUTED_VALUE"""),"VF")</f>
        <v>VF</v>
      </c>
      <c r="F538" s="1">
        <f>IFERROR(__xludf.DUMMYFUNCTION("""COMPUTED_VALUE"""),2.0)</f>
        <v>2</v>
      </c>
      <c r="G538" s="1" t="str">
        <f>IFERROR(__xludf.DUMMYFUNCTION("""COMPUTED_VALUE"""),"PR004")</f>
        <v>PR004</v>
      </c>
      <c r="H538" s="1" t="str">
        <f>IFERROR(__xludf.DUMMYFUNCTION("""COMPUTED_VALUE"""),"VD037")</f>
        <v>VD037</v>
      </c>
      <c r="I538" s="1">
        <f>IFERROR(__xludf.DUMMYFUNCTION("""COMPUTED_VALUE"""),16.0)</f>
        <v>16</v>
      </c>
      <c r="J538" s="1">
        <f>IFERROR(__xludf.DUMMYFUNCTION("""COMPUTED_VALUE"""),2343.2)</f>
        <v>2343.2</v>
      </c>
      <c r="K538" s="1">
        <f>IFERROR(__xludf.DUMMYFUNCTION("""COMPUTED_VALUE"""),2343.2)</f>
        <v>2343.2</v>
      </c>
    </row>
    <row r="539">
      <c r="A539" s="1">
        <f>IFERROR(__xludf.DUMMYFUNCTION("""COMPUTED_VALUE"""),1000.0)</f>
        <v>1000</v>
      </c>
      <c r="B539" s="1">
        <f>IFERROR(__xludf.DUMMYFUNCTION("""COMPUTED_VALUE"""),183844.0)</f>
        <v>183844</v>
      </c>
      <c r="C539" s="1">
        <f>IFERROR(__xludf.DUMMYFUNCTION("""COMPUTED_VALUE"""),2026.0)</f>
        <v>2026</v>
      </c>
      <c r="D539" s="1">
        <f>IFERROR(__xludf.DUMMYFUNCTION("""COMPUTED_VALUE"""),46282.0)</f>
        <v>46282</v>
      </c>
      <c r="E539" s="1" t="str">
        <f>IFERROR(__xludf.DUMMYFUNCTION("""COMPUTED_VALUE"""),"VF")</f>
        <v>VF</v>
      </c>
      <c r="F539" s="1">
        <f>IFERROR(__xludf.DUMMYFUNCTION("""COMPUTED_VALUE"""),1.0)</f>
        <v>1</v>
      </c>
      <c r="G539" s="1" t="str">
        <f>IFERROR(__xludf.DUMMYFUNCTION("""COMPUTED_VALUE"""),"PR046")</f>
        <v>PR046</v>
      </c>
      <c r="H539" s="1" t="str">
        <f>IFERROR(__xludf.DUMMYFUNCTION("""COMPUTED_VALUE"""),"VD041")</f>
        <v>VD041</v>
      </c>
      <c r="I539" s="1">
        <f>IFERROR(__xludf.DUMMYFUNCTION("""COMPUTED_VALUE"""),2.0)</f>
        <v>2</v>
      </c>
      <c r="J539" s="1">
        <f>IFERROR(__xludf.DUMMYFUNCTION("""COMPUTED_VALUE"""),614.59)</f>
        <v>614.59</v>
      </c>
      <c r="K539" s="1">
        <f>IFERROR(__xludf.DUMMYFUNCTION("""COMPUTED_VALUE"""),614.59)</f>
        <v>614.59</v>
      </c>
    </row>
    <row r="540">
      <c r="A540" s="1">
        <f>IFERROR(__xludf.DUMMYFUNCTION("""COMPUTED_VALUE"""),1000.0)</f>
        <v>1000</v>
      </c>
      <c r="B540" s="1">
        <f>IFERROR(__xludf.DUMMYFUNCTION("""COMPUTED_VALUE"""),183845.0)</f>
        <v>183845</v>
      </c>
      <c r="C540" s="1">
        <f>IFERROR(__xludf.DUMMYFUNCTION("""COMPUTED_VALUE"""),2026.0)</f>
        <v>2026</v>
      </c>
      <c r="D540" s="1">
        <f>IFERROR(__xludf.DUMMYFUNCTION("""COMPUTED_VALUE"""),46282.0)</f>
        <v>46282</v>
      </c>
      <c r="E540" s="1" t="str">
        <f>IFERROR(__xludf.DUMMYFUNCTION("""COMPUTED_VALUE"""),"VF")</f>
        <v>VF</v>
      </c>
      <c r="F540" s="1">
        <f>IFERROR(__xludf.DUMMYFUNCTION("""COMPUTED_VALUE"""),1.0)</f>
        <v>1</v>
      </c>
      <c r="G540" s="1" t="str">
        <f>IFERROR(__xludf.DUMMYFUNCTION("""COMPUTED_VALUE"""),"PR030")</f>
        <v>PR030</v>
      </c>
      <c r="H540" s="1" t="str">
        <f>IFERROR(__xludf.DUMMYFUNCTION("""COMPUTED_VALUE"""),"VD015")</f>
        <v>VD015</v>
      </c>
      <c r="I540" s="1">
        <f>IFERROR(__xludf.DUMMYFUNCTION("""COMPUTED_VALUE"""),1.0)</f>
        <v>1</v>
      </c>
      <c r="J540" s="1">
        <f>IFERROR(__xludf.DUMMYFUNCTION("""COMPUTED_VALUE"""),265.1)</f>
        <v>265.1</v>
      </c>
      <c r="K540" s="1">
        <f>IFERROR(__xludf.DUMMYFUNCTION("""COMPUTED_VALUE"""),265.1)</f>
        <v>265.1</v>
      </c>
    </row>
    <row r="541">
      <c r="A541" s="1">
        <f>IFERROR(__xludf.DUMMYFUNCTION("""COMPUTED_VALUE"""),1000.0)</f>
        <v>1000</v>
      </c>
      <c r="B541" s="1">
        <f>IFERROR(__xludf.DUMMYFUNCTION("""COMPUTED_VALUE"""),183846.0)</f>
        <v>183846</v>
      </c>
      <c r="C541" s="1">
        <f>IFERROR(__xludf.DUMMYFUNCTION("""COMPUTED_VALUE"""),2026.0)</f>
        <v>2026</v>
      </c>
      <c r="D541" s="1">
        <f>IFERROR(__xludf.DUMMYFUNCTION("""COMPUTED_VALUE"""),46282.0)</f>
        <v>46282</v>
      </c>
      <c r="E541" s="1" t="str">
        <f>IFERROR(__xludf.DUMMYFUNCTION("""COMPUTED_VALUE"""),"VF")</f>
        <v>VF</v>
      </c>
      <c r="F541" s="1">
        <f>IFERROR(__xludf.DUMMYFUNCTION("""COMPUTED_VALUE"""),1.0)</f>
        <v>1</v>
      </c>
      <c r="G541" s="1" t="str">
        <f>IFERROR(__xludf.DUMMYFUNCTION("""COMPUTED_VALUE"""),"PR010")</f>
        <v>PR010</v>
      </c>
      <c r="H541" s="1" t="str">
        <f>IFERROR(__xludf.DUMMYFUNCTION("""COMPUTED_VALUE"""),"VD029")</f>
        <v>VD029</v>
      </c>
      <c r="I541" s="1">
        <f>IFERROR(__xludf.DUMMYFUNCTION("""COMPUTED_VALUE"""),5.0)</f>
        <v>5</v>
      </c>
      <c r="J541" s="1">
        <f>IFERROR(__xludf.DUMMYFUNCTION("""COMPUTED_VALUE"""),240.22)</f>
        <v>240.22</v>
      </c>
      <c r="K541" s="1">
        <f>IFERROR(__xludf.DUMMYFUNCTION("""COMPUTED_VALUE"""),240.22)</f>
        <v>240.22</v>
      </c>
    </row>
    <row r="542">
      <c r="A542" s="1">
        <f>IFERROR(__xludf.DUMMYFUNCTION("""COMPUTED_VALUE"""),1000.0)</f>
        <v>1000</v>
      </c>
      <c r="B542" s="1">
        <f>IFERROR(__xludf.DUMMYFUNCTION("""COMPUTED_VALUE"""),183846.0)</f>
        <v>183846</v>
      </c>
      <c r="C542" s="1">
        <f>IFERROR(__xludf.DUMMYFUNCTION("""COMPUTED_VALUE"""),2026.0)</f>
        <v>2026</v>
      </c>
      <c r="D542" s="1">
        <f>IFERROR(__xludf.DUMMYFUNCTION("""COMPUTED_VALUE"""),46282.0)</f>
        <v>46282</v>
      </c>
      <c r="E542" s="1" t="str">
        <f>IFERROR(__xludf.DUMMYFUNCTION("""COMPUTED_VALUE"""),"VF")</f>
        <v>VF</v>
      </c>
      <c r="F542" s="1">
        <f>IFERROR(__xludf.DUMMYFUNCTION("""COMPUTED_VALUE"""),2.0)</f>
        <v>2</v>
      </c>
      <c r="G542" s="1" t="str">
        <f>IFERROR(__xludf.DUMMYFUNCTION("""COMPUTED_VALUE"""),"PR028")</f>
        <v>PR028</v>
      </c>
      <c r="H542" s="1" t="str">
        <f>IFERROR(__xludf.DUMMYFUNCTION("""COMPUTED_VALUE"""),"VD034")</f>
        <v>VD034</v>
      </c>
      <c r="I542" s="1">
        <f>IFERROR(__xludf.DUMMYFUNCTION("""COMPUTED_VALUE"""),8.0)</f>
        <v>8</v>
      </c>
      <c r="J542" s="1">
        <f>IFERROR(__xludf.DUMMYFUNCTION("""COMPUTED_VALUE"""),2179.13)</f>
        <v>2179.13</v>
      </c>
      <c r="K542" s="1">
        <f>IFERROR(__xludf.DUMMYFUNCTION("""COMPUTED_VALUE"""),2179.13)</f>
        <v>2179.13</v>
      </c>
    </row>
    <row r="543">
      <c r="A543" s="1">
        <f>IFERROR(__xludf.DUMMYFUNCTION("""COMPUTED_VALUE"""),1000.0)</f>
        <v>1000</v>
      </c>
      <c r="B543" s="1">
        <f>IFERROR(__xludf.DUMMYFUNCTION("""COMPUTED_VALUE"""),183846.0)</f>
        <v>183846</v>
      </c>
      <c r="C543" s="1">
        <f>IFERROR(__xludf.DUMMYFUNCTION("""COMPUTED_VALUE"""),2026.0)</f>
        <v>2026</v>
      </c>
      <c r="D543" s="1">
        <f>IFERROR(__xludf.DUMMYFUNCTION("""COMPUTED_VALUE"""),46282.0)</f>
        <v>46282</v>
      </c>
      <c r="E543" s="1" t="str">
        <f>IFERROR(__xludf.DUMMYFUNCTION("""COMPUTED_VALUE"""),"VF")</f>
        <v>VF</v>
      </c>
      <c r="F543" s="1">
        <f>IFERROR(__xludf.DUMMYFUNCTION("""COMPUTED_VALUE"""),3.0)</f>
        <v>3</v>
      </c>
      <c r="G543" s="1" t="str">
        <f>IFERROR(__xludf.DUMMYFUNCTION("""COMPUTED_VALUE"""),"PR059")</f>
        <v>PR059</v>
      </c>
      <c r="H543" s="1" t="str">
        <f>IFERROR(__xludf.DUMMYFUNCTION("""COMPUTED_VALUE"""),"VD042")</f>
        <v>VD042</v>
      </c>
      <c r="I543" s="1">
        <f>IFERROR(__xludf.DUMMYFUNCTION("""COMPUTED_VALUE"""),14.0)</f>
        <v>14</v>
      </c>
      <c r="J543" s="1">
        <f>IFERROR(__xludf.DUMMYFUNCTION("""COMPUTED_VALUE"""),2671.2)</f>
        <v>2671.2</v>
      </c>
      <c r="K543" s="1">
        <f>IFERROR(__xludf.DUMMYFUNCTION("""COMPUTED_VALUE"""),2671.2)</f>
        <v>2671.2</v>
      </c>
    </row>
    <row r="544">
      <c r="A544" s="1">
        <f>IFERROR(__xludf.DUMMYFUNCTION("""COMPUTED_VALUE"""),2000.0)</f>
        <v>2000</v>
      </c>
      <c r="B544" s="1">
        <f>IFERROR(__xludf.DUMMYFUNCTION("""COMPUTED_VALUE"""),183847.0)</f>
        <v>183847</v>
      </c>
      <c r="C544" s="1">
        <f>IFERROR(__xludf.DUMMYFUNCTION("""COMPUTED_VALUE"""),2026.0)</f>
        <v>2026</v>
      </c>
      <c r="D544" s="1">
        <f>IFERROR(__xludf.DUMMYFUNCTION("""COMPUTED_VALUE"""),46282.0)</f>
        <v>46282</v>
      </c>
      <c r="E544" s="1" t="str">
        <f>IFERROR(__xludf.DUMMYFUNCTION("""COMPUTED_VALUE"""),"VF")</f>
        <v>VF</v>
      </c>
      <c r="F544" s="1">
        <f>IFERROR(__xludf.DUMMYFUNCTION("""COMPUTED_VALUE"""),1.0)</f>
        <v>1</v>
      </c>
      <c r="G544" s="1" t="str">
        <f>IFERROR(__xludf.DUMMYFUNCTION("""COMPUTED_VALUE"""),"PR033")</f>
        <v>PR033</v>
      </c>
      <c r="H544" s="1" t="str">
        <f>IFERROR(__xludf.DUMMYFUNCTION("""COMPUTED_VALUE"""),"VD019")</f>
        <v>VD019</v>
      </c>
      <c r="I544" s="1">
        <f>IFERROR(__xludf.DUMMYFUNCTION("""COMPUTED_VALUE"""),8.0)</f>
        <v>8</v>
      </c>
      <c r="J544" s="1">
        <f>IFERROR(__xludf.DUMMYFUNCTION("""COMPUTED_VALUE"""),2224.74)</f>
        <v>2224.74</v>
      </c>
      <c r="K544" s="1">
        <f>IFERROR(__xludf.DUMMYFUNCTION("""COMPUTED_VALUE"""),2224.74)</f>
        <v>2224.74</v>
      </c>
    </row>
    <row r="545">
      <c r="A545" s="1">
        <f>IFERROR(__xludf.DUMMYFUNCTION("""COMPUTED_VALUE"""),1000.0)</f>
        <v>1000</v>
      </c>
      <c r="B545" s="1">
        <f>IFERROR(__xludf.DUMMYFUNCTION("""COMPUTED_VALUE"""),183847.0)</f>
        <v>183847</v>
      </c>
      <c r="C545" s="1">
        <f>IFERROR(__xludf.DUMMYFUNCTION("""COMPUTED_VALUE"""),2026.0)</f>
        <v>2026</v>
      </c>
      <c r="D545" s="1">
        <f>IFERROR(__xludf.DUMMYFUNCTION("""COMPUTED_VALUE"""),46281.0)</f>
        <v>46281</v>
      </c>
      <c r="E545" s="1" t="str">
        <f>IFERROR(__xludf.DUMMYFUNCTION("""COMPUTED_VALUE"""),"VF")</f>
        <v>VF</v>
      </c>
      <c r="F545" s="1">
        <f>IFERROR(__xludf.DUMMYFUNCTION("""COMPUTED_VALUE"""),2.0)</f>
        <v>2</v>
      </c>
      <c r="G545" s="1" t="str">
        <f>IFERROR(__xludf.DUMMYFUNCTION("""COMPUTED_VALUE"""),"PR054")</f>
        <v>PR054</v>
      </c>
      <c r="H545" s="1" t="str">
        <f>IFERROR(__xludf.DUMMYFUNCTION("""COMPUTED_VALUE"""),"VD018")</f>
        <v>VD018</v>
      </c>
      <c r="I545" s="1">
        <f>IFERROR(__xludf.DUMMYFUNCTION("""COMPUTED_VALUE"""),16.0)</f>
        <v>16</v>
      </c>
      <c r="J545" s="1">
        <f>IFERROR(__xludf.DUMMYFUNCTION("""COMPUTED_VALUE"""),870.26)</f>
        <v>870.26</v>
      </c>
      <c r="K545" s="1">
        <f>IFERROR(__xludf.DUMMYFUNCTION("""COMPUTED_VALUE"""),870.26)</f>
        <v>870.26</v>
      </c>
    </row>
    <row r="546">
      <c r="A546" s="1">
        <f>IFERROR(__xludf.DUMMYFUNCTION("""COMPUTED_VALUE"""),1000.0)</f>
        <v>1000</v>
      </c>
      <c r="B546" s="1">
        <f>IFERROR(__xludf.DUMMYFUNCTION("""COMPUTED_VALUE"""),183848.0)</f>
        <v>183848</v>
      </c>
      <c r="C546" s="1">
        <f>IFERROR(__xludf.DUMMYFUNCTION("""COMPUTED_VALUE"""),2026.0)</f>
        <v>2026</v>
      </c>
      <c r="D546" s="1">
        <f>IFERROR(__xludf.DUMMYFUNCTION("""COMPUTED_VALUE"""),46281.0)</f>
        <v>46281</v>
      </c>
      <c r="E546" s="1" t="str">
        <f>IFERROR(__xludf.DUMMYFUNCTION("""COMPUTED_VALUE"""),"VF")</f>
        <v>VF</v>
      </c>
      <c r="F546" s="1">
        <f>IFERROR(__xludf.DUMMYFUNCTION("""COMPUTED_VALUE"""),1.0)</f>
        <v>1</v>
      </c>
      <c r="G546" s="1" t="str">
        <f>IFERROR(__xludf.DUMMYFUNCTION("""COMPUTED_VALUE"""),"PR023")</f>
        <v>PR023</v>
      </c>
      <c r="H546" s="1" t="str">
        <f>IFERROR(__xludf.DUMMYFUNCTION("""COMPUTED_VALUE"""),"VD017")</f>
        <v>VD017</v>
      </c>
      <c r="I546" s="1">
        <f>IFERROR(__xludf.DUMMYFUNCTION("""COMPUTED_VALUE"""),4.0)</f>
        <v>4</v>
      </c>
      <c r="J546" s="1">
        <f>IFERROR(__xludf.DUMMYFUNCTION("""COMPUTED_VALUE"""),1089.56)</f>
        <v>1089.56</v>
      </c>
      <c r="K546" s="1">
        <f>IFERROR(__xludf.DUMMYFUNCTION("""COMPUTED_VALUE"""),1089.56)</f>
        <v>1089.56</v>
      </c>
    </row>
    <row r="547">
      <c r="A547" s="1">
        <f>IFERROR(__xludf.DUMMYFUNCTION("""COMPUTED_VALUE"""),1000.0)</f>
        <v>1000</v>
      </c>
      <c r="B547" s="1">
        <f>IFERROR(__xludf.DUMMYFUNCTION("""COMPUTED_VALUE"""),183849.0)</f>
        <v>183849</v>
      </c>
      <c r="C547" s="1">
        <f>IFERROR(__xludf.DUMMYFUNCTION("""COMPUTED_VALUE"""),2026.0)</f>
        <v>2026</v>
      </c>
      <c r="D547" s="1">
        <f>IFERROR(__xludf.DUMMYFUNCTION("""COMPUTED_VALUE"""),46281.0)</f>
        <v>46281</v>
      </c>
      <c r="E547" s="1" t="str">
        <f>IFERROR(__xludf.DUMMYFUNCTION("""COMPUTED_VALUE"""),"VF")</f>
        <v>VF</v>
      </c>
      <c r="F547" s="1">
        <f>IFERROR(__xludf.DUMMYFUNCTION("""COMPUTED_VALUE"""),1.0)</f>
        <v>1</v>
      </c>
      <c r="G547" s="1" t="str">
        <f>IFERROR(__xludf.DUMMYFUNCTION("""COMPUTED_VALUE"""),"PR031")</f>
        <v>PR031</v>
      </c>
      <c r="H547" s="1" t="str">
        <f>IFERROR(__xludf.DUMMYFUNCTION("""COMPUTED_VALUE"""),"VD040")</f>
        <v>VD040</v>
      </c>
      <c r="I547" s="1">
        <f>IFERROR(__xludf.DUMMYFUNCTION("""COMPUTED_VALUE"""),3.0)</f>
        <v>3</v>
      </c>
      <c r="J547" s="1">
        <f>IFERROR(__xludf.DUMMYFUNCTION("""COMPUTED_VALUE"""),757.05)</f>
        <v>757.05</v>
      </c>
      <c r="K547" s="1">
        <f>IFERROR(__xludf.DUMMYFUNCTION("""COMPUTED_VALUE"""),757.05)</f>
        <v>757.05</v>
      </c>
    </row>
    <row r="548">
      <c r="A548" s="1">
        <f>IFERROR(__xludf.DUMMYFUNCTION("""COMPUTED_VALUE"""),1000.0)</f>
        <v>1000</v>
      </c>
      <c r="B548" s="1">
        <f>IFERROR(__xludf.DUMMYFUNCTION("""COMPUTED_VALUE"""),183850.0)</f>
        <v>183850</v>
      </c>
      <c r="C548" s="1">
        <f>IFERROR(__xludf.DUMMYFUNCTION("""COMPUTED_VALUE"""),2026.0)</f>
        <v>2026</v>
      </c>
      <c r="D548" s="1">
        <f>IFERROR(__xludf.DUMMYFUNCTION("""COMPUTED_VALUE"""),46281.0)</f>
        <v>46281</v>
      </c>
      <c r="E548" s="1" t="str">
        <f>IFERROR(__xludf.DUMMYFUNCTION("""COMPUTED_VALUE"""),"VF")</f>
        <v>VF</v>
      </c>
      <c r="F548" s="1">
        <f>IFERROR(__xludf.DUMMYFUNCTION("""COMPUTED_VALUE"""),1.0)</f>
        <v>1</v>
      </c>
      <c r="G548" s="1" t="str">
        <f>IFERROR(__xludf.DUMMYFUNCTION("""COMPUTED_VALUE"""),"PR004")</f>
        <v>PR004</v>
      </c>
      <c r="H548" s="1" t="str">
        <f>IFERROR(__xludf.DUMMYFUNCTION("""COMPUTED_VALUE"""),"VD039")</f>
        <v>VD039</v>
      </c>
      <c r="I548" s="1">
        <f>IFERROR(__xludf.DUMMYFUNCTION("""COMPUTED_VALUE"""),16.0)</f>
        <v>16</v>
      </c>
      <c r="J548" s="1">
        <f>IFERROR(__xludf.DUMMYFUNCTION("""COMPUTED_VALUE"""),2528.8)</f>
        <v>2528.8</v>
      </c>
      <c r="K548" s="1">
        <f>IFERROR(__xludf.DUMMYFUNCTION("""COMPUTED_VALUE"""),2528.8)</f>
        <v>2528.8</v>
      </c>
    </row>
    <row r="549">
      <c r="A549" s="1">
        <f>IFERROR(__xludf.DUMMYFUNCTION("""COMPUTED_VALUE"""),1000.0)</f>
        <v>1000</v>
      </c>
      <c r="B549" s="1">
        <f>IFERROR(__xludf.DUMMYFUNCTION("""COMPUTED_VALUE"""),183850.0)</f>
        <v>183850</v>
      </c>
      <c r="C549" s="1">
        <f>IFERROR(__xludf.DUMMYFUNCTION("""COMPUTED_VALUE"""),2026.0)</f>
        <v>2026</v>
      </c>
      <c r="D549" s="1">
        <f>IFERROR(__xludf.DUMMYFUNCTION("""COMPUTED_VALUE"""),46280.0)</f>
        <v>46280</v>
      </c>
      <c r="E549" s="1" t="str">
        <f>IFERROR(__xludf.DUMMYFUNCTION("""COMPUTED_VALUE"""),"VF")</f>
        <v>VF</v>
      </c>
      <c r="F549" s="1">
        <f>IFERROR(__xludf.DUMMYFUNCTION("""COMPUTED_VALUE"""),2.0)</f>
        <v>2</v>
      </c>
      <c r="G549" s="1" t="str">
        <f>IFERROR(__xludf.DUMMYFUNCTION("""COMPUTED_VALUE"""),"PR029")</f>
        <v>PR029</v>
      </c>
      <c r="H549" s="1" t="str">
        <f>IFERROR(__xludf.DUMMYFUNCTION("""COMPUTED_VALUE"""),"VD048")</f>
        <v>VD048</v>
      </c>
      <c r="I549" s="1">
        <f>IFERROR(__xludf.DUMMYFUNCTION("""COMPUTED_VALUE"""),7.0)</f>
        <v>7</v>
      </c>
      <c r="J549" s="1">
        <f>IFERROR(__xludf.DUMMYFUNCTION("""COMPUTED_VALUE"""),1874.25)</f>
        <v>1874.25</v>
      </c>
      <c r="K549" s="1">
        <f>IFERROR(__xludf.DUMMYFUNCTION("""COMPUTED_VALUE"""),1874.25)</f>
        <v>1874.25</v>
      </c>
    </row>
    <row r="550">
      <c r="A550" s="1">
        <f>IFERROR(__xludf.DUMMYFUNCTION("""COMPUTED_VALUE"""),1000.0)</f>
        <v>1000</v>
      </c>
      <c r="B550" s="1">
        <f>IFERROR(__xludf.DUMMYFUNCTION("""COMPUTED_VALUE"""),183851.0)</f>
        <v>183851</v>
      </c>
      <c r="C550" s="1">
        <f>IFERROR(__xludf.DUMMYFUNCTION("""COMPUTED_VALUE"""),2026.0)</f>
        <v>2026</v>
      </c>
      <c r="D550" s="1">
        <f>IFERROR(__xludf.DUMMYFUNCTION("""COMPUTED_VALUE"""),46280.0)</f>
        <v>46280</v>
      </c>
      <c r="E550" s="1" t="str">
        <f>IFERROR(__xludf.DUMMYFUNCTION("""COMPUTED_VALUE"""),"VF")</f>
        <v>VF</v>
      </c>
      <c r="F550" s="1">
        <f>IFERROR(__xludf.DUMMYFUNCTION("""COMPUTED_VALUE"""),1.0)</f>
        <v>1</v>
      </c>
      <c r="G550" s="1" t="str">
        <f>IFERROR(__xludf.DUMMYFUNCTION("""COMPUTED_VALUE"""),"PR031")</f>
        <v>PR031</v>
      </c>
      <c r="H550" s="1" t="str">
        <f>IFERROR(__xludf.DUMMYFUNCTION("""COMPUTED_VALUE"""),"VD024")</f>
        <v>VD024</v>
      </c>
      <c r="I550" s="1">
        <f>IFERROR(__xludf.DUMMYFUNCTION("""COMPUTED_VALUE"""),5.0)</f>
        <v>5</v>
      </c>
      <c r="J550" s="1">
        <f>IFERROR(__xludf.DUMMYFUNCTION("""COMPUTED_VALUE"""),1286.25)</f>
        <v>1286.25</v>
      </c>
      <c r="K550" s="1">
        <f>IFERROR(__xludf.DUMMYFUNCTION("""COMPUTED_VALUE"""),1286.25)</f>
        <v>1286.25</v>
      </c>
    </row>
    <row r="551">
      <c r="A551" s="1">
        <f>IFERROR(__xludf.DUMMYFUNCTION("""COMPUTED_VALUE"""),1000.0)</f>
        <v>1000</v>
      </c>
      <c r="B551" s="1">
        <f>IFERROR(__xludf.DUMMYFUNCTION("""COMPUTED_VALUE"""),183852.0)</f>
        <v>183852</v>
      </c>
      <c r="C551" s="1">
        <f>IFERROR(__xludf.DUMMYFUNCTION("""COMPUTED_VALUE"""),2026.0)</f>
        <v>2026</v>
      </c>
      <c r="D551" s="1">
        <f>IFERROR(__xludf.DUMMYFUNCTION("""COMPUTED_VALUE"""),46280.0)</f>
        <v>46280</v>
      </c>
      <c r="E551" s="1" t="str">
        <f>IFERROR(__xludf.DUMMYFUNCTION("""COMPUTED_VALUE"""),"VF")</f>
        <v>VF</v>
      </c>
      <c r="F551" s="1">
        <f>IFERROR(__xludf.DUMMYFUNCTION("""COMPUTED_VALUE"""),1.0)</f>
        <v>1</v>
      </c>
      <c r="G551" s="1" t="str">
        <f>IFERROR(__xludf.DUMMYFUNCTION("""COMPUTED_VALUE"""),"PR020")</f>
        <v>PR020</v>
      </c>
      <c r="H551" s="1" t="str">
        <f>IFERROR(__xludf.DUMMYFUNCTION("""COMPUTED_VALUE"""),"VD014")</f>
        <v>VD014</v>
      </c>
      <c r="I551" s="1">
        <f>IFERROR(__xludf.DUMMYFUNCTION("""COMPUTED_VALUE"""),12.0)</f>
        <v>12</v>
      </c>
      <c r="J551" s="1">
        <f>IFERROR(__xludf.DUMMYFUNCTION("""COMPUTED_VALUE"""),3850.72)</f>
        <v>3850.72</v>
      </c>
      <c r="K551" s="1">
        <f>IFERROR(__xludf.DUMMYFUNCTION("""COMPUTED_VALUE"""),3850.72)</f>
        <v>3850.72</v>
      </c>
    </row>
    <row r="552">
      <c r="A552" s="1">
        <f>IFERROR(__xludf.DUMMYFUNCTION("""COMPUTED_VALUE"""),1000.0)</f>
        <v>1000</v>
      </c>
      <c r="B552" s="1">
        <f>IFERROR(__xludf.DUMMYFUNCTION("""COMPUTED_VALUE"""),183852.0)</f>
        <v>183852</v>
      </c>
      <c r="C552" s="1">
        <f>IFERROR(__xludf.DUMMYFUNCTION("""COMPUTED_VALUE"""),2026.0)</f>
        <v>2026</v>
      </c>
      <c r="D552" s="1">
        <f>IFERROR(__xludf.DUMMYFUNCTION("""COMPUTED_VALUE"""),46280.0)</f>
        <v>46280</v>
      </c>
      <c r="E552" s="1" t="str">
        <f>IFERROR(__xludf.DUMMYFUNCTION("""COMPUTED_VALUE"""),"VF")</f>
        <v>VF</v>
      </c>
      <c r="F552" s="1">
        <f>IFERROR(__xludf.DUMMYFUNCTION("""COMPUTED_VALUE"""),2.0)</f>
        <v>2</v>
      </c>
      <c r="G552" s="1" t="str">
        <f>IFERROR(__xludf.DUMMYFUNCTION("""COMPUTED_VALUE"""),"PR006")</f>
        <v>PR006</v>
      </c>
      <c r="H552" s="1" t="str">
        <f>IFERROR(__xludf.DUMMYFUNCTION("""COMPUTED_VALUE"""),"VD011")</f>
        <v>VD011</v>
      </c>
      <c r="I552" s="1">
        <f>IFERROR(__xludf.DUMMYFUNCTION("""COMPUTED_VALUE"""),7.0)</f>
        <v>7</v>
      </c>
      <c r="J552" s="1">
        <f>IFERROR(__xludf.DUMMYFUNCTION("""COMPUTED_VALUE"""),293.27)</f>
        <v>293.27</v>
      </c>
      <c r="K552" s="1">
        <f>IFERROR(__xludf.DUMMYFUNCTION("""COMPUTED_VALUE"""),293.27)</f>
        <v>293.27</v>
      </c>
    </row>
    <row r="553">
      <c r="A553" s="1">
        <f>IFERROR(__xludf.DUMMYFUNCTION("""COMPUTED_VALUE"""),1000.0)</f>
        <v>1000</v>
      </c>
      <c r="B553" s="1">
        <f>IFERROR(__xludf.DUMMYFUNCTION("""COMPUTED_VALUE"""),183852.0)</f>
        <v>183852</v>
      </c>
      <c r="C553" s="1">
        <f>IFERROR(__xludf.DUMMYFUNCTION("""COMPUTED_VALUE"""),2026.0)</f>
        <v>2026</v>
      </c>
      <c r="D553" s="1">
        <f>IFERROR(__xludf.DUMMYFUNCTION("""COMPUTED_VALUE"""),46280.0)</f>
        <v>46280</v>
      </c>
      <c r="E553" s="1" t="str">
        <f>IFERROR(__xludf.DUMMYFUNCTION("""COMPUTED_VALUE"""),"VF")</f>
        <v>VF</v>
      </c>
      <c r="F553" s="1">
        <f>IFERROR(__xludf.DUMMYFUNCTION("""COMPUTED_VALUE"""),3.0)</f>
        <v>3</v>
      </c>
      <c r="G553" s="1" t="str">
        <f>IFERROR(__xludf.DUMMYFUNCTION("""COMPUTED_VALUE"""),"PR060")</f>
        <v>PR060</v>
      </c>
      <c r="H553" s="1" t="str">
        <f>IFERROR(__xludf.DUMMYFUNCTION("""COMPUTED_VALUE"""),"VD021")</f>
        <v>VD021</v>
      </c>
      <c r="I553" s="1">
        <f>IFERROR(__xludf.DUMMYFUNCTION("""COMPUTED_VALUE"""),12.0)</f>
        <v>12</v>
      </c>
      <c r="J553" s="1">
        <f>IFERROR(__xludf.DUMMYFUNCTION("""COMPUTED_VALUE"""),2160.0)</f>
        <v>2160</v>
      </c>
      <c r="K553" s="1">
        <f>IFERROR(__xludf.DUMMYFUNCTION("""COMPUTED_VALUE"""),2160.0)</f>
        <v>2160</v>
      </c>
    </row>
    <row r="554">
      <c r="A554" s="1">
        <f>IFERROR(__xludf.DUMMYFUNCTION("""COMPUTED_VALUE"""),1000.0)</f>
        <v>1000</v>
      </c>
      <c r="B554" s="1">
        <f>IFERROR(__xludf.DUMMYFUNCTION("""COMPUTED_VALUE"""),183853.0)</f>
        <v>183853</v>
      </c>
      <c r="C554" s="1">
        <f>IFERROR(__xludf.DUMMYFUNCTION("""COMPUTED_VALUE"""),2026.0)</f>
        <v>2026</v>
      </c>
      <c r="D554" s="1">
        <f>IFERROR(__xludf.DUMMYFUNCTION("""COMPUTED_VALUE"""),46279.0)</f>
        <v>46279</v>
      </c>
      <c r="E554" s="1" t="str">
        <f>IFERROR(__xludf.DUMMYFUNCTION("""COMPUTED_VALUE"""),"VF")</f>
        <v>VF</v>
      </c>
      <c r="F554" s="1">
        <f>IFERROR(__xludf.DUMMYFUNCTION("""COMPUTED_VALUE"""),1.0)</f>
        <v>1</v>
      </c>
      <c r="G554" s="1" t="str">
        <f>IFERROR(__xludf.DUMMYFUNCTION("""COMPUTED_VALUE"""),"PR052")</f>
        <v>PR052</v>
      </c>
      <c r="H554" s="1" t="str">
        <f>IFERROR(__xludf.DUMMYFUNCTION("""COMPUTED_VALUE"""),"VD039")</f>
        <v>VD039</v>
      </c>
      <c r="I554" s="1">
        <f>IFERROR(__xludf.DUMMYFUNCTION("""COMPUTED_VALUE"""),6.0)</f>
        <v>6</v>
      </c>
      <c r="J554" s="1">
        <f>IFERROR(__xludf.DUMMYFUNCTION("""COMPUTED_VALUE"""),311.38)</f>
        <v>311.38</v>
      </c>
      <c r="K554" s="1">
        <f>IFERROR(__xludf.DUMMYFUNCTION("""COMPUTED_VALUE"""),311.38)</f>
        <v>311.38</v>
      </c>
    </row>
    <row r="555">
      <c r="A555" s="1">
        <f>IFERROR(__xludf.DUMMYFUNCTION("""COMPUTED_VALUE"""),1000.0)</f>
        <v>1000</v>
      </c>
      <c r="B555" s="1">
        <f>IFERROR(__xludf.DUMMYFUNCTION("""COMPUTED_VALUE"""),183853.0)</f>
        <v>183853</v>
      </c>
      <c r="C555" s="1">
        <f>IFERROR(__xludf.DUMMYFUNCTION("""COMPUTED_VALUE"""),2026.0)</f>
        <v>2026</v>
      </c>
      <c r="D555" s="1">
        <f>IFERROR(__xludf.DUMMYFUNCTION("""COMPUTED_VALUE"""),46279.0)</f>
        <v>46279</v>
      </c>
      <c r="E555" s="1" t="str">
        <f>IFERROR(__xludf.DUMMYFUNCTION("""COMPUTED_VALUE"""),"VF")</f>
        <v>VF</v>
      </c>
      <c r="F555" s="1">
        <f>IFERROR(__xludf.DUMMYFUNCTION("""COMPUTED_VALUE"""),2.0)</f>
        <v>2</v>
      </c>
      <c r="G555" s="1" t="str">
        <f>IFERROR(__xludf.DUMMYFUNCTION("""COMPUTED_VALUE"""),"PR008")</f>
        <v>PR008</v>
      </c>
      <c r="H555" s="1" t="str">
        <f>IFERROR(__xludf.DUMMYFUNCTION("""COMPUTED_VALUE"""),"VD027")</f>
        <v>VD027</v>
      </c>
      <c r="I555" s="1">
        <f>IFERROR(__xludf.DUMMYFUNCTION("""COMPUTED_VALUE"""),3.0)</f>
        <v>3</v>
      </c>
      <c r="J555" s="1">
        <f>IFERROR(__xludf.DUMMYFUNCTION("""COMPUTED_VALUE"""),277.79)</f>
        <v>277.79</v>
      </c>
      <c r="K555" s="1">
        <f>IFERROR(__xludf.DUMMYFUNCTION("""COMPUTED_VALUE"""),277.79)</f>
        <v>277.79</v>
      </c>
    </row>
    <row r="556">
      <c r="A556" s="1">
        <f>IFERROR(__xludf.DUMMYFUNCTION("""COMPUTED_VALUE"""),2000.0)</f>
        <v>2000</v>
      </c>
      <c r="B556" s="1">
        <f>IFERROR(__xludf.DUMMYFUNCTION("""COMPUTED_VALUE"""),183854.0)</f>
        <v>183854</v>
      </c>
      <c r="C556" s="1">
        <f>IFERROR(__xludf.DUMMYFUNCTION("""COMPUTED_VALUE"""),2026.0)</f>
        <v>2026</v>
      </c>
      <c r="D556" s="1">
        <f>IFERROR(__xludf.DUMMYFUNCTION("""COMPUTED_VALUE"""),46278.0)</f>
        <v>46278</v>
      </c>
      <c r="E556" s="1" t="str">
        <f>IFERROR(__xludf.DUMMYFUNCTION("""COMPUTED_VALUE"""),"VF")</f>
        <v>VF</v>
      </c>
      <c r="F556" s="1">
        <f>IFERROR(__xludf.DUMMYFUNCTION("""COMPUTED_VALUE"""),1.0)</f>
        <v>1</v>
      </c>
      <c r="G556" s="1" t="str">
        <f>IFERROR(__xludf.DUMMYFUNCTION("""COMPUTED_VALUE"""),"PR004")</f>
        <v>PR004</v>
      </c>
      <c r="H556" s="1" t="str">
        <f>IFERROR(__xludf.DUMMYFUNCTION("""COMPUTED_VALUE"""),"VD032")</f>
        <v>VD032</v>
      </c>
      <c r="I556" s="1">
        <f>IFERROR(__xludf.DUMMYFUNCTION("""COMPUTED_VALUE"""),1.0)</f>
        <v>1</v>
      </c>
      <c r="J556" s="1">
        <f>IFERROR(__xludf.DUMMYFUNCTION("""COMPUTED_VALUE"""),147.9)</f>
        <v>147.9</v>
      </c>
      <c r="K556" s="1">
        <f>IFERROR(__xludf.DUMMYFUNCTION("""COMPUTED_VALUE"""),147.9)</f>
        <v>147.9</v>
      </c>
    </row>
    <row r="557">
      <c r="A557" s="1">
        <f>IFERROR(__xludf.DUMMYFUNCTION("""COMPUTED_VALUE"""),1000.0)</f>
        <v>1000</v>
      </c>
      <c r="B557" s="1">
        <f>IFERROR(__xludf.DUMMYFUNCTION("""COMPUTED_VALUE"""),183855.0)</f>
        <v>183855</v>
      </c>
      <c r="C557" s="1">
        <f>IFERROR(__xludf.DUMMYFUNCTION("""COMPUTED_VALUE"""),2026.0)</f>
        <v>2026</v>
      </c>
      <c r="D557" s="1">
        <f>IFERROR(__xludf.DUMMYFUNCTION("""COMPUTED_VALUE"""),46278.0)</f>
        <v>46278</v>
      </c>
      <c r="E557" s="1" t="str">
        <f>IFERROR(__xludf.DUMMYFUNCTION("""COMPUTED_VALUE"""),"VF")</f>
        <v>VF</v>
      </c>
      <c r="F557" s="1">
        <f>IFERROR(__xludf.DUMMYFUNCTION("""COMPUTED_VALUE"""),1.0)</f>
        <v>1</v>
      </c>
      <c r="G557" s="1" t="str">
        <f>IFERROR(__xludf.DUMMYFUNCTION("""COMPUTED_VALUE"""),"PR057")</f>
        <v>PR057</v>
      </c>
      <c r="H557" s="1" t="str">
        <f>IFERROR(__xludf.DUMMYFUNCTION("""COMPUTED_VALUE"""),"VD049")</f>
        <v>VD049</v>
      </c>
      <c r="I557" s="1">
        <f>IFERROR(__xludf.DUMMYFUNCTION("""COMPUTED_VALUE"""),4.0)</f>
        <v>4</v>
      </c>
      <c r="J557" s="1">
        <f>IFERROR(__xludf.DUMMYFUNCTION("""COMPUTED_VALUE"""),370.39)</f>
        <v>370.39</v>
      </c>
      <c r="K557" s="1">
        <f>IFERROR(__xludf.DUMMYFUNCTION("""COMPUTED_VALUE"""),370.39)</f>
        <v>370.39</v>
      </c>
    </row>
    <row r="558">
      <c r="A558" s="1">
        <f>IFERROR(__xludf.DUMMYFUNCTION("""COMPUTED_VALUE"""),1000.0)</f>
        <v>1000</v>
      </c>
      <c r="B558" s="1">
        <f>IFERROR(__xludf.DUMMYFUNCTION("""COMPUTED_VALUE"""),183856.0)</f>
        <v>183856</v>
      </c>
      <c r="C558" s="1">
        <f>IFERROR(__xludf.DUMMYFUNCTION("""COMPUTED_VALUE"""),2026.0)</f>
        <v>2026</v>
      </c>
      <c r="D558" s="1">
        <f>IFERROR(__xludf.DUMMYFUNCTION("""COMPUTED_VALUE"""),46278.0)</f>
        <v>46278</v>
      </c>
      <c r="E558" s="1" t="str">
        <f>IFERROR(__xludf.DUMMYFUNCTION("""COMPUTED_VALUE"""),"VF")</f>
        <v>VF</v>
      </c>
      <c r="F558" s="1">
        <f>IFERROR(__xludf.DUMMYFUNCTION("""COMPUTED_VALUE"""),1.0)</f>
        <v>1</v>
      </c>
      <c r="G558" s="1" t="str">
        <f>IFERROR(__xludf.DUMMYFUNCTION("""COMPUTED_VALUE"""),"PR016")</f>
        <v>PR016</v>
      </c>
      <c r="H558" s="1" t="str">
        <f>IFERROR(__xludf.DUMMYFUNCTION("""COMPUTED_VALUE"""),"VD044")</f>
        <v>VD044</v>
      </c>
      <c r="I558" s="1">
        <f>IFERROR(__xludf.DUMMYFUNCTION("""COMPUTED_VALUE"""),4.0)</f>
        <v>4</v>
      </c>
      <c r="J558" s="1">
        <f>IFERROR(__xludf.DUMMYFUNCTION("""COMPUTED_VALUE"""),112.92)</f>
        <v>112.92</v>
      </c>
      <c r="K558" s="1">
        <f>IFERROR(__xludf.DUMMYFUNCTION("""COMPUTED_VALUE"""),112.92)</f>
        <v>112.92</v>
      </c>
    </row>
    <row r="559">
      <c r="A559" s="1">
        <f>IFERROR(__xludf.DUMMYFUNCTION("""COMPUTED_VALUE"""),1000.0)</f>
        <v>1000</v>
      </c>
      <c r="B559" s="1">
        <f>IFERROR(__xludf.DUMMYFUNCTION("""COMPUTED_VALUE"""),183857.0)</f>
        <v>183857</v>
      </c>
      <c r="C559" s="1">
        <f>IFERROR(__xludf.DUMMYFUNCTION("""COMPUTED_VALUE"""),2026.0)</f>
        <v>2026</v>
      </c>
      <c r="D559" s="1">
        <f>IFERROR(__xludf.DUMMYFUNCTION("""COMPUTED_VALUE"""),46278.0)</f>
        <v>46278</v>
      </c>
      <c r="E559" s="1" t="str">
        <f>IFERROR(__xludf.DUMMYFUNCTION("""COMPUTED_VALUE"""),"VF")</f>
        <v>VF</v>
      </c>
      <c r="F559" s="1">
        <f>IFERROR(__xludf.DUMMYFUNCTION("""COMPUTED_VALUE"""),1.0)</f>
        <v>1</v>
      </c>
      <c r="G559" s="1" t="str">
        <f>IFERROR(__xludf.DUMMYFUNCTION("""COMPUTED_VALUE"""),"PR025")</f>
        <v>PR025</v>
      </c>
      <c r="H559" s="1" t="str">
        <f>IFERROR(__xludf.DUMMYFUNCTION("""COMPUTED_VALUE"""),"VD012")</f>
        <v>VD012</v>
      </c>
      <c r="I559" s="1">
        <f>IFERROR(__xludf.DUMMYFUNCTION("""COMPUTED_VALUE"""),7.0)</f>
        <v>7</v>
      </c>
      <c r="J559" s="1">
        <f>IFERROR(__xludf.DUMMYFUNCTION("""COMPUTED_VALUE"""),2162.28)</f>
        <v>2162.28</v>
      </c>
      <c r="K559" s="1">
        <f>IFERROR(__xludf.DUMMYFUNCTION("""COMPUTED_VALUE"""),2162.28)</f>
        <v>2162.28</v>
      </c>
    </row>
    <row r="560">
      <c r="A560" s="1">
        <f>IFERROR(__xludf.DUMMYFUNCTION("""COMPUTED_VALUE"""),1000.0)</f>
        <v>1000</v>
      </c>
      <c r="B560" s="1">
        <f>IFERROR(__xludf.DUMMYFUNCTION("""COMPUTED_VALUE"""),183858.0)</f>
        <v>183858</v>
      </c>
      <c r="C560" s="1">
        <f>IFERROR(__xludf.DUMMYFUNCTION("""COMPUTED_VALUE"""),2026.0)</f>
        <v>2026</v>
      </c>
      <c r="D560" s="1">
        <f>IFERROR(__xludf.DUMMYFUNCTION("""COMPUTED_VALUE"""),46278.0)</f>
        <v>46278</v>
      </c>
      <c r="E560" s="1" t="str">
        <f>IFERROR(__xludf.DUMMYFUNCTION("""COMPUTED_VALUE"""),"VF")</f>
        <v>VF</v>
      </c>
      <c r="F560" s="1">
        <f>IFERROR(__xludf.DUMMYFUNCTION("""COMPUTED_VALUE"""),1.0)</f>
        <v>1</v>
      </c>
      <c r="G560" s="1" t="str">
        <f>IFERROR(__xludf.DUMMYFUNCTION("""COMPUTED_VALUE"""),"PR028")</f>
        <v>PR028</v>
      </c>
      <c r="H560" s="1" t="str">
        <f>IFERROR(__xludf.DUMMYFUNCTION("""COMPUTED_VALUE"""),"VD032")</f>
        <v>VD032</v>
      </c>
      <c r="I560" s="1">
        <f>IFERROR(__xludf.DUMMYFUNCTION("""COMPUTED_VALUE"""),18.0)</f>
        <v>18</v>
      </c>
      <c r="J560" s="1">
        <f>IFERROR(__xludf.DUMMYFUNCTION("""COMPUTED_VALUE"""),4813.07)</f>
        <v>4813.07</v>
      </c>
      <c r="K560" s="1">
        <f>IFERROR(__xludf.DUMMYFUNCTION("""COMPUTED_VALUE"""),4813.07)</f>
        <v>4813.07</v>
      </c>
    </row>
    <row r="561">
      <c r="A561" s="1">
        <f>IFERROR(__xludf.DUMMYFUNCTION("""COMPUTED_VALUE"""),2000.0)</f>
        <v>2000</v>
      </c>
      <c r="B561" s="1">
        <f>IFERROR(__xludf.DUMMYFUNCTION("""COMPUTED_VALUE"""),183859.0)</f>
        <v>183859</v>
      </c>
      <c r="C561" s="1">
        <f>IFERROR(__xludf.DUMMYFUNCTION("""COMPUTED_VALUE"""),2026.0)</f>
        <v>2026</v>
      </c>
      <c r="D561" s="1">
        <f>IFERROR(__xludf.DUMMYFUNCTION("""COMPUTED_VALUE"""),46278.0)</f>
        <v>46278</v>
      </c>
      <c r="E561" s="1" t="str">
        <f>IFERROR(__xludf.DUMMYFUNCTION("""COMPUTED_VALUE"""),"VF")</f>
        <v>VF</v>
      </c>
      <c r="F561" s="1">
        <f>IFERROR(__xludf.DUMMYFUNCTION("""COMPUTED_VALUE"""),1.0)</f>
        <v>1</v>
      </c>
      <c r="G561" s="1" t="str">
        <f>IFERROR(__xludf.DUMMYFUNCTION("""COMPUTED_VALUE"""),"PR014")</f>
        <v>PR014</v>
      </c>
      <c r="H561" s="1" t="str">
        <f>IFERROR(__xludf.DUMMYFUNCTION("""COMPUTED_VALUE"""),"VD020")</f>
        <v>VD020</v>
      </c>
      <c r="I561" s="1">
        <f>IFERROR(__xludf.DUMMYFUNCTION("""COMPUTED_VALUE"""),4.0)</f>
        <v>4</v>
      </c>
      <c r="J561" s="1">
        <f>IFERROR(__xludf.DUMMYFUNCTION("""COMPUTED_VALUE"""),164.39)</f>
        <v>164.39</v>
      </c>
      <c r="K561" s="1">
        <f>IFERROR(__xludf.DUMMYFUNCTION("""COMPUTED_VALUE"""),164.39)</f>
        <v>164.39</v>
      </c>
    </row>
    <row r="562">
      <c r="A562" s="1">
        <f>IFERROR(__xludf.DUMMYFUNCTION("""COMPUTED_VALUE"""),1000.0)</f>
        <v>1000</v>
      </c>
      <c r="B562" s="1">
        <f>IFERROR(__xludf.DUMMYFUNCTION("""COMPUTED_VALUE"""),183860.0)</f>
        <v>183860</v>
      </c>
      <c r="C562" s="1">
        <f>IFERROR(__xludf.DUMMYFUNCTION("""COMPUTED_VALUE"""),2026.0)</f>
        <v>2026</v>
      </c>
      <c r="D562" s="1">
        <f>IFERROR(__xludf.DUMMYFUNCTION("""COMPUTED_VALUE"""),46278.0)</f>
        <v>46278</v>
      </c>
      <c r="E562" s="1" t="str">
        <f>IFERROR(__xludf.DUMMYFUNCTION("""COMPUTED_VALUE"""),"VF")</f>
        <v>VF</v>
      </c>
      <c r="F562" s="1">
        <f>IFERROR(__xludf.DUMMYFUNCTION("""COMPUTED_VALUE"""),1.0)</f>
        <v>1</v>
      </c>
      <c r="G562" s="1" t="str">
        <f>IFERROR(__xludf.DUMMYFUNCTION("""COMPUTED_VALUE"""),"PR006")</f>
        <v>PR006</v>
      </c>
      <c r="H562" s="1" t="str">
        <f>IFERROR(__xludf.DUMMYFUNCTION("""COMPUTED_VALUE"""),"VD026")</f>
        <v>VD026</v>
      </c>
      <c r="I562" s="1">
        <f>IFERROR(__xludf.DUMMYFUNCTION("""COMPUTED_VALUE"""),5.0)</f>
        <v>5</v>
      </c>
      <c r="J562" s="1">
        <f>IFERROR(__xludf.DUMMYFUNCTION("""COMPUTED_VALUE"""),215.46)</f>
        <v>215.46</v>
      </c>
      <c r="K562" s="1">
        <f>IFERROR(__xludf.DUMMYFUNCTION("""COMPUTED_VALUE"""),215.46)</f>
        <v>215.46</v>
      </c>
    </row>
    <row r="563">
      <c r="A563" s="1">
        <f>IFERROR(__xludf.DUMMYFUNCTION("""COMPUTED_VALUE"""),1000.0)</f>
        <v>1000</v>
      </c>
      <c r="B563" s="1">
        <f>IFERROR(__xludf.DUMMYFUNCTION("""COMPUTED_VALUE"""),183861.0)</f>
        <v>183861</v>
      </c>
      <c r="C563" s="1">
        <f>IFERROR(__xludf.DUMMYFUNCTION("""COMPUTED_VALUE"""),2026.0)</f>
        <v>2026</v>
      </c>
      <c r="D563" s="1">
        <f>IFERROR(__xludf.DUMMYFUNCTION("""COMPUTED_VALUE"""),46277.0)</f>
        <v>46277</v>
      </c>
      <c r="E563" s="1" t="str">
        <f>IFERROR(__xludf.DUMMYFUNCTION("""COMPUTED_VALUE"""),"VF")</f>
        <v>VF</v>
      </c>
      <c r="F563" s="1">
        <f>IFERROR(__xludf.DUMMYFUNCTION("""COMPUTED_VALUE"""),1.0)</f>
        <v>1</v>
      </c>
      <c r="G563" s="1" t="str">
        <f>IFERROR(__xludf.DUMMYFUNCTION("""COMPUTED_VALUE"""),"PR004")</f>
        <v>PR004</v>
      </c>
      <c r="H563" s="1" t="str">
        <f>IFERROR(__xludf.DUMMYFUNCTION("""COMPUTED_VALUE"""),"VD015")</f>
        <v>VD015</v>
      </c>
      <c r="I563" s="1">
        <f>IFERROR(__xludf.DUMMYFUNCTION("""COMPUTED_VALUE"""),16.0)</f>
        <v>16</v>
      </c>
      <c r="J563" s="1">
        <f>IFERROR(__xludf.DUMMYFUNCTION("""COMPUTED_VALUE"""),2320.0)</f>
        <v>2320</v>
      </c>
      <c r="K563" s="1">
        <f>IFERROR(__xludf.DUMMYFUNCTION("""COMPUTED_VALUE"""),2320.0)</f>
        <v>2320</v>
      </c>
    </row>
    <row r="564">
      <c r="A564" s="1">
        <f>IFERROR(__xludf.DUMMYFUNCTION("""COMPUTED_VALUE"""),1000.0)</f>
        <v>1000</v>
      </c>
      <c r="B564" s="1">
        <f>IFERROR(__xludf.DUMMYFUNCTION("""COMPUTED_VALUE"""),183862.0)</f>
        <v>183862</v>
      </c>
      <c r="C564" s="1">
        <f>IFERROR(__xludf.DUMMYFUNCTION("""COMPUTED_VALUE"""),2026.0)</f>
        <v>2026</v>
      </c>
      <c r="D564" s="1">
        <f>IFERROR(__xludf.DUMMYFUNCTION("""COMPUTED_VALUE"""),46277.0)</f>
        <v>46277</v>
      </c>
      <c r="E564" s="1" t="str">
        <f>IFERROR(__xludf.DUMMYFUNCTION("""COMPUTED_VALUE"""),"VF")</f>
        <v>VF</v>
      </c>
      <c r="F564" s="1">
        <f>IFERROR(__xludf.DUMMYFUNCTION("""COMPUTED_VALUE"""),1.0)</f>
        <v>1</v>
      </c>
      <c r="G564" s="1" t="str">
        <f>IFERROR(__xludf.DUMMYFUNCTION("""COMPUTED_VALUE"""),"PR033")</f>
        <v>PR033</v>
      </c>
      <c r="H564" s="1" t="str">
        <f>IFERROR(__xludf.DUMMYFUNCTION("""COMPUTED_VALUE"""),"VD043")</f>
        <v>VD043</v>
      </c>
      <c r="I564" s="1">
        <f>IFERROR(__xludf.DUMMYFUNCTION("""COMPUTED_VALUE"""),5.0)</f>
        <v>5</v>
      </c>
      <c r="J564" s="1">
        <f>IFERROR(__xludf.DUMMYFUNCTION("""COMPUTED_VALUE"""),1338.49)</f>
        <v>1338.49</v>
      </c>
      <c r="K564" s="1">
        <f>IFERROR(__xludf.DUMMYFUNCTION("""COMPUTED_VALUE"""),1338.49)</f>
        <v>1338.49</v>
      </c>
    </row>
    <row r="565">
      <c r="A565" s="1">
        <f>IFERROR(__xludf.DUMMYFUNCTION("""COMPUTED_VALUE"""),1000.0)</f>
        <v>1000</v>
      </c>
      <c r="B565" s="1">
        <f>IFERROR(__xludf.DUMMYFUNCTION("""COMPUTED_VALUE"""),183862.0)</f>
        <v>183862</v>
      </c>
      <c r="C565" s="1">
        <f>IFERROR(__xludf.DUMMYFUNCTION("""COMPUTED_VALUE"""),2026.0)</f>
        <v>2026</v>
      </c>
      <c r="D565" s="1">
        <f>IFERROR(__xludf.DUMMYFUNCTION("""COMPUTED_VALUE"""),46277.0)</f>
        <v>46277</v>
      </c>
      <c r="E565" s="1" t="str">
        <f>IFERROR(__xludf.DUMMYFUNCTION("""COMPUTED_VALUE"""),"VF")</f>
        <v>VF</v>
      </c>
      <c r="F565" s="1">
        <f>IFERROR(__xludf.DUMMYFUNCTION("""COMPUTED_VALUE"""),2.0)</f>
        <v>2</v>
      </c>
      <c r="G565" s="1" t="str">
        <f>IFERROR(__xludf.DUMMYFUNCTION("""COMPUTED_VALUE"""),"PR027")</f>
        <v>PR027</v>
      </c>
      <c r="H565" s="1" t="str">
        <f>IFERROR(__xludf.DUMMYFUNCTION("""COMPUTED_VALUE"""),"VD037")</f>
        <v>VD037</v>
      </c>
      <c r="I565" s="1">
        <f>IFERROR(__xludf.DUMMYFUNCTION("""COMPUTED_VALUE"""),10.0)</f>
        <v>10</v>
      </c>
      <c r="J565" s="1">
        <f>IFERROR(__xludf.DUMMYFUNCTION("""COMPUTED_VALUE"""),1236.0)</f>
        <v>1236</v>
      </c>
      <c r="K565" s="1">
        <f>IFERROR(__xludf.DUMMYFUNCTION("""COMPUTED_VALUE"""),1236.0)</f>
        <v>1236</v>
      </c>
    </row>
    <row r="566">
      <c r="A566" s="1">
        <f>IFERROR(__xludf.DUMMYFUNCTION("""COMPUTED_VALUE"""),1000.0)</f>
        <v>1000</v>
      </c>
      <c r="B566" s="1">
        <f>IFERROR(__xludf.DUMMYFUNCTION("""COMPUTED_VALUE"""),183863.0)</f>
        <v>183863</v>
      </c>
      <c r="C566" s="1">
        <f>IFERROR(__xludf.DUMMYFUNCTION("""COMPUTED_VALUE"""),2026.0)</f>
        <v>2026</v>
      </c>
      <c r="D566" s="1">
        <f>IFERROR(__xludf.DUMMYFUNCTION("""COMPUTED_VALUE"""),46277.0)</f>
        <v>46277</v>
      </c>
      <c r="E566" s="1" t="str">
        <f>IFERROR(__xludf.DUMMYFUNCTION("""COMPUTED_VALUE"""),"VF")</f>
        <v>VF</v>
      </c>
      <c r="F566" s="1">
        <f>IFERROR(__xludf.DUMMYFUNCTION("""COMPUTED_VALUE"""),1.0)</f>
        <v>1</v>
      </c>
      <c r="G566" s="1" t="str">
        <f>IFERROR(__xludf.DUMMYFUNCTION("""COMPUTED_VALUE"""),"PR053")</f>
        <v>PR053</v>
      </c>
      <c r="H566" s="1" t="str">
        <f>IFERROR(__xludf.DUMMYFUNCTION("""COMPUTED_VALUE"""),"VD047")</f>
        <v>VD047</v>
      </c>
      <c r="I566" s="1">
        <f>IFERROR(__xludf.DUMMYFUNCTION("""COMPUTED_VALUE"""),6.0)</f>
        <v>6</v>
      </c>
      <c r="J566" s="1">
        <f>IFERROR(__xludf.DUMMYFUNCTION("""COMPUTED_VALUE"""),314.37)</f>
        <v>314.37</v>
      </c>
      <c r="K566" s="1">
        <f>IFERROR(__xludf.DUMMYFUNCTION("""COMPUTED_VALUE"""),314.37)</f>
        <v>314.37</v>
      </c>
    </row>
    <row r="567">
      <c r="A567" s="1">
        <f>IFERROR(__xludf.DUMMYFUNCTION("""COMPUTED_VALUE"""),2000.0)</f>
        <v>2000</v>
      </c>
      <c r="B567" s="1">
        <f>IFERROR(__xludf.DUMMYFUNCTION("""COMPUTED_VALUE"""),183863.0)</f>
        <v>183863</v>
      </c>
      <c r="C567" s="1">
        <f>IFERROR(__xludf.DUMMYFUNCTION("""COMPUTED_VALUE"""),2026.0)</f>
        <v>2026</v>
      </c>
      <c r="D567" s="1">
        <f>IFERROR(__xludf.DUMMYFUNCTION("""COMPUTED_VALUE"""),46277.0)</f>
        <v>46277</v>
      </c>
      <c r="E567" s="1" t="str">
        <f>IFERROR(__xludf.DUMMYFUNCTION("""COMPUTED_VALUE"""),"VF")</f>
        <v>VF</v>
      </c>
      <c r="F567" s="1">
        <f>IFERROR(__xludf.DUMMYFUNCTION("""COMPUTED_VALUE"""),2.0)</f>
        <v>2</v>
      </c>
      <c r="G567" s="1" t="str">
        <f>IFERROR(__xludf.DUMMYFUNCTION("""COMPUTED_VALUE"""),"PR025")</f>
        <v>PR025</v>
      </c>
      <c r="H567" s="1" t="str">
        <f>IFERROR(__xludf.DUMMYFUNCTION("""COMPUTED_VALUE"""),"VD037")</f>
        <v>VD037</v>
      </c>
      <c r="I567" s="1">
        <f>IFERROR(__xludf.DUMMYFUNCTION("""COMPUTED_VALUE"""),20.0)</f>
        <v>20</v>
      </c>
      <c r="J567" s="1">
        <f>IFERROR(__xludf.DUMMYFUNCTION("""COMPUTED_VALUE"""),6057.98)</f>
        <v>6057.98</v>
      </c>
      <c r="K567" s="1">
        <f>IFERROR(__xludf.DUMMYFUNCTION("""COMPUTED_VALUE"""),6057.98)</f>
        <v>6057.98</v>
      </c>
    </row>
    <row r="568">
      <c r="A568" s="1">
        <f>IFERROR(__xludf.DUMMYFUNCTION("""COMPUTED_VALUE"""),1000.0)</f>
        <v>1000</v>
      </c>
      <c r="B568" s="1">
        <f>IFERROR(__xludf.DUMMYFUNCTION("""COMPUTED_VALUE"""),183864.0)</f>
        <v>183864</v>
      </c>
      <c r="C568" s="1">
        <f>IFERROR(__xludf.DUMMYFUNCTION("""COMPUTED_VALUE"""),2026.0)</f>
        <v>2026</v>
      </c>
      <c r="D568" s="1">
        <f>IFERROR(__xludf.DUMMYFUNCTION("""COMPUTED_VALUE"""),46277.0)</f>
        <v>46277</v>
      </c>
      <c r="E568" s="1" t="str">
        <f>IFERROR(__xludf.DUMMYFUNCTION("""COMPUTED_VALUE"""),"VF")</f>
        <v>VF</v>
      </c>
      <c r="F568" s="1">
        <f>IFERROR(__xludf.DUMMYFUNCTION("""COMPUTED_VALUE"""),1.0)</f>
        <v>1</v>
      </c>
      <c r="G568" s="1" t="str">
        <f>IFERROR(__xludf.DUMMYFUNCTION("""COMPUTED_VALUE"""),"PR036")</f>
        <v>PR036</v>
      </c>
      <c r="H568" s="1" t="str">
        <f>IFERROR(__xludf.DUMMYFUNCTION("""COMPUTED_VALUE"""),"VD019")</f>
        <v>VD019</v>
      </c>
      <c r="I568" s="1">
        <f>IFERROR(__xludf.DUMMYFUNCTION("""COMPUTED_VALUE"""),2.0)</f>
        <v>2</v>
      </c>
      <c r="J568" s="1">
        <f>IFERROR(__xludf.DUMMYFUNCTION("""COMPUTED_VALUE"""),203.83)</f>
        <v>203.83</v>
      </c>
      <c r="K568" s="1">
        <f>IFERROR(__xludf.DUMMYFUNCTION("""COMPUTED_VALUE"""),203.83)</f>
        <v>203.83</v>
      </c>
    </row>
    <row r="569">
      <c r="A569" s="1">
        <f>IFERROR(__xludf.DUMMYFUNCTION("""COMPUTED_VALUE"""),2000.0)</f>
        <v>2000</v>
      </c>
      <c r="B569" s="1">
        <f>IFERROR(__xludf.DUMMYFUNCTION("""COMPUTED_VALUE"""),183865.0)</f>
        <v>183865</v>
      </c>
      <c r="C569" s="1">
        <f>IFERROR(__xludf.DUMMYFUNCTION("""COMPUTED_VALUE"""),2026.0)</f>
        <v>2026</v>
      </c>
      <c r="D569" s="1">
        <f>IFERROR(__xludf.DUMMYFUNCTION("""COMPUTED_VALUE"""),46277.0)</f>
        <v>46277</v>
      </c>
      <c r="E569" s="1" t="str">
        <f>IFERROR(__xludf.DUMMYFUNCTION("""COMPUTED_VALUE"""),"VF")</f>
        <v>VF</v>
      </c>
      <c r="F569" s="1">
        <f>IFERROR(__xludf.DUMMYFUNCTION("""COMPUTED_VALUE"""),1.0)</f>
        <v>1</v>
      </c>
      <c r="G569" s="1" t="str">
        <f>IFERROR(__xludf.DUMMYFUNCTION("""COMPUTED_VALUE"""),"PR054")</f>
        <v>PR054</v>
      </c>
      <c r="H569" s="1" t="str">
        <f>IFERROR(__xludf.DUMMYFUNCTION("""COMPUTED_VALUE"""),"VD049")</f>
        <v>VD049</v>
      </c>
      <c r="I569" s="1">
        <f>IFERROR(__xludf.DUMMYFUNCTION("""COMPUTED_VALUE"""),6.0)</f>
        <v>6</v>
      </c>
      <c r="J569" s="1">
        <f>IFERROR(__xludf.DUMMYFUNCTION("""COMPUTED_VALUE"""),320.36)</f>
        <v>320.36</v>
      </c>
      <c r="K569" s="1">
        <f>IFERROR(__xludf.DUMMYFUNCTION("""COMPUTED_VALUE"""),320.36)</f>
        <v>320.36</v>
      </c>
    </row>
    <row r="570">
      <c r="A570" s="1">
        <f>IFERROR(__xludf.DUMMYFUNCTION("""COMPUTED_VALUE"""),1000.0)</f>
        <v>1000</v>
      </c>
      <c r="B570" s="1">
        <f>IFERROR(__xludf.DUMMYFUNCTION("""COMPUTED_VALUE"""),183866.0)</f>
        <v>183866</v>
      </c>
      <c r="C570" s="1">
        <f>IFERROR(__xludf.DUMMYFUNCTION("""COMPUTED_VALUE"""),2026.0)</f>
        <v>2026</v>
      </c>
      <c r="D570" s="1">
        <f>IFERROR(__xludf.DUMMYFUNCTION("""COMPUTED_VALUE"""),46276.0)</f>
        <v>46276</v>
      </c>
      <c r="E570" s="1" t="str">
        <f>IFERROR(__xludf.DUMMYFUNCTION("""COMPUTED_VALUE"""),"VF")</f>
        <v>VF</v>
      </c>
      <c r="F570" s="1">
        <f>IFERROR(__xludf.DUMMYFUNCTION("""COMPUTED_VALUE"""),1.0)</f>
        <v>1</v>
      </c>
      <c r="G570" s="1" t="str">
        <f>IFERROR(__xludf.DUMMYFUNCTION("""COMPUTED_VALUE"""),"PR057")</f>
        <v>PR057</v>
      </c>
      <c r="H570" s="1" t="str">
        <f>IFERROR(__xludf.DUMMYFUNCTION("""COMPUTED_VALUE"""),"VD043")</f>
        <v>VD043</v>
      </c>
      <c r="I570" s="1">
        <f>IFERROR(__xludf.DUMMYFUNCTION("""COMPUTED_VALUE"""),6.0)</f>
        <v>6</v>
      </c>
      <c r="J570" s="1">
        <f>IFERROR(__xludf.DUMMYFUNCTION("""COMPUTED_VALUE"""),560.98)</f>
        <v>560.98</v>
      </c>
      <c r="K570" s="1">
        <f>IFERROR(__xludf.DUMMYFUNCTION("""COMPUTED_VALUE"""),560.98)</f>
        <v>560.98</v>
      </c>
    </row>
    <row r="571">
      <c r="A571" s="1">
        <f>IFERROR(__xludf.DUMMYFUNCTION("""COMPUTED_VALUE"""),1000.0)</f>
        <v>1000</v>
      </c>
      <c r="B571" s="1">
        <f>IFERROR(__xludf.DUMMYFUNCTION("""COMPUTED_VALUE"""),183867.0)</f>
        <v>183867</v>
      </c>
      <c r="C571" s="1">
        <f>IFERROR(__xludf.DUMMYFUNCTION("""COMPUTED_VALUE"""),2026.0)</f>
        <v>2026</v>
      </c>
      <c r="D571" s="1">
        <f>IFERROR(__xludf.DUMMYFUNCTION("""COMPUTED_VALUE"""),46276.0)</f>
        <v>46276</v>
      </c>
      <c r="E571" s="1" t="str">
        <f>IFERROR(__xludf.DUMMYFUNCTION("""COMPUTED_VALUE"""),"VF")</f>
        <v>VF</v>
      </c>
      <c r="F571" s="1">
        <f>IFERROR(__xludf.DUMMYFUNCTION("""COMPUTED_VALUE"""),1.0)</f>
        <v>1</v>
      </c>
      <c r="G571" s="1" t="str">
        <f>IFERROR(__xludf.DUMMYFUNCTION("""COMPUTED_VALUE"""),"PR026")</f>
        <v>PR026</v>
      </c>
      <c r="H571" s="1" t="str">
        <f>IFERROR(__xludf.DUMMYFUNCTION("""COMPUTED_VALUE"""),"VD046")</f>
        <v>VD046</v>
      </c>
      <c r="I571" s="1">
        <f>IFERROR(__xludf.DUMMYFUNCTION("""COMPUTED_VALUE"""),10.0)</f>
        <v>10</v>
      </c>
      <c r="J571" s="1">
        <f>IFERROR(__xludf.DUMMYFUNCTION("""COMPUTED_VALUE"""),3743.93)</f>
        <v>3743.93</v>
      </c>
      <c r="K571" s="1">
        <f>IFERROR(__xludf.DUMMYFUNCTION("""COMPUTED_VALUE"""),3743.93)</f>
        <v>3743.93</v>
      </c>
    </row>
    <row r="572">
      <c r="A572" s="1">
        <f>IFERROR(__xludf.DUMMYFUNCTION("""COMPUTED_VALUE"""),1000.0)</f>
        <v>1000</v>
      </c>
      <c r="B572" s="1">
        <f>IFERROR(__xludf.DUMMYFUNCTION("""COMPUTED_VALUE"""),183867.0)</f>
        <v>183867</v>
      </c>
      <c r="C572" s="1">
        <f>IFERROR(__xludf.DUMMYFUNCTION("""COMPUTED_VALUE"""),2026.0)</f>
        <v>2026</v>
      </c>
      <c r="D572" s="1">
        <f>IFERROR(__xludf.DUMMYFUNCTION("""COMPUTED_VALUE"""),46276.0)</f>
        <v>46276</v>
      </c>
      <c r="E572" s="1" t="str">
        <f>IFERROR(__xludf.DUMMYFUNCTION("""COMPUTED_VALUE"""),"VF")</f>
        <v>VF</v>
      </c>
      <c r="F572" s="1">
        <f>IFERROR(__xludf.DUMMYFUNCTION("""COMPUTED_VALUE"""),2.0)</f>
        <v>2</v>
      </c>
      <c r="G572" s="1" t="str">
        <f>IFERROR(__xludf.DUMMYFUNCTION("""COMPUTED_VALUE"""),"PR031")</f>
        <v>PR031</v>
      </c>
      <c r="H572" s="1" t="str">
        <f>IFERROR(__xludf.DUMMYFUNCTION("""COMPUTED_VALUE"""),"VD029")</f>
        <v>VD029</v>
      </c>
      <c r="I572" s="1">
        <f>IFERROR(__xludf.DUMMYFUNCTION("""COMPUTED_VALUE"""),6.0)</f>
        <v>6</v>
      </c>
      <c r="J572" s="1">
        <f>IFERROR(__xludf.DUMMYFUNCTION("""COMPUTED_VALUE"""),1587.6)</f>
        <v>1587.6</v>
      </c>
      <c r="K572" s="1">
        <f>IFERROR(__xludf.DUMMYFUNCTION("""COMPUTED_VALUE"""),1587.6)</f>
        <v>1587.6</v>
      </c>
    </row>
    <row r="573">
      <c r="A573" s="1">
        <f>IFERROR(__xludf.DUMMYFUNCTION("""COMPUTED_VALUE"""),2000.0)</f>
        <v>2000</v>
      </c>
      <c r="B573" s="1">
        <f>IFERROR(__xludf.DUMMYFUNCTION("""COMPUTED_VALUE"""),183868.0)</f>
        <v>183868</v>
      </c>
      <c r="C573" s="1">
        <f>IFERROR(__xludf.DUMMYFUNCTION("""COMPUTED_VALUE"""),2026.0)</f>
        <v>2026</v>
      </c>
      <c r="D573" s="1">
        <f>IFERROR(__xludf.DUMMYFUNCTION("""COMPUTED_VALUE"""),46276.0)</f>
        <v>46276</v>
      </c>
      <c r="E573" s="1" t="str">
        <f>IFERROR(__xludf.DUMMYFUNCTION("""COMPUTED_VALUE"""),"VF")</f>
        <v>VF</v>
      </c>
      <c r="F573" s="1">
        <f>IFERROR(__xludf.DUMMYFUNCTION("""COMPUTED_VALUE"""),1.0)</f>
        <v>1</v>
      </c>
      <c r="G573" s="1" t="str">
        <f>IFERROR(__xludf.DUMMYFUNCTION("""COMPUTED_VALUE"""),"PR028")</f>
        <v>PR028</v>
      </c>
      <c r="H573" s="1" t="str">
        <f>IFERROR(__xludf.DUMMYFUNCTION("""COMPUTED_VALUE"""),"VD029")</f>
        <v>VD029</v>
      </c>
      <c r="I573" s="1">
        <f>IFERROR(__xludf.DUMMYFUNCTION("""COMPUTED_VALUE"""),2.0)</f>
        <v>2</v>
      </c>
      <c r="J573" s="1">
        <f>IFERROR(__xludf.DUMMYFUNCTION("""COMPUTED_VALUE"""),539.78)</f>
        <v>539.78</v>
      </c>
      <c r="K573" s="1">
        <f>IFERROR(__xludf.DUMMYFUNCTION("""COMPUTED_VALUE"""),539.78)</f>
        <v>539.78</v>
      </c>
    </row>
    <row r="574">
      <c r="A574" s="1">
        <f>IFERROR(__xludf.DUMMYFUNCTION("""COMPUTED_VALUE"""),2000.0)</f>
        <v>2000</v>
      </c>
      <c r="B574" s="1">
        <f>IFERROR(__xludf.DUMMYFUNCTION("""COMPUTED_VALUE"""),183869.0)</f>
        <v>183869</v>
      </c>
      <c r="C574" s="1">
        <f>IFERROR(__xludf.DUMMYFUNCTION("""COMPUTED_VALUE"""),2026.0)</f>
        <v>2026</v>
      </c>
      <c r="D574" s="1">
        <f>IFERROR(__xludf.DUMMYFUNCTION("""COMPUTED_VALUE"""),46276.0)</f>
        <v>46276</v>
      </c>
      <c r="E574" s="1" t="str">
        <f>IFERROR(__xludf.DUMMYFUNCTION("""COMPUTED_VALUE"""),"VF")</f>
        <v>VF</v>
      </c>
      <c r="F574" s="1">
        <f>IFERROR(__xludf.DUMMYFUNCTION("""COMPUTED_VALUE"""),1.0)</f>
        <v>1</v>
      </c>
      <c r="G574" s="1" t="str">
        <f>IFERROR(__xludf.DUMMYFUNCTION("""COMPUTED_VALUE"""),"PR019")</f>
        <v>PR019</v>
      </c>
      <c r="H574" s="1" t="str">
        <f>IFERROR(__xludf.DUMMYFUNCTION("""COMPUTED_VALUE"""),"VD046")</f>
        <v>VD046</v>
      </c>
      <c r="I574" s="1">
        <f>IFERROR(__xludf.DUMMYFUNCTION("""COMPUTED_VALUE"""),2.0)</f>
        <v>2</v>
      </c>
      <c r="J574" s="1">
        <f>IFERROR(__xludf.DUMMYFUNCTION("""COMPUTED_VALUE"""),109.78)</f>
        <v>109.78</v>
      </c>
      <c r="K574" s="1">
        <f>IFERROR(__xludf.DUMMYFUNCTION("""COMPUTED_VALUE"""),109.78)</f>
        <v>109.78</v>
      </c>
    </row>
    <row r="575">
      <c r="A575" s="1">
        <f>IFERROR(__xludf.DUMMYFUNCTION("""COMPUTED_VALUE"""),1000.0)</f>
        <v>1000</v>
      </c>
      <c r="B575" s="1">
        <f>IFERROR(__xludf.DUMMYFUNCTION("""COMPUTED_VALUE"""),183869.0)</f>
        <v>183869</v>
      </c>
      <c r="C575" s="1">
        <f>IFERROR(__xludf.DUMMYFUNCTION("""COMPUTED_VALUE"""),2026.0)</f>
        <v>2026</v>
      </c>
      <c r="D575" s="1">
        <f>IFERROR(__xludf.DUMMYFUNCTION("""COMPUTED_VALUE"""),46276.0)</f>
        <v>46276</v>
      </c>
      <c r="E575" s="1" t="str">
        <f>IFERROR(__xludf.DUMMYFUNCTION("""COMPUTED_VALUE"""),"VF")</f>
        <v>VF</v>
      </c>
      <c r="F575" s="1">
        <f>IFERROR(__xludf.DUMMYFUNCTION("""COMPUTED_VALUE"""),2.0)</f>
        <v>2</v>
      </c>
      <c r="G575" s="1" t="str">
        <f>IFERROR(__xludf.DUMMYFUNCTION("""COMPUTED_VALUE"""),"PR056")</f>
        <v>PR056</v>
      </c>
      <c r="H575" s="1" t="str">
        <f>IFERROR(__xludf.DUMMYFUNCTION("""COMPUTED_VALUE"""),"VD028")</f>
        <v>VD028</v>
      </c>
      <c r="I575" s="1">
        <f>IFERROR(__xludf.DUMMYFUNCTION("""COMPUTED_VALUE"""),3.0)</f>
        <v>3</v>
      </c>
      <c r="J575" s="1">
        <f>IFERROR(__xludf.DUMMYFUNCTION("""COMPUTED_VALUE"""),275.09)</f>
        <v>275.09</v>
      </c>
      <c r="K575" s="1">
        <f>IFERROR(__xludf.DUMMYFUNCTION("""COMPUTED_VALUE"""),275.09)</f>
        <v>275.09</v>
      </c>
    </row>
    <row r="576">
      <c r="A576" s="1">
        <f>IFERROR(__xludf.DUMMYFUNCTION("""COMPUTED_VALUE"""),1000.0)</f>
        <v>1000</v>
      </c>
      <c r="B576" s="1">
        <f>IFERROR(__xludf.DUMMYFUNCTION("""COMPUTED_VALUE"""),183869.0)</f>
        <v>183869</v>
      </c>
      <c r="C576" s="1">
        <f>IFERROR(__xludf.DUMMYFUNCTION("""COMPUTED_VALUE"""),2026.0)</f>
        <v>2026</v>
      </c>
      <c r="D576" s="1">
        <f>IFERROR(__xludf.DUMMYFUNCTION("""COMPUTED_VALUE"""),46276.0)</f>
        <v>46276</v>
      </c>
      <c r="E576" s="1" t="str">
        <f>IFERROR(__xludf.DUMMYFUNCTION("""COMPUTED_VALUE"""),"VF")</f>
        <v>VF</v>
      </c>
      <c r="F576" s="1">
        <f>IFERROR(__xludf.DUMMYFUNCTION("""COMPUTED_VALUE"""),3.0)</f>
        <v>3</v>
      </c>
      <c r="G576" s="1" t="str">
        <f>IFERROR(__xludf.DUMMYFUNCTION("""COMPUTED_VALUE"""),"PR006")</f>
        <v>PR006</v>
      </c>
      <c r="H576" s="1" t="str">
        <f>IFERROR(__xludf.DUMMYFUNCTION("""COMPUTED_VALUE"""),"VD029")</f>
        <v>VD029</v>
      </c>
      <c r="I576" s="1">
        <f>IFERROR(__xludf.DUMMYFUNCTION("""COMPUTED_VALUE"""),8.0)</f>
        <v>8</v>
      </c>
      <c r="J576" s="1">
        <f>IFERROR(__xludf.DUMMYFUNCTION("""COMPUTED_VALUE"""),335.16)</f>
        <v>335.16</v>
      </c>
      <c r="K576" s="1">
        <f>IFERROR(__xludf.DUMMYFUNCTION("""COMPUTED_VALUE"""),335.16)</f>
        <v>335.16</v>
      </c>
    </row>
    <row r="577">
      <c r="A577" s="1">
        <f>IFERROR(__xludf.DUMMYFUNCTION("""COMPUTED_VALUE"""),1000.0)</f>
        <v>1000</v>
      </c>
      <c r="B577" s="1">
        <f>IFERROR(__xludf.DUMMYFUNCTION("""COMPUTED_VALUE"""),183869.0)</f>
        <v>183869</v>
      </c>
      <c r="C577" s="1">
        <f>IFERROR(__xludf.DUMMYFUNCTION("""COMPUTED_VALUE"""),2026.0)</f>
        <v>2026</v>
      </c>
      <c r="D577" s="1">
        <f>IFERROR(__xludf.DUMMYFUNCTION("""COMPUTED_VALUE"""),46276.0)</f>
        <v>46276</v>
      </c>
      <c r="E577" s="1" t="str">
        <f>IFERROR(__xludf.DUMMYFUNCTION("""COMPUTED_VALUE"""),"VF")</f>
        <v>VF</v>
      </c>
      <c r="F577" s="1">
        <f>IFERROR(__xludf.DUMMYFUNCTION("""COMPUTED_VALUE"""),4.0)</f>
        <v>4</v>
      </c>
      <c r="G577" s="1" t="str">
        <f>IFERROR(__xludf.DUMMYFUNCTION("""COMPUTED_VALUE"""),"PR010")</f>
        <v>PR010</v>
      </c>
      <c r="H577" s="1" t="str">
        <f>IFERROR(__xludf.DUMMYFUNCTION("""COMPUTED_VALUE"""),"VD028")</f>
        <v>VD028</v>
      </c>
      <c r="I577" s="1">
        <f>IFERROR(__xludf.DUMMYFUNCTION("""COMPUTED_VALUE"""),2.0)</f>
        <v>2</v>
      </c>
      <c r="J577" s="1">
        <f>IFERROR(__xludf.DUMMYFUNCTION("""COMPUTED_VALUE"""),96.98)</f>
        <v>96.98</v>
      </c>
      <c r="K577" s="1">
        <f>IFERROR(__xludf.DUMMYFUNCTION("""COMPUTED_VALUE"""),96.98)</f>
        <v>96.98</v>
      </c>
    </row>
    <row r="578">
      <c r="A578" s="1">
        <f>IFERROR(__xludf.DUMMYFUNCTION("""COMPUTED_VALUE"""),1000.0)</f>
        <v>1000</v>
      </c>
      <c r="B578" s="1">
        <f>IFERROR(__xludf.DUMMYFUNCTION("""COMPUTED_VALUE"""),183870.0)</f>
        <v>183870</v>
      </c>
      <c r="C578" s="1">
        <f>IFERROR(__xludf.DUMMYFUNCTION("""COMPUTED_VALUE"""),2026.0)</f>
        <v>2026</v>
      </c>
      <c r="D578" s="1">
        <f>IFERROR(__xludf.DUMMYFUNCTION("""COMPUTED_VALUE"""),46276.0)</f>
        <v>46276</v>
      </c>
      <c r="E578" s="1" t="str">
        <f>IFERROR(__xludf.DUMMYFUNCTION("""COMPUTED_VALUE"""),"VF")</f>
        <v>VF</v>
      </c>
      <c r="F578" s="1">
        <f>IFERROR(__xludf.DUMMYFUNCTION("""COMPUTED_VALUE"""),1.0)</f>
        <v>1</v>
      </c>
      <c r="G578" s="1" t="str">
        <f>IFERROR(__xludf.DUMMYFUNCTION("""COMPUTED_VALUE"""),"PR029")</f>
        <v>PR029</v>
      </c>
      <c r="H578" s="1" t="str">
        <f>IFERROR(__xludf.DUMMYFUNCTION("""COMPUTED_VALUE"""),"VD022")</f>
        <v>VD022</v>
      </c>
      <c r="I578" s="1">
        <f>IFERROR(__xludf.DUMMYFUNCTION("""COMPUTED_VALUE"""),18.0)</f>
        <v>18</v>
      </c>
      <c r="J578" s="1">
        <f>IFERROR(__xludf.DUMMYFUNCTION("""COMPUTED_VALUE"""),4773.6)</f>
        <v>4773.6</v>
      </c>
      <c r="K578" s="1">
        <f>IFERROR(__xludf.DUMMYFUNCTION("""COMPUTED_VALUE"""),4773.6)</f>
        <v>4773.6</v>
      </c>
    </row>
    <row r="579">
      <c r="A579" s="1">
        <f>IFERROR(__xludf.DUMMYFUNCTION("""COMPUTED_VALUE"""),1000.0)</f>
        <v>1000</v>
      </c>
      <c r="B579" s="1">
        <f>IFERROR(__xludf.DUMMYFUNCTION("""COMPUTED_VALUE"""),183871.0)</f>
        <v>183871</v>
      </c>
      <c r="C579" s="1">
        <f>IFERROR(__xludf.DUMMYFUNCTION("""COMPUTED_VALUE"""),2026.0)</f>
        <v>2026</v>
      </c>
      <c r="D579" s="1">
        <f>IFERROR(__xludf.DUMMYFUNCTION("""COMPUTED_VALUE"""),46276.0)</f>
        <v>46276</v>
      </c>
      <c r="E579" s="1" t="str">
        <f>IFERROR(__xludf.DUMMYFUNCTION("""COMPUTED_VALUE"""),"VF")</f>
        <v>VF</v>
      </c>
      <c r="F579" s="1">
        <f>IFERROR(__xludf.DUMMYFUNCTION("""COMPUTED_VALUE"""),1.0)</f>
        <v>1</v>
      </c>
      <c r="G579" s="1" t="str">
        <f>IFERROR(__xludf.DUMMYFUNCTION("""COMPUTED_VALUE"""),"PR026")</f>
        <v>PR026</v>
      </c>
      <c r="H579" s="1" t="str">
        <f>IFERROR(__xludf.DUMMYFUNCTION("""COMPUTED_VALUE"""),"VD014")</f>
        <v>VD014</v>
      </c>
      <c r="I579" s="1">
        <f>IFERROR(__xludf.DUMMYFUNCTION("""COMPUTED_VALUE"""),14.0)</f>
        <v>14</v>
      </c>
      <c r="J579" s="1">
        <f>IFERROR(__xludf.DUMMYFUNCTION("""COMPUTED_VALUE"""),5241.5)</f>
        <v>5241.5</v>
      </c>
      <c r="K579" s="1">
        <f>IFERROR(__xludf.DUMMYFUNCTION("""COMPUTED_VALUE"""),5241.5)</f>
        <v>5241.5</v>
      </c>
    </row>
    <row r="580">
      <c r="A580" s="1">
        <f>IFERROR(__xludf.DUMMYFUNCTION("""COMPUTED_VALUE"""),1000.0)</f>
        <v>1000</v>
      </c>
      <c r="B580" s="1">
        <f>IFERROR(__xludf.DUMMYFUNCTION("""COMPUTED_VALUE"""),183872.0)</f>
        <v>183872</v>
      </c>
      <c r="C580" s="1">
        <f>IFERROR(__xludf.DUMMYFUNCTION("""COMPUTED_VALUE"""),2026.0)</f>
        <v>2026</v>
      </c>
      <c r="D580" s="1">
        <f>IFERROR(__xludf.DUMMYFUNCTION("""COMPUTED_VALUE"""),46275.0)</f>
        <v>46275</v>
      </c>
      <c r="E580" s="1" t="str">
        <f>IFERROR(__xludf.DUMMYFUNCTION("""COMPUTED_VALUE"""),"VF")</f>
        <v>VF</v>
      </c>
      <c r="F580" s="1">
        <f>IFERROR(__xludf.DUMMYFUNCTION("""COMPUTED_VALUE"""),1.0)</f>
        <v>1</v>
      </c>
      <c r="G580" s="1" t="str">
        <f>IFERROR(__xludf.DUMMYFUNCTION("""COMPUTED_VALUE"""),"PR054")</f>
        <v>PR054</v>
      </c>
      <c r="H580" s="1" t="str">
        <f>IFERROR(__xludf.DUMMYFUNCTION("""COMPUTED_VALUE"""),"VD046")</f>
        <v>VD046</v>
      </c>
      <c r="I580" s="1">
        <f>IFERROR(__xludf.DUMMYFUNCTION("""COMPUTED_VALUE"""),10.0)</f>
        <v>10</v>
      </c>
      <c r="J580" s="1">
        <f>IFERROR(__xludf.DUMMYFUNCTION("""COMPUTED_VALUE"""),503.99)</f>
        <v>503.99</v>
      </c>
      <c r="K580" s="1">
        <f>IFERROR(__xludf.DUMMYFUNCTION("""COMPUTED_VALUE"""),503.99)</f>
        <v>503.99</v>
      </c>
    </row>
    <row r="581">
      <c r="A581" s="1">
        <f>IFERROR(__xludf.DUMMYFUNCTION("""COMPUTED_VALUE"""),2000.0)</f>
        <v>2000</v>
      </c>
      <c r="B581" s="1">
        <f>IFERROR(__xludf.DUMMYFUNCTION("""COMPUTED_VALUE"""),183873.0)</f>
        <v>183873</v>
      </c>
      <c r="C581" s="1">
        <f>IFERROR(__xludf.DUMMYFUNCTION("""COMPUTED_VALUE"""),2026.0)</f>
        <v>2026</v>
      </c>
      <c r="D581" s="1">
        <f>IFERROR(__xludf.DUMMYFUNCTION("""COMPUTED_VALUE"""),46275.0)</f>
        <v>46275</v>
      </c>
      <c r="E581" s="1" t="str">
        <f>IFERROR(__xludf.DUMMYFUNCTION("""COMPUTED_VALUE"""),"VF")</f>
        <v>VF</v>
      </c>
      <c r="F581" s="1">
        <f>IFERROR(__xludf.DUMMYFUNCTION("""COMPUTED_VALUE"""),1.0)</f>
        <v>1</v>
      </c>
      <c r="G581" s="1" t="str">
        <f>IFERROR(__xludf.DUMMYFUNCTION("""COMPUTED_VALUE"""),"PR055")</f>
        <v>PR055</v>
      </c>
      <c r="H581" s="1" t="str">
        <f>IFERROR(__xludf.DUMMYFUNCTION("""COMPUTED_VALUE"""),"VD014")</f>
        <v>VD014</v>
      </c>
      <c r="I581" s="1">
        <f>IFERROR(__xludf.DUMMYFUNCTION("""COMPUTED_VALUE"""),8.0)</f>
        <v>8</v>
      </c>
      <c r="J581" s="1">
        <f>IFERROR(__xludf.DUMMYFUNCTION("""COMPUTED_VALUE"""),747.97)</f>
        <v>747.97</v>
      </c>
      <c r="K581" s="1">
        <f>IFERROR(__xludf.DUMMYFUNCTION("""COMPUTED_VALUE"""),747.97)</f>
        <v>747.97</v>
      </c>
    </row>
    <row r="582">
      <c r="A582" s="1">
        <f>IFERROR(__xludf.DUMMYFUNCTION("""COMPUTED_VALUE"""),1000.0)</f>
        <v>1000</v>
      </c>
      <c r="B582" s="1">
        <f>IFERROR(__xludf.DUMMYFUNCTION("""COMPUTED_VALUE"""),183874.0)</f>
        <v>183874</v>
      </c>
      <c r="C582" s="1">
        <f>IFERROR(__xludf.DUMMYFUNCTION("""COMPUTED_VALUE"""),2026.0)</f>
        <v>2026</v>
      </c>
      <c r="D582" s="1">
        <f>IFERROR(__xludf.DUMMYFUNCTION("""COMPUTED_VALUE"""),46275.0)</f>
        <v>46275</v>
      </c>
      <c r="E582" s="1" t="str">
        <f>IFERROR(__xludf.DUMMYFUNCTION("""COMPUTED_VALUE"""),"VF")</f>
        <v>VF</v>
      </c>
      <c r="F582" s="1">
        <f>IFERROR(__xludf.DUMMYFUNCTION("""COMPUTED_VALUE"""),1.0)</f>
        <v>1</v>
      </c>
      <c r="G582" s="1" t="str">
        <f>IFERROR(__xludf.DUMMYFUNCTION("""COMPUTED_VALUE"""),"PR022")</f>
        <v>PR022</v>
      </c>
      <c r="H582" s="1" t="str">
        <f>IFERROR(__xludf.DUMMYFUNCTION("""COMPUTED_VALUE"""),"VD041")</f>
        <v>VD041</v>
      </c>
      <c r="I582" s="1">
        <f>IFERROR(__xludf.DUMMYFUNCTION("""COMPUTED_VALUE"""),2.0)</f>
        <v>2</v>
      </c>
      <c r="J582" s="1">
        <f>IFERROR(__xludf.DUMMYFUNCTION("""COMPUTED_VALUE"""),630.0)</f>
        <v>630</v>
      </c>
      <c r="K582" s="1">
        <f>IFERROR(__xludf.DUMMYFUNCTION("""COMPUTED_VALUE"""),630.0)</f>
        <v>630</v>
      </c>
    </row>
    <row r="583">
      <c r="A583" s="1">
        <f>IFERROR(__xludf.DUMMYFUNCTION("""COMPUTED_VALUE"""),2000.0)</f>
        <v>2000</v>
      </c>
      <c r="B583" s="1">
        <f>IFERROR(__xludf.DUMMYFUNCTION("""COMPUTED_VALUE"""),183874.0)</f>
        <v>183874</v>
      </c>
      <c r="C583" s="1">
        <f>IFERROR(__xludf.DUMMYFUNCTION("""COMPUTED_VALUE"""),2026.0)</f>
        <v>2026</v>
      </c>
      <c r="D583" s="1">
        <f>IFERROR(__xludf.DUMMYFUNCTION("""COMPUTED_VALUE"""),46275.0)</f>
        <v>46275</v>
      </c>
      <c r="E583" s="1" t="str">
        <f>IFERROR(__xludf.DUMMYFUNCTION("""COMPUTED_VALUE"""),"VF")</f>
        <v>VF</v>
      </c>
      <c r="F583" s="1">
        <f>IFERROR(__xludf.DUMMYFUNCTION("""COMPUTED_VALUE"""),2.0)</f>
        <v>2</v>
      </c>
      <c r="G583" s="1" t="str">
        <f>IFERROR(__xludf.DUMMYFUNCTION("""COMPUTED_VALUE"""),"PR038")</f>
        <v>PR038</v>
      </c>
      <c r="H583" s="1" t="str">
        <f>IFERROR(__xludf.DUMMYFUNCTION("""COMPUTED_VALUE"""),"VD038")</f>
        <v>VD038</v>
      </c>
      <c r="I583" s="1">
        <f>IFERROR(__xludf.DUMMYFUNCTION("""COMPUTED_VALUE"""),3.0)</f>
        <v>3</v>
      </c>
      <c r="J583" s="1">
        <f>IFERROR(__xludf.DUMMYFUNCTION("""COMPUTED_VALUE"""),467.28)</f>
        <v>467.28</v>
      </c>
      <c r="K583" s="1">
        <f>IFERROR(__xludf.DUMMYFUNCTION("""COMPUTED_VALUE"""),467.28)</f>
        <v>467.28</v>
      </c>
    </row>
    <row r="584">
      <c r="A584" s="1">
        <f>IFERROR(__xludf.DUMMYFUNCTION("""COMPUTED_VALUE"""),1000.0)</f>
        <v>1000</v>
      </c>
      <c r="B584" s="1">
        <f>IFERROR(__xludf.DUMMYFUNCTION("""COMPUTED_VALUE"""),183875.0)</f>
        <v>183875</v>
      </c>
      <c r="C584" s="1">
        <f>IFERROR(__xludf.DUMMYFUNCTION("""COMPUTED_VALUE"""),2026.0)</f>
        <v>2026</v>
      </c>
      <c r="D584" s="1">
        <f>IFERROR(__xludf.DUMMYFUNCTION("""COMPUTED_VALUE"""),46275.0)</f>
        <v>46275</v>
      </c>
      <c r="E584" s="1" t="str">
        <f>IFERROR(__xludf.DUMMYFUNCTION("""COMPUTED_VALUE"""),"VF")</f>
        <v>VF</v>
      </c>
      <c r="F584" s="1">
        <f>IFERROR(__xludf.DUMMYFUNCTION("""COMPUTED_VALUE"""),1.0)</f>
        <v>1</v>
      </c>
      <c r="G584" s="1" t="str">
        <f>IFERROR(__xludf.DUMMYFUNCTION("""COMPUTED_VALUE"""),"PR049")</f>
        <v>PR049</v>
      </c>
      <c r="H584" s="1" t="str">
        <f>IFERROR(__xludf.DUMMYFUNCTION("""COMPUTED_VALUE"""),"VD038")</f>
        <v>VD038</v>
      </c>
      <c r="I584" s="1">
        <f>IFERROR(__xludf.DUMMYFUNCTION("""COMPUTED_VALUE"""),4.0)</f>
        <v>4</v>
      </c>
      <c r="J584" s="1">
        <f>IFERROR(__xludf.DUMMYFUNCTION("""COMPUTED_VALUE"""),140.81)</f>
        <v>140.81</v>
      </c>
      <c r="K584" s="1">
        <f>IFERROR(__xludf.DUMMYFUNCTION("""COMPUTED_VALUE"""),140.81)</f>
        <v>140.81</v>
      </c>
    </row>
    <row r="585">
      <c r="A585" s="1">
        <f>IFERROR(__xludf.DUMMYFUNCTION("""COMPUTED_VALUE"""),2000.0)</f>
        <v>2000</v>
      </c>
      <c r="B585" s="1">
        <f>IFERROR(__xludf.DUMMYFUNCTION("""COMPUTED_VALUE"""),183876.0)</f>
        <v>183876</v>
      </c>
      <c r="C585" s="1">
        <f>IFERROR(__xludf.DUMMYFUNCTION("""COMPUTED_VALUE"""),2026.0)</f>
        <v>2026</v>
      </c>
      <c r="D585" s="1">
        <f>IFERROR(__xludf.DUMMYFUNCTION("""COMPUTED_VALUE"""),46275.0)</f>
        <v>46275</v>
      </c>
      <c r="E585" s="1" t="str">
        <f>IFERROR(__xludf.DUMMYFUNCTION("""COMPUTED_VALUE"""),"VF")</f>
        <v>VF</v>
      </c>
      <c r="F585" s="1">
        <f>IFERROR(__xludf.DUMMYFUNCTION("""COMPUTED_VALUE"""),1.0)</f>
        <v>1</v>
      </c>
      <c r="G585" s="1" t="str">
        <f>IFERROR(__xludf.DUMMYFUNCTION("""COMPUTED_VALUE"""),"PR033")</f>
        <v>PR033</v>
      </c>
      <c r="H585" s="1" t="str">
        <f>IFERROR(__xludf.DUMMYFUNCTION("""COMPUTED_VALUE"""),"VD048")</f>
        <v>VD048</v>
      </c>
      <c r="I585" s="1">
        <f>IFERROR(__xludf.DUMMYFUNCTION("""COMPUTED_VALUE"""),12.0)</f>
        <v>12</v>
      </c>
      <c r="J585" s="1">
        <f>IFERROR(__xludf.DUMMYFUNCTION("""COMPUTED_VALUE"""),3243.55)</f>
        <v>3243.55</v>
      </c>
      <c r="K585" s="1">
        <f>IFERROR(__xludf.DUMMYFUNCTION("""COMPUTED_VALUE"""),3243.55)</f>
        <v>3243.55</v>
      </c>
    </row>
    <row r="586">
      <c r="A586" s="1">
        <f>IFERROR(__xludf.DUMMYFUNCTION("""COMPUTED_VALUE"""),1000.0)</f>
        <v>1000</v>
      </c>
      <c r="B586" s="1">
        <f>IFERROR(__xludf.DUMMYFUNCTION("""COMPUTED_VALUE"""),183877.0)</f>
        <v>183877</v>
      </c>
      <c r="C586" s="1">
        <f>IFERROR(__xludf.DUMMYFUNCTION("""COMPUTED_VALUE"""),2026.0)</f>
        <v>2026</v>
      </c>
      <c r="D586" s="1">
        <f>IFERROR(__xludf.DUMMYFUNCTION("""COMPUTED_VALUE"""),46275.0)</f>
        <v>46275</v>
      </c>
      <c r="E586" s="1" t="str">
        <f>IFERROR(__xludf.DUMMYFUNCTION("""COMPUTED_VALUE"""),"VF")</f>
        <v>VF</v>
      </c>
      <c r="F586" s="1">
        <f>IFERROR(__xludf.DUMMYFUNCTION("""COMPUTED_VALUE"""),1.0)</f>
        <v>1</v>
      </c>
      <c r="G586" s="1" t="str">
        <f>IFERROR(__xludf.DUMMYFUNCTION("""COMPUTED_VALUE"""),"PR050")</f>
        <v>PR050</v>
      </c>
      <c r="H586" s="1" t="str">
        <f>IFERROR(__xludf.DUMMYFUNCTION("""COMPUTED_VALUE"""),"VD018")</f>
        <v>VD018</v>
      </c>
      <c r="I586" s="1">
        <f>IFERROR(__xludf.DUMMYFUNCTION("""COMPUTED_VALUE"""),2.0)</f>
        <v>2</v>
      </c>
      <c r="J586" s="1">
        <f>IFERROR(__xludf.DUMMYFUNCTION("""COMPUTED_VALUE"""),67.77)</f>
        <v>67.77</v>
      </c>
      <c r="K586" s="1">
        <f>IFERROR(__xludf.DUMMYFUNCTION("""COMPUTED_VALUE"""),67.77)</f>
        <v>67.77</v>
      </c>
    </row>
    <row r="587">
      <c r="A587" s="1">
        <f>IFERROR(__xludf.DUMMYFUNCTION("""COMPUTED_VALUE"""),1000.0)</f>
        <v>1000</v>
      </c>
      <c r="B587" s="1">
        <f>IFERROR(__xludf.DUMMYFUNCTION("""COMPUTED_VALUE"""),183878.0)</f>
        <v>183878</v>
      </c>
      <c r="C587" s="1">
        <f>IFERROR(__xludf.DUMMYFUNCTION("""COMPUTED_VALUE"""),2026.0)</f>
        <v>2026</v>
      </c>
      <c r="D587" s="1">
        <f>IFERROR(__xludf.DUMMYFUNCTION("""COMPUTED_VALUE"""),46275.0)</f>
        <v>46275</v>
      </c>
      <c r="E587" s="1" t="str">
        <f>IFERROR(__xludf.DUMMYFUNCTION("""COMPUTED_VALUE"""),"VF")</f>
        <v>VF</v>
      </c>
      <c r="F587" s="1">
        <f>IFERROR(__xludf.DUMMYFUNCTION("""COMPUTED_VALUE"""),1.0)</f>
        <v>1</v>
      </c>
      <c r="G587" s="1" t="str">
        <f>IFERROR(__xludf.DUMMYFUNCTION("""COMPUTED_VALUE"""),"PR037")</f>
        <v>PR037</v>
      </c>
      <c r="H587" s="1" t="str">
        <f>IFERROR(__xludf.DUMMYFUNCTION("""COMPUTED_VALUE"""),"VD014")</f>
        <v>VD014</v>
      </c>
      <c r="I587" s="1">
        <f>IFERROR(__xludf.DUMMYFUNCTION("""COMPUTED_VALUE"""),8.0)</f>
        <v>8</v>
      </c>
      <c r="J587" s="1">
        <f>IFERROR(__xludf.DUMMYFUNCTION("""COMPUTED_VALUE"""),1209.6)</f>
        <v>1209.6</v>
      </c>
      <c r="K587" s="1">
        <f>IFERROR(__xludf.DUMMYFUNCTION("""COMPUTED_VALUE"""),1209.6)</f>
        <v>1209.6</v>
      </c>
    </row>
    <row r="588">
      <c r="A588" s="1">
        <f>IFERROR(__xludf.DUMMYFUNCTION("""COMPUTED_VALUE"""),1000.0)</f>
        <v>1000</v>
      </c>
      <c r="B588" s="1">
        <f>IFERROR(__xludf.DUMMYFUNCTION("""COMPUTED_VALUE"""),183878.0)</f>
        <v>183878</v>
      </c>
      <c r="C588" s="1">
        <f>IFERROR(__xludf.DUMMYFUNCTION("""COMPUTED_VALUE"""),2026.0)</f>
        <v>2026</v>
      </c>
      <c r="D588" s="1">
        <f>IFERROR(__xludf.DUMMYFUNCTION("""COMPUTED_VALUE"""),46275.0)</f>
        <v>46275</v>
      </c>
      <c r="E588" s="1" t="str">
        <f>IFERROR(__xludf.DUMMYFUNCTION("""COMPUTED_VALUE"""),"VF")</f>
        <v>VF</v>
      </c>
      <c r="F588" s="1">
        <f>IFERROR(__xludf.DUMMYFUNCTION("""COMPUTED_VALUE"""),2.0)</f>
        <v>2</v>
      </c>
      <c r="G588" s="1" t="str">
        <f>IFERROR(__xludf.DUMMYFUNCTION("""COMPUTED_VALUE"""),"PR001")</f>
        <v>PR001</v>
      </c>
      <c r="H588" s="1" t="str">
        <f>IFERROR(__xludf.DUMMYFUNCTION("""COMPUTED_VALUE"""),"VD010")</f>
        <v>VD010</v>
      </c>
      <c r="I588" s="1">
        <f>IFERROR(__xludf.DUMMYFUNCTION("""COMPUTED_VALUE"""),8.0)</f>
        <v>8</v>
      </c>
      <c r="J588" s="1">
        <f>IFERROR(__xludf.DUMMYFUNCTION("""COMPUTED_VALUE"""),537.74)</f>
        <v>537.74</v>
      </c>
      <c r="K588" s="1">
        <f>IFERROR(__xludf.DUMMYFUNCTION("""COMPUTED_VALUE"""),537.74)</f>
        <v>537.74</v>
      </c>
    </row>
    <row r="589">
      <c r="A589" s="1">
        <f>IFERROR(__xludf.DUMMYFUNCTION("""COMPUTED_VALUE"""),1000.0)</f>
        <v>1000</v>
      </c>
      <c r="B589" s="1">
        <f>IFERROR(__xludf.DUMMYFUNCTION("""COMPUTED_VALUE"""),183879.0)</f>
        <v>183879</v>
      </c>
      <c r="C589" s="1">
        <f>IFERROR(__xludf.DUMMYFUNCTION("""COMPUTED_VALUE"""),2026.0)</f>
        <v>2026</v>
      </c>
      <c r="D589" s="1">
        <f>IFERROR(__xludf.DUMMYFUNCTION("""COMPUTED_VALUE"""),46274.0)</f>
        <v>46274</v>
      </c>
      <c r="E589" s="1" t="str">
        <f>IFERROR(__xludf.DUMMYFUNCTION("""COMPUTED_VALUE"""),"VF")</f>
        <v>VF</v>
      </c>
      <c r="F589" s="1">
        <f>IFERROR(__xludf.DUMMYFUNCTION("""COMPUTED_VALUE"""),1.0)</f>
        <v>1</v>
      </c>
      <c r="G589" s="1" t="str">
        <f>IFERROR(__xludf.DUMMYFUNCTION("""COMPUTED_VALUE"""),"PR049")</f>
        <v>PR049</v>
      </c>
      <c r="H589" s="1" t="str">
        <f>IFERROR(__xludf.DUMMYFUNCTION("""COMPUTED_VALUE"""),"VD015")</f>
        <v>VD015</v>
      </c>
      <c r="I589" s="1">
        <f>IFERROR(__xludf.DUMMYFUNCTION("""COMPUTED_VALUE"""),16.0)</f>
        <v>16</v>
      </c>
      <c r="J589" s="1">
        <f>IFERROR(__xludf.DUMMYFUNCTION("""COMPUTED_VALUE"""),573.78)</f>
        <v>573.78</v>
      </c>
      <c r="K589" s="1">
        <f>IFERROR(__xludf.DUMMYFUNCTION("""COMPUTED_VALUE"""),573.78)</f>
        <v>573.78</v>
      </c>
    </row>
    <row r="590">
      <c r="A590" s="1">
        <f>IFERROR(__xludf.DUMMYFUNCTION("""COMPUTED_VALUE"""),1000.0)</f>
        <v>1000</v>
      </c>
      <c r="B590" s="1">
        <f>IFERROR(__xludf.DUMMYFUNCTION("""COMPUTED_VALUE"""),183880.0)</f>
        <v>183880</v>
      </c>
      <c r="C590" s="1">
        <f>IFERROR(__xludf.DUMMYFUNCTION("""COMPUTED_VALUE"""),2026.0)</f>
        <v>2026</v>
      </c>
      <c r="D590" s="1">
        <f>IFERROR(__xludf.DUMMYFUNCTION("""COMPUTED_VALUE"""),46274.0)</f>
        <v>46274</v>
      </c>
      <c r="E590" s="1" t="str">
        <f>IFERROR(__xludf.DUMMYFUNCTION("""COMPUTED_VALUE"""),"VF")</f>
        <v>VF</v>
      </c>
      <c r="F590" s="1">
        <f>IFERROR(__xludf.DUMMYFUNCTION("""COMPUTED_VALUE"""),1.0)</f>
        <v>1</v>
      </c>
      <c r="G590" s="1" t="str">
        <f>IFERROR(__xludf.DUMMYFUNCTION("""COMPUTED_VALUE"""),"PR013")</f>
        <v>PR013</v>
      </c>
      <c r="H590" s="1" t="str">
        <f>IFERROR(__xludf.DUMMYFUNCTION("""COMPUTED_VALUE"""),"VD020")</f>
        <v>VD020</v>
      </c>
      <c r="I590" s="1">
        <f>IFERROR(__xludf.DUMMYFUNCTION("""COMPUTED_VALUE"""),6.0)</f>
        <v>6</v>
      </c>
      <c r="J590" s="1">
        <f>IFERROR(__xludf.DUMMYFUNCTION("""COMPUTED_VALUE"""),248.98)</f>
        <v>248.98</v>
      </c>
      <c r="K590" s="1">
        <f>IFERROR(__xludf.DUMMYFUNCTION("""COMPUTED_VALUE"""),248.98)</f>
        <v>248.98</v>
      </c>
    </row>
    <row r="591">
      <c r="A591" s="1">
        <f>IFERROR(__xludf.DUMMYFUNCTION("""COMPUTED_VALUE"""),1000.0)</f>
        <v>1000</v>
      </c>
      <c r="B591" s="1">
        <f>IFERROR(__xludf.DUMMYFUNCTION("""COMPUTED_VALUE"""),183881.0)</f>
        <v>183881</v>
      </c>
      <c r="C591" s="1">
        <f>IFERROR(__xludf.DUMMYFUNCTION("""COMPUTED_VALUE"""),2026.0)</f>
        <v>2026</v>
      </c>
      <c r="D591" s="1">
        <f>IFERROR(__xludf.DUMMYFUNCTION("""COMPUTED_VALUE"""),46274.0)</f>
        <v>46274</v>
      </c>
      <c r="E591" s="1" t="str">
        <f>IFERROR(__xludf.DUMMYFUNCTION("""COMPUTED_VALUE"""),"VF")</f>
        <v>VF</v>
      </c>
      <c r="F591" s="1">
        <f>IFERROR(__xludf.DUMMYFUNCTION("""COMPUTED_VALUE"""),1.0)</f>
        <v>1</v>
      </c>
      <c r="G591" s="1" t="str">
        <f>IFERROR(__xludf.DUMMYFUNCTION("""COMPUTED_VALUE"""),"PR003")</f>
        <v>PR003</v>
      </c>
      <c r="H591" s="1" t="str">
        <f>IFERROR(__xludf.DUMMYFUNCTION("""COMPUTED_VALUE"""),"VD031")</f>
        <v>VD031</v>
      </c>
      <c r="I591" s="1">
        <f>IFERROR(__xludf.DUMMYFUNCTION("""COMPUTED_VALUE"""),9.0)</f>
        <v>9</v>
      </c>
      <c r="J591" s="1">
        <f>IFERROR(__xludf.DUMMYFUNCTION("""COMPUTED_VALUE"""),657.24)</f>
        <v>657.24</v>
      </c>
      <c r="K591" s="1">
        <f>IFERROR(__xludf.DUMMYFUNCTION("""COMPUTED_VALUE"""),657.24)</f>
        <v>657.24</v>
      </c>
    </row>
    <row r="592">
      <c r="A592" s="1">
        <f>IFERROR(__xludf.DUMMYFUNCTION("""COMPUTED_VALUE"""),1000.0)</f>
        <v>1000</v>
      </c>
      <c r="B592" s="1">
        <f>IFERROR(__xludf.DUMMYFUNCTION("""COMPUTED_VALUE"""),183881.0)</f>
        <v>183881</v>
      </c>
      <c r="C592" s="1">
        <f>IFERROR(__xludf.DUMMYFUNCTION("""COMPUTED_VALUE"""),2026.0)</f>
        <v>2026</v>
      </c>
      <c r="D592" s="1">
        <f>IFERROR(__xludf.DUMMYFUNCTION("""COMPUTED_VALUE"""),46274.0)</f>
        <v>46274</v>
      </c>
      <c r="E592" s="1" t="str">
        <f>IFERROR(__xludf.DUMMYFUNCTION("""COMPUTED_VALUE"""),"VF")</f>
        <v>VF</v>
      </c>
      <c r="F592" s="1">
        <f>IFERROR(__xludf.DUMMYFUNCTION("""COMPUTED_VALUE"""),2.0)</f>
        <v>2</v>
      </c>
      <c r="G592" s="1" t="str">
        <f>IFERROR(__xludf.DUMMYFUNCTION("""COMPUTED_VALUE"""),"PR057")</f>
        <v>PR057</v>
      </c>
      <c r="H592" s="1" t="str">
        <f>IFERROR(__xludf.DUMMYFUNCTION("""COMPUTED_VALUE"""),"VD045")</f>
        <v>VD045</v>
      </c>
      <c r="I592" s="1">
        <f>IFERROR(__xludf.DUMMYFUNCTION("""COMPUTED_VALUE"""),7.0)</f>
        <v>7</v>
      </c>
      <c r="J592" s="1">
        <f>IFERROR(__xludf.DUMMYFUNCTION("""COMPUTED_VALUE"""),679.64)</f>
        <v>679.64</v>
      </c>
      <c r="K592" s="1">
        <f>IFERROR(__xludf.DUMMYFUNCTION("""COMPUTED_VALUE"""),679.64)</f>
        <v>679.64</v>
      </c>
    </row>
    <row r="593">
      <c r="A593" s="1">
        <f>IFERROR(__xludf.DUMMYFUNCTION("""COMPUTED_VALUE"""),1000.0)</f>
        <v>1000</v>
      </c>
      <c r="B593" s="1">
        <f>IFERROR(__xludf.DUMMYFUNCTION("""COMPUTED_VALUE"""),183881.0)</f>
        <v>183881</v>
      </c>
      <c r="C593" s="1">
        <f>IFERROR(__xludf.DUMMYFUNCTION("""COMPUTED_VALUE"""),2026.0)</f>
        <v>2026</v>
      </c>
      <c r="D593" s="1">
        <f>IFERROR(__xludf.DUMMYFUNCTION("""COMPUTED_VALUE"""),46274.0)</f>
        <v>46274</v>
      </c>
      <c r="E593" s="1" t="str">
        <f>IFERROR(__xludf.DUMMYFUNCTION("""COMPUTED_VALUE"""),"VF")</f>
        <v>VF</v>
      </c>
      <c r="F593" s="1">
        <f>IFERROR(__xludf.DUMMYFUNCTION("""COMPUTED_VALUE"""),3.0)</f>
        <v>3</v>
      </c>
      <c r="G593" s="1" t="str">
        <f>IFERROR(__xludf.DUMMYFUNCTION("""COMPUTED_VALUE"""),"PR025")</f>
        <v>PR025</v>
      </c>
      <c r="H593" s="1" t="str">
        <f>IFERROR(__xludf.DUMMYFUNCTION("""COMPUTED_VALUE"""),"VD035")</f>
        <v>VD035</v>
      </c>
      <c r="I593" s="1">
        <f>IFERROR(__xludf.DUMMYFUNCTION("""COMPUTED_VALUE"""),1.0)</f>
        <v>1</v>
      </c>
      <c r="J593" s="1">
        <f>IFERROR(__xludf.DUMMYFUNCTION("""COMPUTED_VALUE"""),305.9)</f>
        <v>305.9</v>
      </c>
      <c r="K593" s="1">
        <f>IFERROR(__xludf.DUMMYFUNCTION("""COMPUTED_VALUE"""),305.9)</f>
        <v>305.9</v>
      </c>
    </row>
    <row r="594">
      <c r="A594" s="1">
        <f>IFERROR(__xludf.DUMMYFUNCTION("""COMPUTED_VALUE"""),1000.0)</f>
        <v>1000</v>
      </c>
      <c r="B594" s="1">
        <f>IFERROR(__xludf.DUMMYFUNCTION("""COMPUTED_VALUE"""),183882.0)</f>
        <v>183882</v>
      </c>
      <c r="C594" s="1">
        <f>IFERROR(__xludf.DUMMYFUNCTION("""COMPUTED_VALUE"""),2026.0)</f>
        <v>2026</v>
      </c>
      <c r="D594" s="1">
        <f>IFERROR(__xludf.DUMMYFUNCTION("""COMPUTED_VALUE"""),46274.0)</f>
        <v>46274</v>
      </c>
      <c r="E594" s="1" t="str">
        <f>IFERROR(__xludf.DUMMYFUNCTION("""COMPUTED_VALUE"""),"VF")</f>
        <v>VF</v>
      </c>
      <c r="F594" s="1">
        <f>IFERROR(__xludf.DUMMYFUNCTION("""COMPUTED_VALUE"""),1.0)</f>
        <v>1</v>
      </c>
      <c r="G594" s="1" t="str">
        <f>IFERROR(__xludf.DUMMYFUNCTION("""COMPUTED_VALUE"""),"PR047")</f>
        <v>PR047</v>
      </c>
      <c r="H594" s="1" t="str">
        <f>IFERROR(__xludf.DUMMYFUNCTION("""COMPUTED_VALUE"""),"VD023")</f>
        <v>VD023</v>
      </c>
      <c r="I594" s="1">
        <f>IFERROR(__xludf.DUMMYFUNCTION("""COMPUTED_VALUE"""),20.0)</f>
        <v>20</v>
      </c>
      <c r="J594" s="1">
        <f>IFERROR(__xludf.DUMMYFUNCTION("""COMPUTED_VALUE"""),6029.92)</f>
        <v>6029.92</v>
      </c>
      <c r="K594" s="1">
        <f>IFERROR(__xludf.DUMMYFUNCTION("""COMPUTED_VALUE"""),6029.92)</f>
        <v>6029.92</v>
      </c>
    </row>
    <row r="595">
      <c r="A595" s="1">
        <f>IFERROR(__xludf.DUMMYFUNCTION("""COMPUTED_VALUE"""),1000.0)</f>
        <v>1000</v>
      </c>
      <c r="B595" s="1">
        <f>IFERROR(__xludf.DUMMYFUNCTION("""COMPUTED_VALUE"""),183883.0)</f>
        <v>183883</v>
      </c>
      <c r="C595" s="1">
        <f>IFERROR(__xludf.DUMMYFUNCTION("""COMPUTED_VALUE"""),2026.0)</f>
        <v>2026</v>
      </c>
      <c r="D595" s="1">
        <f>IFERROR(__xludf.DUMMYFUNCTION("""COMPUTED_VALUE"""),46273.0)</f>
        <v>46273</v>
      </c>
      <c r="E595" s="1" t="str">
        <f>IFERROR(__xludf.DUMMYFUNCTION("""COMPUTED_VALUE"""),"VF")</f>
        <v>VF</v>
      </c>
      <c r="F595" s="1">
        <f>IFERROR(__xludf.DUMMYFUNCTION("""COMPUTED_VALUE"""),1.0)</f>
        <v>1</v>
      </c>
      <c r="G595" s="1" t="str">
        <f>IFERROR(__xludf.DUMMYFUNCTION("""COMPUTED_VALUE"""),"PR060")</f>
        <v>PR060</v>
      </c>
      <c r="H595" s="1" t="str">
        <f>IFERROR(__xludf.DUMMYFUNCTION("""COMPUTED_VALUE"""),"VD030")</f>
        <v>VD030</v>
      </c>
      <c r="I595" s="1">
        <f>IFERROR(__xludf.DUMMYFUNCTION("""COMPUTED_VALUE"""),18.0)</f>
        <v>18</v>
      </c>
      <c r="J595" s="1">
        <f>IFERROR(__xludf.DUMMYFUNCTION("""COMPUTED_VALUE"""),3402.0)</f>
        <v>3402</v>
      </c>
      <c r="K595" s="1">
        <f>IFERROR(__xludf.DUMMYFUNCTION("""COMPUTED_VALUE"""),3402.0)</f>
        <v>3402</v>
      </c>
    </row>
    <row r="596">
      <c r="A596" s="1">
        <f>IFERROR(__xludf.DUMMYFUNCTION("""COMPUTED_VALUE"""),2000.0)</f>
        <v>2000</v>
      </c>
      <c r="B596" s="1">
        <f>IFERROR(__xludf.DUMMYFUNCTION("""COMPUTED_VALUE"""),183884.0)</f>
        <v>183884</v>
      </c>
      <c r="C596" s="1">
        <f>IFERROR(__xludf.DUMMYFUNCTION("""COMPUTED_VALUE"""),2026.0)</f>
        <v>2026</v>
      </c>
      <c r="D596" s="1">
        <f>IFERROR(__xludf.DUMMYFUNCTION("""COMPUTED_VALUE"""),46273.0)</f>
        <v>46273</v>
      </c>
      <c r="E596" s="1" t="str">
        <f>IFERROR(__xludf.DUMMYFUNCTION("""COMPUTED_VALUE"""),"VF")</f>
        <v>VF</v>
      </c>
      <c r="F596" s="1">
        <f>IFERROR(__xludf.DUMMYFUNCTION("""COMPUTED_VALUE"""),1.0)</f>
        <v>1</v>
      </c>
      <c r="G596" s="1" t="str">
        <f>IFERROR(__xludf.DUMMYFUNCTION("""COMPUTED_VALUE"""),"PR017")</f>
        <v>PR017</v>
      </c>
      <c r="H596" s="1" t="str">
        <f>IFERROR(__xludf.DUMMYFUNCTION("""COMPUTED_VALUE"""),"VD049")</f>
        <v>VD049</v>
      </c>
      <c r="I596" s="1">
        <f>IFERROR(__xludf.DUMMYFUNCTION("""COMPUTED_VALUE"""),18.0)</f>
        <v>18</v>
      </c>
      <c r="J596" s="1">
        <f>IFERROR(__xludf.DUMMYFUNCTION("""COMPUTED_VALUE"""),581.26)</f>
        <v>581.26</v>
      </c>
      <c r="K596" s="1">
        <f>IFERROR(__xludf.DUMMYFUNCTION("""COMPUTED_VALUE"""),581.26)</f>
        <v>581.26</v>
      </c>
    </row>
    <row r="597">
      <c r="A597" s="1">
        <f>IFERROR(__xludf.DUMMYFUNCTION("""COMPUTED_VALUE"""),1000.0)</f>
        <v>1000</v>
      </c>
      <c r="B597" s="1">
        <f>IFERROR(__xludf.DUMMYFUNCTION("""COMPUTED_VALUE"""),183885.0)</f>
        <v>183885</v>
      </c>
      <c r="C597" s="1">
        <f>IFERROR(__xludf.DUMMYFUNCTION("""COMPUTED_VALUE"""),2026.0)</f>
        <v>2026</v>
      </c>
      <c r="D597" s="1">
        <f>IFERROR(__xludf.DUMMYFUNCTION("""COMPUTED_VALUE"""),46273.0)</f>
        <v>46273</v>
      </c>
      <c r="E597" s="1" t="str">
        <f>IFERROR(__xludf.DUMMYFUNCTION("""COMPUTED_VALUE"""),"VF")</f>
        <v>VF</v>
      </c>
      <c r="F597" s="1">
        <f>IFERROR(__xludf.DUMMYFUNCTION("""COMPUTED_VALUE"""),1.0)</f>
        <v>1</v>
      </c>
      <c r="G597" s="1" t="str">
        <f>IFERROR(__xludf.DUMMYFUNCTION("""COMPUTED_VALUE"""),"PR024")</f>
        <v>PR024</v>
      </c>
      <c r="H597" s="1" t="str">
        <f>IFERROR(__xludf.DUMMYFUNCTION("""COMPUTED_VALUE"""),"VD026")</f>
        <v>VD026</v>
      </c>
      <c r="I597" s="1">
        <f>IFERROR(__xludf.DUMMYFUNCTION("""COMPUTED_VALUE"""),10.0)</f>
        <v>10</v>
      </c>
      <c r="J597" s="1">
        <f>IFERROR(__xludf.DUMMYFUNCTION("""COMPUTED_VALUE"""),2806.92)</f>
        <v>2806.92</v>
      </c>
      <c r="K597" s="1">
        <f>IFERROR(__xludf.DUMMYFUNCTION("""COMPUTED_VALUE"""),2806.92)</f>
        <v>2806.92</v>
      </c>
    </row>
    <row r="598">
      <c r="A598" s="1">
        <f>IFERROR(__xludf.DUMMYFUNCTION("""COMPUTED_VALUE"""),1000.0)</f>
        <v>1000</v>
      </c>
      <c r="B598" s="1">
        <f>IFERROR(__xludf.DUMMYFUNCTION("""COMPUTED_VALUE"""),183885.0)</f>
        <v>183885</v>
      </c>
      <c r="C598" s="1">
        <f>IFERROR(__xludf.DUMMYFUNCTION("""COMPUTED_VALUE"""),2026.0)</f>
        <v>2026</v>
      </c>
      <c r="D598" s="1">
        <f>IFERROR(__xludf.DUMMYFUNCTION("""COMPUTED_VALUE"""),46273.0)</f>
        <v>46273</v>
      </c>
      <c r="E598" s="1" t="str">
        <f>IFERROR(__xludf.DUMMYFUNCTION("""COMPUTED_VALUE"""),"VF")</f>
        <v>VF</v>
      </c>
      <c r="F598" s="1">
        <f>IFERROR(__xludf.DUMMYFUNCTION("""COMPUTED_VALUE"""),2.0)</f>
        <v>2</v>
      </c>
      <c r="G598" s="1" t="str">
        <f>IFERROR(__xludf.DUMMYFUNCTION("""COMPUTED_VALUE"""),"PR013")</f>
        <v>PR013</v>
      </c>
      <c r="H598" s="1" t="str">
        <f>IFERROR(__xludf.DUMMYFUNCTION("""COMPUTED_VALUE"""),"VD013")</f>
        <v>VD013</v>
      </c>
      <c r="I598" s="1">
        <f>IFERROR(__xludf.DUMMYFUNCTION("""COMPUTED_VALUE"""),16.0)</f>
        <v>16</v>
      </c>
      <c r="J598" s="1">
        <f>IFERROR(__xludf.DUMMYFUNCTION("""COMPUTED_VALUE"""),702.24)</f>
        <v>702.24</v>
      </c>
      <c r="K598" s="1">
        <f>IFERROR(__xludf.DUMMYFUNCTION("""COMPUTED_VALUE"""),702.24)</f>
        <v>702.24</v>
      </c>
    </row>
    <row r="599">
      <c r="A599" s="1">
        <f>IFERROR(__xludf.DUMMYFUNCTION("""COMPUTED_VALUE"""),1000.0)</f>
        <v>1000</v>
      </c>
      <c r="B599" s="1">
        <f>IFERROR(__xludf.DUMMYFUNCTION("""COMPUTED_VALUE"""),183885.0)</f>
        <v>183885</v>
      </c>
      <c r="C599" s="1">
        <f>IFERROR(__xludf.DUMMYFUNCTION("""COMPUTED_VALUE"""),2026.0)</f>
        <v>2026</v>
      </c>
      <c r="D599" s="1">
        <f>IFERROR(__xludf.DUMMYFUNCTION("""COMPUTED_VALUE"""),46273.0)</f>
        <v>46273</v>
      </c>
      <c r="E599" s="1" t="str">
        <f>IFERROR(__xludf.DUMMYFUNCTION("""COMPUTED_VALUE"""),"VF")</f>
        <v>VF</v>
      </c>
      <c r="F599" s="1">
        <f>IFERROR(__xludf.DUMMYFUNCTION("""COMPUTED_VALUE"""),3.0)</f>
        <v>3</v>
      </c>
      <c r="G599" s="1" t="str">
        <f>IFERROR(__xludf.DUMMYFUNCTION("""COMPUTED_VALUE"""),"PR057")</f>
        <v>PR057</v>
      </c>
      <c r="H599" s="1" t="str">
        <f>IFERROR(__xludf.DUMMYFUNCTION("""COMPUTED_VALUE"""),"VD027")</f>
        <v>VD027</v>
      </c>
      <c r="I599" s="1">
        <f>IFERROR(__xludf.DUMMYFUNCTION("""COMPUTED_VALUE"""),18.0)</f>
        <v>18</v>
      </c>
      <c r="J599" s="1">
        <f>IFERROR(__xludf.DUMMYFUNCTION("""COMPUTED_VALUE"""),1666.75)</f>
        <v>1666.75</v>
      </c>
      <c r="K599" s="1">
        <f>IFERROR(__xludf.DUMMYFUNCTION("""COMPUTED_VALUE"""),1666.75)</f>
        <v>1666.75</v>
      </c>
    </row>
    <row r="600">
      <c r="A600" s="1">
        <f>IFERROR(__xludf.DUMMYFUNCTION("""COMPUTED_VALUE"""),1000.0)</f>
        <v>1000</v>
      </c>
      <c r="B600" s="1">
        <f>IFERROR(__xludf.DUMMYFUNCTION("""COMPUTED_VALUE"""),183886.0)</f>
        <v>183886</v>
      </c>
      <c r="C600" s="1">
        <f>IFERROR(__xludf.DUMMYFUNCTION("""COMPUTED_VALUE"""),2026.0)</f>
        <v>2026</v>
      </c>
      <c r="D600" s="1">
        <f>IFERROR(__xludf.DUMMYFUNCTION("""COMPUTED_VALUE"""),46273.0)</f>
        <v>46273</v>
      </c>
      <c r="E600" s="1" t="str">
        <f>IFERROR(__xludf.DUMMYFUNCTION("""COMPUTED_VALUE"""),"VF")</f>
        <v>VF</v>
      </c>
      <c r="F600" s="1">
        <f>IFERROR(__xludf.DUMMYFUNCTION("""COMPUTED_VALUE"""),1.0)</f>
        <v>1</v>
      </c>
      <c r="G600" s="1" t="str">
        <f>IFERROR(__xludf.DUMMYFUNCTION("""COMPUTED_VALUE"""),"PR057")</f>
        <v>PR057</v>
      </c>
      <c r="H600" s="1" t="str">
        <f>IFERROR(__xludf.DUMMYFUNCTION("""COMPUTED_VALUE"""),"VD038")</f>
        <v>VD038</v>
      </c>
      <c r="I600" s="1">
        <f>IFERROR(__xludf.DUMMYFUNCTION("""COMPUTED_VALUE"""),8.0)</f>
        <v>8</v>
      </c>
      <c r="J600" s="1">
        <f>IFERROR(__xludf.DUMMYFUNCTION("""COMPUTED_VALUE"""),733.58)</f>
        <v>733.58</v>
      </c>
      <c r="K600" s="1">
        <f>IFERROR(__xludf.DUMMYFUNCTION("""COMPUTED_VALUE"""),733.58)</f>
        <v>733.58</v>
      </c>
    </row>
    <row r="601">
      <c r="A601" s="1">
        <f>IFERROR(__xludf.DUMMYFUNCTION("""COMPUTED_VALUE"""),2000.0)</f>
        <v>2000</v>
      </c>
      <c r="B601" s="1">
        <f>IFERROR(__xludf.DUMMYFUNCTION("""COMPUTED_VALUE"""),183886.0)</f>
        <v>183886</v>
      </c>
      <c r="C601" s="1">
        <f>IFERROR(__xludf.DUMMYFUNCTION("""COMPUTED_VALUE"""),2026.0)</f>
        <v>2026</v>
      </c>
      <c r="D601" s="1">
        <f>IFERROR(__xludf.DUMMYFUNCTION("""COMPUTED_VALUE"""),46273.0)</f>
        <v>46273</v>
      </c>
      <c r="E601" s="1" t="str">
        <f>IFERROR(__xludf.DUMMYFUNCTION("""COMPUTED_VALUE"""),"VF")</f>
        <v>VF</v>
      </c>
      <c r="F601" s="1">
        <f>IFERROR(__xludf.DUMMYFUNCTION("""COMPUTED_VALUE"""),2.0)</f>
        <v>2</v>
      </c>
      <c r="G601" s="1" t="str">
        <f>IFERROR(__xludf.DUMMYFUNCTION("""COMPUTED_VALUE"""),"PR020")</f>
        <v>PR020</v>
      </c>
      <c r="H601" s="1" t="str">
        <f>IFERROR(__xludf.DUMMYFUNCTION("""COMPUTED_VALUE"""),"VD021")</f>
        <v>VD021</v>
      </c>
      <c r="I601" s="1">
        <f>IFERROR(__xludf.DUMMYFUNCTION("""COMPUTED_VALUE"""),2.0)</f>
        <v>2</v>
      </c>
      <c r="J601" s="1">
        <f>IFERROR(__xludf.DUMMYFUNCTION("""COMPUTED_VALUE"""),617.79)</f>
        <v>617.79</v>
      </c>
      <c r="K601" s="1">
        <f>IFERROR(__xludf.DUMMYFUNCTION("""COMPUTED_VALUE"""),617.79)</f>
        <v>617.79</v>
      </c>
    </row>
    <row r="602">
      <c r="A602" s="1">
        <f>IFERROR(__xludf.DUMMYFUNCTION("""COMPUTED_VALUE"""),1000.0)</f>
        <v>1000</v>
      </c>
      <c r="B602" s="1">
        <f>IFERROR(__xludf.DUMMYFUNCTION("""COMPUTED_VALUE"""),183887.0)</f>
        <v>183887</v>
      </c>
      <c r="C602" s="1">
        <f>IFERROR(__xludf.DUMMYFUNCTION("""COMPUTED_VALUE"""),2026.0)</f>
        <v>2026</v>
      </c>
      <c r="D602" s="1">
        <f>IFERROR(__xludf.DUMMYFUNCTION("""COMPUTED_VALUE"""),46273.0)</f>
        <v>46273</v>
      </c>
      <c r="E602" s="1" t="str">
        <f>IFERROR(__xludf.DUMMYFUNCTION("""COMPUTED_VALUE"""),"VF")</f>
        <v>VF</v>
      </c>
      <c r="F602" s="1">
        <f>IFERROR(__xludf.DUMMYFUNCTION("""COMPUTED_VALUE"""),1.0)</f>
        <v>1</v>
      </c>
      <c r="G602" s="1" t="str">
        <f>IFERROR(__xludf.DUMMYFUNCTION("""COMPUTED_VALUE"""),"PR007")</f>
        <v>PR007</v>
      </c>
      <c r="H602" s="1" t="str">
        <f>IFERROR(__xludf.DUMMYFUNCTION("""COMPUTED_VALUE"""),"VD033")</f>
        <v>VD033</v>
      </c>
      <c r="I602" s="1">
        <f>IFERROR(__xludf.DUMMYFUNCTION("""COMPUTED_VALUE"""),8.0)</f>
        <v>8</v>
      </c>
      <c r="J602" s="1">
        <f>IFERROR(__xludf.DUMMYFUNCTION("""COMPUTED_VALUE"""),749.05)</f>
        <v>749.05</v>
      </c>
      <c r="K602" s="1">
        <f>IFERROR(__xludf.DUMMYFUNCTION("""COMPUTED_VALUE"""),749.05)</f>
        <v>749.05</v>
      </c>
    </row>
    <row r="603">
      <c r="A603" s="1">
        <f>IFERROR(__xludf.DUMMYFUNCTION("""COMPUTED_VALUE"""),2000.0)</f>
        <v>2000</v>
      </c>
      <c r="B603" s="1">
        <f>IFERROR(__xludf.DUMMYFUNCTION("""COMPUTED_VALUE"""),183888.0)</f>
        <v>183888</v>
      </c>
      <c r="C603" s="1">
        <f>IFERROR(__xludf.DUMMYFUNCTION("""COMPUTED_VALUE"""),2026.0)</f>
        <v>2026</v>
      </c>
      <c r="D603" s="1">
        <f>IFERROR(__xludf.DUMMYFUNCTION("""COMPUTED_VALUE"""),46273.0)</f>
        <v>46273</v>
      </c>
      <c r="E603" s="1" t="str">
        <f>IFERROR(__xludf.DUMMYFUNCTION("""COMPUTED_VALUE"""),"VF")</f>
        <v>VF</v>
      </c>
      <c r="F603" s="1">
        <f>IFERROR(__xludf.DUMMYFUNCTION("""COMPUTED_VALUE"""),1.0)</f>
        <v>1</v>
      </c>
      <c r="G603" s="1" t="str">
        <f>IFERROR(__xludf.DUMMYFUNCTION("""COMPUTED_VALUE"""),"PR040")</f>
        <v>PR040</v>
      </c>
      <c r="H603" s="1" t="str">
        <f>IFERROR(__xludf.DUMMYFUNCTION("""COMPUTED_VALUE"""),"VD023")</f>
        <v>VD023</v>
      </c>
      <c r="I603" s="1">
        <f>IFERROR(__xludf.DUMMYFUNCTION("""COMPUTED_VALUE"""),4.0)</f>
        <v>4</v>
      </c>
      <c r="J603" s="1">
        <f>IFERROR(__xludf.DUMMYFUNCTION("""COMPUTED_VALUE"""),308.0)</f>
        <v>308</v>
      </c>
      <c r="K603" s="1">
        <f>IFERROR(__xludf.DUMMYFUNCTION("""COMPUTED_VALUE"""),308.0)</f>
        <v>308</v>
      </c>
    </row>
    <row r="604">
      <c r="A604" s="1">
        <f>IFERROR(__xludf.DUMMYFUNCTION("""COMPUTED_VALUE"""),1000.0)</f>
        <v>1000</v>
      </c>
      <c r="B604" s="1">
        <f>IFERROR(__xludf.DUMMYFUNCTION("""COMPUTED_VALUE"""),183888.0)</f>
        <v>183888</v>
      </c>
      <c r="C604" s="1">
        <f>IFERROR(__xludf.DUMMYFUNCTION("""COMPUTED_VALUE"""),2026.0)</f>
        <v>2026</v>
      </c>
      <c r="D604" s="1">
        <f>IFERROR(__xludf.DUMMYFUNCTION("""COMPUTED_VALUE"""),46273.0)</f>
        <v>46273</v>
      </c>
      <c r="E604" s="1" t="str">
        <f>IFERROR(__xludf.DUMMYFUNCTION("""COMPUTED_VALUE"""),"VF")</f>
        <v>VF</v>
      </c>
      <c r="F604" s="1">
        <f>IFERROR(__xludf.DUMMYFUNCTION("""COMPUTED_VALUE"""),2.0)</f>
        <v>2</v>
      </c>
      <c r="G604" s="1" t="str">
        <f>IFERROR(__xludf.DUMMYFUNCTION("""COMPUTED_VALUE"""),"PR024")</f>
        <v>PR024</v>
      </c>
      <c r="H604" s="1" t="str">
        <f>IFERROR(__xludf.DUMMYFUNCTION("""COMPUTED_VALUE"""),"VD018")</f>
        <v>VD018</v>
      </c>
      <c r="I604" s="1">
        <f>IFERROR(__xludf.DUMMYFUNCTION("""COMPUTED_VALUE"""),2.0)</f>
        <v>2</v>
      </c>
      <c r="J604" s="1">
        <f>IFERROR(__xludf.DUMMYFUNCTION("""COMPUTED_VALUE"""),535.39)</f>
        <v>535.39</v>
      </c>
      <c r="K604" s="1">
        <f>IFERROR(__xludf.DUMMYFUNCTION("""COMPUTED_VALUE"""),535.39)</f>
        <v>535.39</v>
      </c>
    </row>
    <row r="605">
      <c r="A605" s="1">
        <f>IFERROR(__xludf.DUMMYFUNCTION("""COMPUTED_VALUE"""),1000.0)</f>
        <v>1000</v>
      </c>
      <c r="B605" s="1">
        <f>IFERROR(__xludf.DUMMYFUNCTION("""COMPUTED_VALUE"""),183888.0)</f>
        <v>183888</v>
      </c>
      <c r="C605" s="1">
        <f>IFERROR(__xludf.DUMMYFUNCTION("""COMPUTED_VALUE"""),2026.0)</f>
        <v>2026</v>
      </c>
      <c r="D605" s="1">
        <f>IFERROR(__xludf.DUMMYFUNCTION("""COMPUTED_VALUE"""),46273.0)</f>
        <v>46273</v>
      </c>
      <c r="E605" s="1" t="str">
        <f>IFERROR(__xludf.DUMMYFUNCTION("""COMPUTED_VALUE"""),"VF")</f>
        <v>VF</v>
      </c>
      <c r="F605" s="1">
        <f>IFERROR(__xludf.DUMMYFUNCTION("""COMPUTED_VALUE"""),3.0)</f>
        <v>3</v>
      </c>
      <c r="G605" s="1" t="str">
        <f>IFERROR(__xludf.DUMMYFUNCTION("""COMPUTED_VALUE"""),"PR004")</f>
        <v>PR004</v>
      </c>
      <c r="H605" s="1" t="str">
        <f>IFERROR(__xludf.DUMMYFUNCTION("""COMPUTED_VALUE"""),"VD031")</f>
        <v>VD031</v>
      </c>
      <c r="I605" s="1">
        <f>IFERROR(__xludf.DUMMYFUNCTION("""COMPUTED_VALUE"""),4.0)</f>
        <v>4</v>
      </c>
      <c r="J605" s="1">
        <f>IFERROR(__xludf.DUMMYFUNCTION("""COMPUTED_VALUE"""),603.2)</f>
        <v>603.2</v>
      </c>
      <c r="K605" s="1">
        <f>IFERROR(__xludf.DUMMYFUNCTION("""COMPUTED_VALUE"""),603.2)</f>
        <v>603.2</v>
      </c>
    </row>
    <row r="606">
      <c r="A606" s="1">
        <f>IFERROR(__xludf.DUMMYFUNCTION("""COMPUTED_VALUE"""),1000.0)</f>
        <v>1000</v>
      </c>
      <c r="B606" s="1">
        <f>IFERROR(__xludf.DUMMYFUNCTION("""COMPUTED_VALUE"""),183889.0)</f>
        <v>183889</v>
      </c>
      <c r="C606" s="1">
        <f>IFERROR(__xludf.DUMMYFUNCTION("""COMPUTED_VALUE"""),2026.0)</f>
        <v>2026</v>
      </c>
      <c r="D606" s="1">
        <f>IFERROR(__xludf.DUMMYFUNCTION("""COMPUTED_VALUE"""),46273.0)</f>
        <v>46273</v>
      </c>
      <c r="E606" s="1" t="str">
        <f>IFERROR(__xludf.DUMMYFUNCTION("""COMPUTED_VALUE"""),"VF")</f>
        <v>VF</v>
      </c>
      <c r="F606" s="1">
        <f>IFERROR(__xludf.DUMMYFUNCTION("""COMPUTED_VALUE"""),1.0)</f>
        <v>1</v>
      </c>
      <c r="G606" s="1" t="str">
        <f>IFERROR(__xludf.DUMMYFUNCTION("""COMPUTED_VALUE"""),"PR016")</f>
        <v>PR016</v>
      </c>
      <c r="H606" s="1" t="str">
        <f>IFERROR(__xludf.DUMMYFUNCTION("""COMPUTED_VALUE"""),"VD010")</f>
        <v>VD010</v>
      </c>
      <c r="I606" s="1">
        <f>IFERROR(__xludf.DUMMYFUNCTION("""COMPUTED_VALUE"""),8.0)</f>
        <v>8</v>
      </c>
      <c r="J606" s="1">
        <f>IFERROR(__xludf.DUMMYFUNCTION("""COMPUTED_VALUE"""),221.7)</f>
        <v>221.7</v>
      </c>
      <c r="K606" s="1">
        <f>IFERROR(__xludf.DUMMYFUNCTION("""COMPUTED_VALUE"""),221.7)</f>
        <v>221.7</v>
      </c>
    </row>
    <row r="607">
      <c r="A607" s="1">
        <f>IFERROR(__xludf.DUMMYFUNCTION("""COMPUTED_VALUE"""),1000.0)</f>
        <v>1000</v>
      </c>
      <c r="B607" s="1">
        <f>IFERROR(__xludf.DUMMYFUNCTION("""COMPUTED_VALUE"""),183890.0)</f>
        <v>183890</v>
      </c>
      <c r="C607" s="1">
        <f>IFERROR(__xludf.DUMMYFUNCTION("""COMPUTED_VALUE"""),2026.0)</f>
        <v>2026</v>
      </c>
      <c r="D607" s="1">
        <f>IFERROR(__xludf.DUMMYFUNCTION("""COMPUTED_VALUE"""),46272.0)</f>
        <v>46272</v>
      </c>
      <c r="E607" s="1" t="str">
        <f>IFERROR(__xludf.DUMMYFUNCTION("""COMPUTED_VALUE"""),"VF")</f>
        <v>VF</v>
      </c>
      <c r="F607" s="1">
        <f>IFERROR(__xludf.DUMMYFUNCTION("""COMPUTED_VALUE"""),1.0)</f>
        <v>1</v>
      </c>
      <c r="G607" s="1" t="str">
        <f>IFERROR(__xludf.DUMMYFUNCTION("""COMPUTED_VALUE"""),"PR029")</f>
        <v>PR029</v>
      </c>
      <c r="H607" s="1" t="str">
        <f>IFERROR(__xludf.DUMMYFUNCTION("""COMPUTED_VALUE"""),"VD030")</f>
        <v>VD030</v>
      </c>
      <c r="I607" s="1">
        <f>IFERROR(__xludf.DUMMYFUNCTION("""COMPUTED_VALUE"""),5.0)</f>
        <v>5</v>
      </c>
      <c r="J607" s="1">
        <f>IFERROR(__xludf.DUMMYFUNCTION("""COMPUTED_VALUE"""),1287.75)</f>
        <v>1287.75</v>
      </c>
      <c r="K607" s="1">
        <f>IFERROR(__xludf.DUMMYFUNCTION("""COMPUTED_VALUE"""),1287.75)</f>
        <v>1287.75</v>
      </c>
    </row>
    <row r="608">
      <c r="A608" s="1">
        <f>IFERROR(__xludf.DUMMYFUNCTION("""COMPUTED_VALUE"""),1000.0)</f>
        <v>1000</v>
      </c>
      <c r="B608" s="1">
        <f>IFERROR(__xludf.DUMMYFUNCTION("""COMPUTED_VALUE"""),183891.0)</f>
        <v>183891</v>
      </c>
      <c r="C608" s="1">
        <f>IFERROR(__xludf.DUMMYFUNCTION("""COMPUTED_VALUE"""),2026.0)</f>
        <v>2026</v>
      </c>
      <c r="D608" s="1">
        <f>IFERROR(__xludf.DUMMYFUNCTION("""COMPUTED_VALUE"""),46272.0)</f>
        <v>46272</v>
      </c>
      <c r="E608" s="1" t="str">
        <f>IFERROR(__xludf.DUMMYFUNCTION("""COMPUTED_VALUE"""),"VF")</f>
        <v>VF</v>
      </c>
      <c r="F608" s="1">
        <f>IFERROR(__xludf.DUMMYFUNCTION("""COMPUTED_VALUE"""),1.0)</f>
        <v>1</v>
      </c>
      <c r="G608" s="1" t="str">
        <f>IFERROR(__xludf.DUMMYFUNCTION("""COMPUTED_VALUE"""),"PR007")</f>
        <v>PR007</v>
      </c>
      <c r="H608" s="1" t="str">
        <f>IFERROR(__xludf.DUMMYFUNCTION("""COMPUTED_VALUE"""),"VD046")</f>
        <v>VD046</v>
      </c>
      <c r="I608" s="1">
        <f>IFERROR(__xludf.DUMMYFUNCTION("""COMPUTED_VALUE"""),9.0)</f>
        <v>9</v>
      </c>
      <c r="J608" s="1">
        <f>IFERROR(__xludf.DUMMYFUNCTION("""COMPUTED_VALUE"""),804.02)</f>
        <v>804.02</v>
      </c>
      <c r="K608" s="1">
        <f>IFERROR(__xludf.DUMMYFUNCTION("""COMPUTED_VALUE"""),804.02)</f>
        <v>804.02</v>
      </c>
    </row>
    <row r="609">
      <c r="A609" s="1">
        <f>IFERROR(__xludf.DUMMYFUNCTION("""COMPUTED_VALUE"""),1000.0)</f>
        <v>1000</v>
      </c>
      <c r="B609" s="1">
        <f>IFERROR(__xludf.DUMMYFUNCTION("""COMPUTED_VALUE"""),183892.0)</f>
        <v>183892</v>
      </c>
      <c r="C609" s="1">
        <f>IFERROR(__xludf.DUMMYFUNCTION("""COMPUTED_VALUE"""),2026.0)</f>
        <v>2026</v>
      </c>
      <c r="D609" s="1">
        <f>IFERROR(__xludf.DUMMYFUNCTION("""COMPUTED_VALUE"""),46271.0)</f>
        <v>46271</v>
      </c>
      <c r="E609" s="1" t="str">
        <f>IFERROR(__xludf.DUMMYFUNCTION("""COMPUTED_VALUE"""),"VF")</f>
        <v>VF</v>
      </c>
      <c r="F609" s="1">
        <f>IFERROR(__xludf.DUMMYFUNCTION("""COMPUTED_VALUE"""),1.0)</f>
        <v>1</v>
      </c>
      <c r="G609" s="1" t="str">
        <f>IFERROR(__xludf.DUMMYFUNCTION("""COMPUTED_VALUE"""),"PR049")</f>
        <v>PR049</v>
      </c>
      <c r="H609" s="1" t="str">
        <f>IFERROR(__xludf.DUMMYFUNCTION("""COMPUTED_VALUE"""),"VD032")</f>
        <v>VD032</v>
      </c>
      <c r="I609" s="1">
        <f>IFERROR(__xludf.DUMMYFUNCTION("""COMPUTED_VALUE"""),14.0)</f>
        <v>14</v>
      </c>
      <c r="J609" s="1">
        <f>IFERROR(__xludf.DUMMYFUNCTION("""COMPUTED_VALUE"""),492.84)</f>
        <v>492.84</v>
      </c>
      <c r="K609" s="1">
        <f>IFERROR(__xludf.DUMMYFUNCTION("""COMPUTED_VALUE"""),492.84)</f>
        <v>492.84</v>
      </c>
    </row>
    <row r="610">
      <c r="A610" s="1">
        <f>IFERROR(__xludf.DUMMYFUNCTION("""COMPUTED_VALUE"""),1000.0)</f>
        <v>1000</v>
      </c>
      <c r="B610" s="1">
        <f>IFERROR(__xludf.DUMMYFUNCTION("""COMPUTED_VALUE"""),183893.0)</f>
        <v>183893</v>
      </c>
      <c r="C610" s="1">
        <f>IFERROR(__xludf.DUMMYFUNCTION("""COMPUTED_VALUE"""),2026.0)</f>
        <v>2026</v>
      </c>
      <c r="D610" s="1">
        <f>IFERROR(__xludf.DUMMYFUNCTION("""COMPUTED_VALUE"""),46271.0)</f>
        <v>46271</v>
      </c>
      <c r="E610" s="1" t="str">
        <f>IFERROR(__xludf.DUMMYFUNCTION("""COMPUTED_VALUE"""),"VF")</f>
        <v>VF</v>
      </c>
      <c r="F610" s="1">
        <f>IFERROR(__xludf.DUMMYFUNCTION("""COMPUTED_VALUE"""),1.0)</f>
        <v>1</v>
      </c>
      <c r="G610" s="1" t="str">
        <f>IFERROR(__xludf.DUMMYFUNCTION("""COMPUTED_VALUE"""),"PR039")</f>
        <v>PR039</v>
      </c>
      <c r="H610" s="1" t="str">
        <f>IFERROR(__xludf.DUMMYFUNCTION("""COMPUTED_VALUE"""),"VD035")</f>
        <v>VD035</v>
      </c>
      <c r="I610" s="1">
        <f>IFERROR(__xludf.DUMMYFUNCTION("""COMPUTED_VALUE"""),16.0)</f>
        <v>16</v>
      </c>
      <c r="J610" s="1">
        <f>IFERROR(__xludf.DUMMYFUNCTION("""COMPUTED_VALUE"""),2452.8)</f>
        <v>2452.8</v>
      </c>
      <c r="K610" s="1">
        <f>IFERROR(__xludf.DUMMYFUNCTION("""COMPUTED_VALUE"""),2452.8)</f>
        <v>2452.8</v>
      </c>
    </row>
    <row r="611">
      <c r="A611" s="1">
        <f>IFERROR(__xludf.DUMMYFUNCTION("""COMPUTED_VALUE"""),1000.0)</f>
        <v>1000</v>
      </c>
      <c r="B611" s="1">
        <f>IFERROR(__xludf.DUMMYFUNCTION("""COMPUTED_VALUE"""),183893.0)</f>
        <v>183893</v>
      </c>
      <c r="C611" s="1">
        <f>IFERROR(__xludf.DUMMYFUNCTION("""COMPUTED_VALUE"""),2026.0)</f>
        <v>2026</v>
      </c>
      <c r="D611" s="1">
        <f>IFERROR(__xludf.DUMMYFUNCTION("""COMPUTED_VALUE"""),46271.0)</f>
        <v>46271</v>
      </c>
      <c r="E611" s="1" t="str">
        <f>IFERROR(__xludf.DUMMYFUNCTION("""COMPUTED_VALUE"""),"VF")</f>
        <v>VF</v>
      </c>
      <c r="F611" s="1">
        <f>IFERROR(__xludf.DUMMYFUNCTION("""COMPUTED_VALUE"""),2.0)</f>
        <v>2</v>
      </c>
      <c r="G611" s="1" t="str">
        <f>IFERROR(__xludf.DUMMYFUNCTION("""COMPUTED_VALUE"""),"PR022")</f>
        <v>PR022</v>
      </c>
      <c r="H611" s="1" t="str">
        <f>IFERROR(__xludf.DUMMYFUNCTION("""COMPUTED_VALUE"""),"VD022")</f>
        <v>VD022</v>
      </c>
      <c r="I611" s="1">
        <f>IFERROR(__xludf.DUMMYFUNCTION("""COMPUTED_VALUE"""),2.0)</f>
        <v>2</v>
      </c>
      <c r="J611" s="1">
        <f>IFERROR(__xludf.DUMMYFUNCTION("""COMPUTED_VALUE"""),606.0)</f>
        <v>606</v>
      </c>
      <c r="K611" s="1">
        <f>IFERROR(__xludf.DUMMYFUNCTION("""COMPUTED_VALUE"""),606.0)</f>
        <v>606</v>
      </c>
    </row>
    <row r="612">
      <c r="A612" s="1">
        <f>IFERROR(__xludf.DUMMYFUNCTION("""COMPUTED_VALUE"""),1000.0)</f>
        <v>1000</v>
      </c>
      <c r="B612" s="1">
        <f>IFERROR(__xludf.DUMMYFUNCTION("""COMPUTED_VALUE"""),183893.0)</f>
        <v>183893</v>
      </c>
      <c r="C612" s="1">
        <f>IFERROR(__xludf.DUMMYFUNCTION("""COMPUTED_VALUE"""),2026.0)</f>
        <v>2026</v>
      </c>
      <c r="D612" s="1">
        <f>IFERROR(__xludf.DUMMYFUNCTION("""COMPUTED_VALUE"""),46271.0)</f>
        <v>46271</v>
      </c>
      <c r="E612" s="1" t="str">
        <f>IFERROR(__xludf.DUMMYFUNCTION("""COMPUTED_VALUE"""),"VF")</f>
        <v>VF</v>
      </c>
      <c r="F612" s="1">
        <f>IFERROR(__xludf.DUMMYFUNCTION("""COMPUTED_VALUE"""),3.0)</f>
        <v>3</v>
      </c>
      <c r="G612" s="1" t="str">
        <f>IFERROR(__xludf.DUMMYFUNCTION("""COMPUTED_VALUE"""),"PR004")</f>
        <v>PR004</v>
      </c>
      <c r="H612" s="1" t="str">
        <f>IFERROR(__xludf.DUMMYFUNCTION("""COMPUTED_VALUE"""),"VD023")</f>
        <v>VD023</v>
      </c>
      <c r="I612" s="1">
        <f>IFERROR(__xludf.DUMMYFUNCTION("""COMPUTED_VALUE"""),2.0)</f>
        <v>2</v>
      </c>
      <c r="J612" s="1">
        <f>IFERROR(__xludf.DUMMYFUNCTION("""COMPUTED_VALUE"""),319.0)</f>
        <v>319</v>
      </c>
      <c r="K612" s="1">
        <f>IFERROR(__xludf.DUMMYFUNCTION("""COMPUTED_VALUE"""),319.0)</f>
        <v>319</v>
      </c>
    </row>
    <row r="613">
      <c r="A613" s="1">
        <f>IFERROR(__xludf.DUMMYFUNCTION("""COMPUTED_VALUE"""),2000.0)</f>
        <v>2000</v>
      </c>
      <c r="B613" s="1">
        <f>IFERROR(__xludf.DUMMYFUNCTION("""COMPUTED_VALUE"""),183894.0)</f>
        <v>183894</v>
      </c>
      <c r="C613" s="1">
        <f>IFERROR(__xludf.DUMMYFUNCTION("""COMPUTED_VALUE"""),2026.0)</f>
        <v>2026</v>
      </c>
      <c r="D613" s="1">
        <f>IFERROR(__xludf.DUMMYFUNCTION("""COMPUTED_VALUE"""),46271.0)</f>
        <v>46271</v>
      </c>
      <c r="E613" s="1" t="str">
        <f>IFERROR(__xludf.DUMMYFUNCTION("""COMPUTED_VALUE"""),"VF")</f>
        <v>VF</v>
      </c>
      <c r="F613" s="1">
        <f>IFERROR(__xludf.DUMMYFUNCTION("""COMPUTED_VALUE"""),1.0)</f>
        <v>1</v>
      </c>
      <c r="G613" s="1" t="str">
        <f>IFERROR(__xludf.DUMMYFUNCTION("""COMPUTED_VALUE"""),"PR011")</f>
        <v>PR011</v>
      </c>
      <c r="H613" s="1" t="str">
        <f>IFERROR(__xludf.DUMMYFUNCTION("""COMPUTED_VALUE"""),"VD049")</f>
        <v>VD049</v>
      </c>
      <c r="I613" s="1">
        <f>IFERROR(__xludf.DUMMYFUNCTION("""COMPUTED_VALUE"""),9.0)</f>
        <v>9</v>
      </c>
      <c r="J613" s="1">
        <f>IFERROR(__xludf.DUMMYFUNCTION("""COMPUTED_VALUE"""),460.09)</f>
        <v>460.09</v>
      </c>
      <c r="K613" s="1">
        <f>IFERROR(__xludf.DUMMYFUNCTION("""COMPUTED_VALUE"""),460.09)</f>
        <v>460.09</v>
      </c>
    </row>
    <row r="614">
      <c r="A614" s="1">
        <f>IFERROR(__xludf.DUMMYFUNCTION("""COMPUTED_VALUE"""),1000.0)</f>
        <v>1000</v>
      </c>
      <c r="B614" s="1">
        <f>IFERROR(__xludf.DUMMYFUNCTION("""COMPUTED_VALUE"""),183895.0)</f>
        <v>183895</v>
      </c>
      <c r="C614" s="1">
        <f>IFERROR(__xludf.DUMMYFUNCTION("""COMPUTED_VALUE"""),2026.0)</f>
        <v>2026</v>
      </c>
      <c r="D614" s="1">
        <f>IFERROR(__xludf.DUMMYFUNCTION("""COMPUTED_VALUE"""),46271.0)</f>
        <v>46271</v>
      </c>
      <c r="E614" s="1" t="str">
        <f>IFERROR(__xludf.DUMMYFUNCTION("""COMPUTED_VALUE"""),"VF")</f>
        <v>VF</v>
      </c>
      <c r="F614" s="1">
        <f>IFERROR(__xludf.DUMMYFUNCTION("""COMPUTED_VALUE"""),1.0)</f>
        <v>1</v>
      </c>
      <c r="G614" s="1" t="str">
        <f>IFERROR(__xludf.DUMMYFUNCTION("""COMPUTED_VALUE"""),"PR052")</f>
        <v>PR052</v>
      </c>
      <c r="H614" s="1" t="str">
        <f>IFERROR(__xludf.DUMMYFUNCTION("""COMPUTED_VALUE"""),"VD044")</f>
        <v>VD044</v>
      </c>
      <c r="I614" s="1">
        <f>IFERROR(__xludf.DUMMYFUNCTION("""COMPUTED_VALUE"""),20.0)</f>
        <v>20</v>
      </c>
      <c r="J614" s="1">
        <f>IFERROR(__xludf.DUMMYFUNCTION("""COMPUTED_VALUE"""),1077.84)</f>
        <v>1077.84</v>
      </c>
      <c r="K614" s="1">
        <f>IFERROR(__xludf.DUMMYFUNCTION("""COMPUTED_VALUE"""),1077.84)</f>
        <v>1077.84</v>
      </c>
    </row>
    <row r="615">
      <c r="A615" s="1">
        <f>IFERROR(__xludf.DUMMYFUNCTION("""COMPUTED_VALUE"""),1000.0)</f>
        <v>1000</v>
      </c>
      <c r="B615" s="1">
        <f>IFERROR(__xludf.DUMMYFUNCTION("""COMPUTED_VALUE"""),183896.0)</f>
        <v>183896</v>
      </c>
      <c r="C615" s="1">
        <f>IFERROR(__xludf.DUMMYFUNCTION("""COMPUTED_VALUE"""),2026.0)</f>
        <v>2026</v>
      </c>
      <c r="D615" s="1">
        <f>IFERROR(__xludf.DUMMYFUNCTION("""COMPUTED_VALUE"""),46270.0)</f>
        <v>46270</v>
      </c>
      <c r="E615" s="1" t="str">
        <f>IFERROR(__xludf.DUMMYFUNCTION("""COMPUTED_VALUE"""),"VF")</f>
        <v>VF</v>
      </c>
      <c r="F615" s="1">
        <f>IFERROR(__xludf.DUMMYFUNCTION("""COMPUTED_VALUE"""),1.0)</f>
        <v>1</v>
      </c>
      <c r="G615" s="1" t="str">
        <f>IFERROR(__xludf.DUMMYFUNCTION("""COMPUTED_VALUE"""),"PR001")</f>
        <v>PR001</v>
      </c>
      <c r="H615" s="1" t="str">
        <f>IFERROR(__xludf.DUMMYFUNCTION("""COMPUTED_VALUE"""),"VD039")</f>
        <v>VD039</v>
      </c>
      <c r="I615" s="1">
        <f>IFERROR(__xludf.DUMMYFUNCTION("""COMPUTED_VALUE"""),5.0)</f>
        <v>5</v>
      </c>
      <c r="J615" s="1">
        <f>IFERROR(__xludf.DUMMYFUNCTION("""COMPUTED_VALUE"""),345.98)</f>
        <v>345.98</v>
      </c>
      <c r="K615" s="1">
        <f>IFERROR(__xludf.DUMMYFUNCTION("""COMPUTED_VALUE"""),345.98)</f>
        <v>345.98</v>
      </c>
    </row>
    <row r="616">
      <c r="A616" s="1">
        <f>IFERROR(__xludf.DUMMYFUNCTION("""COMPUTED_VALUE"""),1000.0)</f>
        <v>1000</v>
      </c>
      <c r="B616" s="1">
        <f>IFERROR(__xludf.DUMMYFUNCTION("""COMPUTED_VALUE"""),183897.0)</f>
        <v>183897</v>
      </c>
      <c r="C616" s="1">
        <f>IFERROR(__xludf.DUMMYFUNCTION("""COMPUTED_VALUE"""),2026.0)</f>
        <v>2026</v>
      </c>
      <c r="D616" s="1">
        <f>IFERROR(__xludf.DUMMYFUNCTION("""COMPUTED_VALUE"""),46270.0)</f>
        <v>46270</v>
      </c>
      <c r="E616" s="1" t="str">
        <f>IFERROR(__xludf.DUMMYFUNCTION("""COMPUTED_VALUE"""),"VF")</f>
        <v>VF</v>
      </c>
      <c r="F616" s="1">
        <f>IFERROR(__xludf.DUMMYFUNCTION("""COMPUTED_VALUE"""),1.0)</f>
        <v>1</v>
      </c>
      <c r="G616" s="1" t="str">
        <f>IFERROR(__xludf.DUMMYFUNCTION("""COMPUTED_VALUE"""),"PR051")</f>
        <v>PR051</v>
      </c>
      <c r="H616" s="1" t="str">
        <f>IFERROR(__xludf.DUMMYFUNCTION("""COMPUTED_VALUE"""),"VD031")</f>
        <v>VD031</v>
      </c>
      <c r="I616" s="1">
        <f>IFERROR(__xludf.DUMMYFUNCTION("""COMPUTED_VALUE"""),5.0)</f>
        <v>5</v>
      </c>
      <c r="J616" s="1">
        <f>IFERROR(__xludf.DUMMYFUNCTION("""COMPUTED_VALUE"""),164.5)</f>
        <v>164.5</v>
      </c>
      <c r="K616" s="1">
        <f>IFERROR(__xludf.DUMMYFUNCTION("""COMPUTED_VALUE"""),164.5)</f>
        <v>164.5</v>
      </c>
    </row>
    <row r="617">
      <c r="A617" s="1">
        <f>IFERROR(__xludf.DUMMYFUNCTION("""COMPUTED_VALUE"""),1000.0)</f>
        <v>1000</v>
      </c>
      <c r="B617" s="1">
        <f>IFERROR(__xludf.DUMMYFUNCTION("""COMPUTED_VALUE"""),183897.0)</f>
        <v>183897</v>
      </c>
      <c r="C617" s="1">
        <f>IFERROR(__xludf.DUMMYFUNCTION("""COMPUTED_VALUE"""),2026.0)</f>
        <v>2026</v>
      </c>
      <c r="D617" s="1">
        <f>IFERROR(__xludf.DUMMYFUNCTION("""COMPUTED_VALUE"""),46270.0)</f>
        <v>46270</v>
      </c>
      <c r="E617" s="1" t="str">
        <f>IFERROR(__xludf.DUMMYFUNCTION("""COMPUTED_VALUE"""),"VF")</f>
        <v>VF</v>
      </c>
      <c r="F617" s="1">
        <f>IFERROR(__xludf.DUMMYFUNCTION("""COMPUTED_VALUE"""),2.0)</f>
        <v>2</v>
      </c>
      <c r="G617" s="1" t="str">
        <f>IFERROR(__xludf.DUMMYFUNCTION("""COMPUTED_VALUE"""),"PR007")</f>
        <v>PR007</v>
      </c>
      <c r="H617" s="1" t="str">
        <f>IFERROR(__xludf.DUMMYFUNCTION("""COMPUTED_VALUE"""),"VD023")</f>
        <v>VD023</v>
      </c>
      <c r="I617" s="1">
        <f>IFERROR(__xludf.DUMMYFUNCTION("""COMPUTED_VALUE"""),4.0)</f>
        <v>4</v>
      </c>
      <c r="J617" s="1">
        <f>IFERROR(__xludf.DUMMYFUNCTION("""COMPUTED_VALUE"""),367.65)</f>
        <v>367.65</v>
      </c>
      <c r="K617" s="1">
        <f>IFERROR(__xludf.DUMMYFUNCTION("""COMPUTED_VALUE"""),367.65)</f>
        <v>367.65</v>
      </c>
    </row>
    <row r="618">
      <c r="A618" s="1">
        <f>IFERROR(__xludf.DUMMYFUNCTION("""COMPUTED_VALUE"""),1000.0)</f>
        <v>1000</v>
      </c>
      <c r="B618" s="1">
        <f>IFERROR(__xludf.DUMMYFUNCTION("""COMPUTED_VALUE"""),183898.0)</f>
        <v>183898</v>
      </c>
      <c r="C618" s="1">
        <f>IFERROR(__xludf.DUMMYFUNCTION("""COMPUTED_VALUE"""),2026.0)</f>
        <v>2026</v>
      </c>
      <c r="D618" s="1">
        <f>IFERROR(__xludf.DUMMYFUNCTION("""COMPUTED_VALUE"""),46270.0)</f>
        <v>46270</v>
      </c>
      <c r="E618" s="1" t="str">
        <f>IFERROR(__xludf.DUMMYFUNCTION("""COMPUTED_VALUE"""),"VF")</f>
        <v>VF</v>
      </c>
      <c r="F618" s="1">
        <f>IFERROR(__xludf.DUMMYFUNCTION("""COMPUTED_VALUE"""),1.0)</f>
        <v>1</v>
      </c>
      <c r="G618" s="1" t="str">
        <f>IFERROR(__xludf.DUMMYFUNCTION("""COMPUTED_VALUE"""),"PR039")</f>
        <v>PR039</v>
      </c>
      <c r="H618" s="1" t="str">
        <f>IFERROR(__xludf.DUMMYFUNCTION("""COMPUTED_VALUE"""),"VD019")</f>
        <v>VD019</v>
      </c>
      <c r="I618" s="1">
        <f>IFERROR(__xludf.DUMMYFUNCTION("""COMPUTED_VALUE"""),3.0)</f>
        <v>3</v>
      </c>
      <c r="J618" s="1">
        <f>IFERROR(__xludf.DUMMYFUNCTION("""COMPUTED_VALUE"""),459.9)</f>
        <v>459.9</v>
      </c>
      <c r="K618" s="1">
        <f>IFERROR(__xludf.DUMMYFUNCTION("""COMPUTED_VALUE"""),459.9)</f>
        <v>459.9</v>
      </c>
    </row>
    <row r="619">
      <c r="A619" s="1">
        <f>IFERROR(__xludf.DUMMYFUNCTION("""COMPUTED_VALUE"""),1000.0)</f>
        <v>1000</v>
      </c>
      <c r="B619" s="1">
        <f>IFERROR(__xludf.DUMMYFUNCTION("""COMPUTED_VALUE"""),183898.0)</f>
        <v>183898</v>
      </c>
      <c r="C619" s="1">
        <f>IFERROR(__xludf.DUMMYFUNCTION("""COMPUTED_VALUE"""),2026.0)</f>
        <v>2026</v>
      </c>
      <c r="D619" s="1">
        <f>IFERROR(__xludf.DUMMYFUNCTION("""COMPUTED_VALUE"""),46270.0)</f>
        <v>46270</v>
      </c>
      <c r="E619" s="1" t="str">
        <f>IFERROR(__xludf.DUMMYFUNCTION("""COMPUTED_VALUE"""),"VF")</f>
        <v>VF</v>
      </c>
      <c r="F619" s="1">
        <f>IFERROR(__xludf.DUMMYFUNCTION("""COMPUTED_VALUE"""),2.0)</f>
        <v>2</v>
      </c>
      <c r="G619" s="1" t="str">
        <f>IFERROR(__xludf.DUMMYFUNCTION("""COMPUTED_VALUE"""),"PR033")</f>
        <v>PR033</v>
      </c>
      <c r="H619" s="1" t="str">
        <f>IFERROR(__xludf.DUMMYFUNCTION("""COMPUTED_VALUE"""),"VD041")</f>
        <v>VD041</v>
      </c>
      <c r="I619" s="1">
        <f>IFERROR(__xludf.DUMMYFUNCTION("""COMPUTED_VALUE"""),5.0)</f>
        <v>5</v>
      </c>
      <c r="J619" s="1">
        <f>IFERROR(__xludf.DUMMYFUNCTION("""COMPUTED_VALUE"""),1351.48)</f>
        <v>1351.48</v>
      </c>
      <c r="K619" s="1">
        <f>IFERROR(__xludf.DUMMYFUNCTION("""COMPUTED_VALUE"""),1351.48)</f>
        <v>1351.48</v>
      </c>
    </row>
    <row r="620">
      <c r="A620" s="1">
        <f>IFERROR(__xludf.DUMMYFUNCTION("""COMPUTED_VALUE"""),1000.0)</f>
        <v>1000</v>
      </c>
      <c r="B620" s="1">
        <f>IFERROR(__xludf.DUMMYFUNCTION("""COMPUTED_VALUE"""),183899.0)</f>
        <v>183899</v>
      </c>
      <c r="C620" s="1">
        <f>IFERROR(__xludf.DUMMYFUNCTION("""COMPUTED_VALUE"""),2026.0)</f>
        <v>2026</v>
      </c>
      <c r="D620" s="1">
        <f>IFERROR(__xludf.DUMMYFUNCTION("""COMPUTED_VALUE"""),46269.0)</f>
        <v>46269</v>
      </c>
      <c r="E620" s="1" t="str">
        <f>IFERROR(__xludf.DUMMYFUNCTION("""COMPUTED_VALUE"""),"VF")</f>
        <v>VF</v>
      </c>
      <c r="F620" s="1">
        <f>IFERROR(__xludf.DUMMYFUNCTION("""COMPUTED_VALUE"""),1.0)</f>
        <v>1</v>
      </c>
      <c r="G620" s="1" t="str">
        <f>IFERROR(__xludf.DUMMYFUNCTION("""COMPUTED_VALUE"""),"PR043")</f>
        <v>PR043</v>
      </c>
      <c r="H620" s="1" t="str">
        <f>IFERROR(__xludf.DUMMYFUNCTION("""COMPUTED_VALUE"""),"VD035")</f>
        <v>VD035</v>
      </c>
      <c r="I620" s="1">
        <f>IFERROR(__xludf.DUMMYFUNCTION("""COMPUTED_VALUE"""),6.0)</f>
        <v>6</v>
      </c>
      <c r="J620" s="1">
        <f>IFERROR(__xludf.DUMMYFUNCTION("""COMPUTED_VALUE"""),474.15)</f>
        <v>474.15</v>
      </c>
      <c r="K620" s="1">
        <f>IFERROR(__xludf.DUMMYFUNCTION("""COMPUTED_VALUE"""),474.15)</f>
        <v>474.15</v>
      </c>
    </row>
    <row r="621">
      <c r="A621" s="1">
        <f>IFERROR(__xludf.DUMMYFUNCTION("""COMPUTED_VALUE"""),2000.0)</f>
        <v>2000</v>
      </c>
      <c r="B621" s="1">
        <f>IFERROR(__xludf.DUMMYFUNCTION("""COMPUTED_VALUE"""),183900.0)</f>
        <v>183900</v>
      </c>
      <c r="C621" s="1">
        <f>IFERROR(__xludf.DUMMYFUNCTION("""COMPUTED_VALUE"""),2026.0)</f>
        <v>2026</v>
      </c>
      <c r="D621" s="1">
        <f>IFERROR(__xludf.DUMMYFUNCTION("""COMPUTED_VALUE"""),46269.0)</f>
        <v>46269</v>
      </c>
      <c r="E621" s="1" t="str">
        <f>IFERROR(__xludf.DUMMYFUNCTION("""COMPUTED_VALUE"""),"VF")</f>
        <v>VF</v>
      </c>
      <c r="F621" s="1">
        <f>IFERROR(__xludf.DUMMYFUNCTION("""COMPUTED_VALUE"""),1.0)</f>
        <v>1</v>
      </c>
      <c r="G621" s="1" t="str">
        <f>IFERROR(__xludf.DUMMYFUNCTION("""COMPUTED_VALUE"""),"PR056")</f>
        <v>PR056</v>
      </c>
      <c r="H621" s="1" t="str">
        <f>IFERROR(__xludf.DUMMYFUNCTION("""COMPUTED_VALUE"""),"VD025")</f>
        <v>VD025</v>
      </c>
      <c r="I621" s="1">
        <f>IFERROR(__xludf.DUMMYFUNCTION("""COMPUTED_VALUE"""),1.0)</f>
        <v>1</v>
      </c>
      <c r="J621" s="1">
        <f>IFERROR(__xludf.DUMMYFUNCTION("""COMPUTED_VALUE"""),92.6)</f>
        <v>92.6</v>
      </c>
      <c r="K621" s="1">
        <f>IFERROR(__xludf.DUMMYFUNCTION("""COMPUTED_VALUE"""),92.6)</f>
        <v>92.6</v>
      </c>
    </row>
    <row r="622">
      <c r="A622" s="1">
        <f>IFERROR(__xludf.DUMMYFUNCTION("""COMPUTED_VALUE"""),1000.0)</f>
        <v>1000</v>
      </c>
      <c r="B622" s="1">
        <f>IFERROR(__xludf.DUMMYFUNCTION("""COMPUTED_VALUE"""),183901.0)</f>
        <v>183901</v>
      </c>
      <c r="C622" s="1">
        <f>IFERROR(__xludf.DUMMYFUNCTION("""COMPUTED_VALUE"""),2026.0)</f>
        <v>2026</v>
      </c>
      <c r="D622" s="1">
        <f>IFERROR(__xludf.DUMMYFUNCTION("""COMPUTED_VALUE"""),46269.0)</f>
        <v>46269</v>
      </c>
      <c r="E622" s="1" t="str">
        <f>IFERROR(__xludf.DUMMYFUNCTION("""COMPUTED_VALUE"""),"VF")</f>
        <v>VF</v>
      </c>
      <c r="F622" s="1">
        <f>IFERROR(__xludf.DUMMYFUNCTION("""COMPUTED_VALUE"""),1.0)</f>
        <v>1</v>
      </c>
      <c r="G622" s="1" t="str">
        <f>IFERROR(__xludf.DUMMYFUNCTION("""COMPUTED_VALUE"""),"PR032")</f>
        <v>PR032</v>
      </c>
      <c r="H622" s="1" t="str">
        <f>IFERROR(__xludf.DUMMYFUNCTION("""COMPUTED_VALUE"""),"VD033")</f>
        <v>VD033</v>
      </c>
      <c r="I622" s="1">
        <f>IFERROR(__xludf.DUMMYFUNCTION("""COMPUTED_VALUE"""),7.0)</f>
        <v>7</v>
      </c>
      <c r="J622" s="1">
        <f>IFERROR(__xludf.DUMMYFUNCTION("""COMPUTED_VALUE"""),1820.0)</f>
        <v>1820</v>
      </c>
      <c r="K622" s="1">
        <f>IFERROR(__xludf.DUMMYFUNCTION("""COMPUTED_VALUE"""),1820.0)</f>
        <v>1820</v>
      </c>
    </row>
    <row r="623">
      <c r="A623" s="1">
        <f>IFERROR(__xludf.DUMMYFUNCTION("""COMPUTED_VALUE"""),1000.0)</f>
        <v>1000</v>
      </c>
      <c r="B623" s="1">
        <f>IFERROR(__xludf.DUMMYFUNCTION("""COMPUTED_VALUE"""),183902.0)</f>
        <v>183902</v>
      </c>
      <c r="C623" s="1">
        <f>IFERROR(__xludf.DUMMYFUNCTION("""COMPUTED_VALUE"""),2026.0)</f>
        <v>2026</v>
      </c>
      <c r="D623" s="1">
        <f>IFERROR(__xludf.DUMMYFUNCTION("""COMPUTED_VALUE"""),46269.0)</f>
        <v>46269</v>
      </c>
      <c r="E623" s="1" t="str">
        <f>IFERROR(__xludf.DUMMYFUNCTION("""COMPUTED_VALUE"""),"VF")</f>
        <v>VF</v>
      </c>
      <c r="F623" s="1">
        <f>IFERROR(__xludf.DUMMYFUNCTION("""COMPUTED_VALUE"""),1.0)</f>
        <v>1</v>
      </c>
      <c r="G623" s="1" t="str">
        <f>IFERROR(__xludf.DUMMYFUNCTION("""COMPUTED_VALUE"""),"PR035")</f>
        <v>PR035</v>
      </c>
      <c r="H623" s="1" t="str">
        <f>IFERROR(__xludf.DUMMYFUNCTION("""COMPUTED_VALUE"""),"VD042")</f>
        <v>VD042</v>
      </c>
      <c r="I623" s="1">
        <f>IFERROR(__xludf.DUMMYFUNCTION("""COMPUTED_VALUE"""),4.0)</f>
        <v>4</v>
      </c>
      <c r="J623" s="1">
        <f>IFERROR(__xludf.DUMMYFUNCTION("""COMPUTED_VALUE"""),398.5)</f>
        <v>398.5</v>
      </c>
      <c r="K623" s="1">
        <f>IFERROR(__xludf.DUMMYFUNCTION("""COMPUTED_VALUE"""),398.5)</f>
        <v>398.5</v>
      </c>
    </row>
    <row r="624">
      <c r="A624" s="1">
        <f>IFERROR(__xludf.DUMMYFUNCTION("""COMPUTED_VALUE"""),1000.0)</f>
        <v>1000</v>
      </c>
      <c r="B624" s="1">
        <f>IFERROR(__xludf.DUMMYFUNCTION("""COMPUTED_VALUE"""),183903.0)</f>
        <v>183903</v>
      </c>
      <c r="C624" s="1">
        <f>IFERROR(__xludf.DUMMYFUNCTION("""COMPUTED_VALUE"""),2026.0)</f>
        <v>2026</v>
      </c>
      <c r="D624" s="1">
        <f>IFERROR(__xludf.DUMMYFUNCTION("""COMPUTED_VALUE"""),46269.0)</f>
        <v>46269</v>
      </c>
      <c r="E624" s="1" t="str">
        <f>IFERROR(__xludf.DUMMYFUNCTION("""COMPUTED_VALUE"""),"VF")</f>
        <v>VF</v>
      </c>
      <c r="F624" s="1">
        <f>IFERROR(__xludf.DUMMYFUNCTION("""COMPUTED_VALUE"""),1.0)</f>
        <v>1</v>
      </c>
      <c r="G624" s="1" t="str">
        <f>IFERROR(__xludf.DUMMYFUNCTION("""COMPUTED_VALUE"""),"PR011")</f>
        <v>PR011</v>
      </c>
      <c r="H624" s="1" t="str">
        <f>IFERROR(__xludf.DUMMYFUNCTION("""COMPUTED_VALUE"""),"VD030")</f>
        <v>VD030</v>
      </c>
      <c r="I624" s="1">
        <f>IFERROR(__xludf.DUMMYFUNCTION("""COMPUTED_VALUE"""),4.0)</f>
        <v>4</v>
      </c>
      <c r="J624" s="1">
        <f>IFERROR(__xludf.DUMMYFUNCTION("""COMPUTED_VALUE"""),193.23)</f>
        <v>193.23</v>
      </c>
      <c r="K624" s="1">
        <f>IFERROR(__xludf.DUMMYFUNCTION("""COMPUTED_VALUE"""),193.23)</f>
        <v>193.23</v>
      </c>
    </row>
    <row r="625">
      <c r="A625" s="1">
        <f>IFERROR(__xludf.DUMMYFUNCTION("""COMPUTED_VALUE"""),1000.0)</f>
        <v>1000</v>
      </c>
      <c r="B625" s="1">
        <f>IFERROR(__xludf.DUMMYFUNCTION("""COMPUTED_VALUE"""),183903.0)</f>
        <v>183903</v>
      </c>
      <c r="C625" s="1">
        <f>IFERROR(__xludf.DUMMYFUNCTION("""COMPUTED_VALUE"""),2026.0)</f>
        <v>2026</v>
      </c>
      <c r="D625" s="1">
        <f>IFERROR(__xludf.DUMMYFUNCTION("""COMPUTED_VALUE"""),46269.0)</f>
        <v>46269</v>
      </c>
      <c r="E625" s="1" t="str">
        <f>IFERROR(__xludf.DUMMYFUNCTION("""COMPUTED_VALUE"""),"VF")</f>
        <v>VF</v>
      </c>
      <c r="F625" s="1">
        <f>IFERROR(__xludf.DUMMYFUNCTION("""COMPUTED_VALUE"""),2.0)</f>
        <v>2</v>
      </c>
      <c r="G625" s="1" t="str">
        <f>IFERROR(__xludf.DUMMYFUNCTION("""COMPUTED_VALUE"""),"PR011")</f>
        <v>PR011</v>
      </c>
      <c r="H625" s="1" t="str">
        <f>IFERROR(__xludf.DUMMYFUNCTION("""COMPUTED_VALUE"""),"VD036")</f>
        <v>VD036</v>
      </c>
      <c r="I625" s="1">
        <f>IFERROR(__xludf.DUMMYFUNCTION("""COMPUTED_VALUE"""),2.0)</f>
        <v>2</v>
      </c>
      <c r="J625" s="1">
        <f>IFERROR(__xludf.DUMMYFUNCTION("""COMPUTED_VALUE"""),93.8)</f>
        <v>93.8</v>
      </c>
      <c r="K625" s="1">
        <f>IFERROR(__xludf.DUMMYFUNCTION("""COMPUTED_VALUE"""),93.8)</f>
        <v>93.8</v>
      </c>
    </row>
    <row r="626">
      <c r="A626" s="1">
        <f>IFERROR(__xludf.DUMMYFUNCTION("""COMPUTED_VALUE"""),1000.0)</f>
        <v>1000</v>
      </c>
      <c r="B626" s="1">
        <f>IFERROR(__xludf.DUMMYFUNCTION("""COMPUTED_VALUE"""),183904.0)</f>
        <v>183904</v>
      </c>
      <c r="C626" s="1">
        <f>IFERROR(__xludf.DUMMYFUNCTION("""COMPUTED_VALUE"""),2026.0)</f>
        <v>2026</v>
      </c>
      <c r="D626" s="1">
        <f>IFERROR(__xludf.DUMMYFUNCTION("""COMPUTED_VALUE"""),46268.0)</f>
        <v>46268</v>
      </c>
      <c r="E626" s="1" t="str">
        <f>IFERROR(__xludf.DUMMYFUNCTION("""COMPUTED_VALUE"""),"VF")</f>
        <v>VF</v>
      </c>
      <c r="F626" s="1">
        <f>IFERROR(__xludf.DUMMYFUNCTION("""COMPUTED_VALUE"""),1.0)</f>
        <v>1</v>
      </c>
      <c r="G626" s="1" t="str">
        <f>IFERROR(__xludf.DUMMYFUNCTION("""COMPUTED_VALUE"""),"PR039")</f>
        <v>PR039</v>
      </c>
      <c r="H626" s="1" t="str">
        <f>IFERROR(__xludf.DUMMYFUNCTION("""COMPUTED_VALUE"""),"VD031")</f>
        <v>VD031</v>
      </c>
      <c r="I626" s="1">
        <f>IFERROR(__xludf.DUMMYFUNCTION("""COMPUTED_VALUE"""),4.0)</f>
        <v>4</v>
      </c>
      <c r="J626" s="1">
        <f>IFERROR(__xludf.DUMMYFUNCTION("""COMPUTED_VALUE"""),624.88)</f>
        <v>624.88</v>
      </c>
      <c r="K626" s="1">
        <f>IFERROR(__xludf.DUMMYFUNCTION("""COMPUTED_VALUE"""),624.88)</f>
        <v>624.88</v>
      </c>
    </row>
    <row r="627">
      <c r="A627" s="1">
        <f>IFERROR(__xludf.DUMMYFUNCTION("""COMPUTED_VALUE"""),1000.0)</f>
        <v>1000</v>
      </c>
      <c r="B627" s="1">
        <f>IFERROR(__xludf.DUMMYFUNCTION("""COMPUTED_VALUE"""),183905.0)</f>
        <v>183905</v>
      </c>
      <c r="C627" s="1">
        <f>IFERROR(__xludf.DUMMYFUNCTION("""COMPUTED_VALUE"""),2026.0)</f>
        <v>2026</v>
      </c>
      <c r="D627" s="1">
        <f>IFERROR(__xludf.DUMMYFUNCTION("""COMPUTED_VALUE"""),46268.0)</f>
        <v>46268</v>
      </c>
      <c r="E627" s="1" t="str">
        <f>IFERROR(__xludf.DUMMYFUNCTION("""COMPUTED_VALUE"""),"VF")</f>
        <v>VF</v>
      </c>
      <c r="F627" s="1">
        <f>IFERROR(__xludf.DUMMYFUNCTION("""COMPUTED_VALUE"""),1.0)</f>
        <v>1</v>
      </c>
      <c r="G627" s="1" t="str">
        <f>IFERROR(__xludf.DUMMYFUNCTION("""COMPUTED_VALUE"""),"PR026")</f>
        <v>PR026</v>
      </c>
      <c r="H627" s="1" t="str">
        <f>IFERROR(__xludf.DUMMYFUNCTION("""COMPUTED_VALUE"""),"VD045")</f>
        <v>VD045</v>
      </c>
      <c r="I627" s="1">
        <f>IFERROR(__xludf.DUMMYFUNCTION("""COMPUTED_VALUE"""),16.0)</f>
        <v>16</v>
      </c>
      <c r="J627" s="1">
        <f>IFERROR(__xludf.DUMMYFUNCTION("""COMPUTED_VALUE"""),5822.34)</f>
        <v>5822.34</v>
      </c>
      <c r="K627" s="1">
        <f>IFERROR(__xludf.DUMMYFUNCTION("""COMPUTED_VALUE"""),5822.34)</f>
        <v>5822.34</v>
      </c>
    </row>
    <row r="628">
      <c r="A628" s="1">
        <f>IFERROR(__xludf.DUMMYFUNCTION("""COMPUTED_VALUE"""),1000.0)</f>
        <v>1000</v>
      </c>
      <c r="B628" s="1">
        <f>IFERROR(__xludf.DUMMYFUNCTION("""COMPUTED_VALUE"""),183906.0)</f>
        <v>183906</v>
      </c>
      <c r="C628" s="1">
        <f>IFERROR(__xludf.DUMMYFUNCTION("""COMPUTED_VALUE"""),2026.0)</f>
        <v>2026</v>
      </c>
      <c r="D628" s="1">
        <f>IFERROR(__xludf.DUMMYFUNCTION("""COMPUTED_VALUE"""),46268.0)</f>
        <v>46268</v>
      </c>
      <c r="E628" s="1" t="str">
        <f>IFERROR(__xludf.DUMMYFUNCTION("""COMPUTED_VALUE"""),"VF")</f>
        <v>VF</v>
      </c>
      <c r="F628" s="1">
        <f>IFERROR(__xludf.DUMMYFUNCTION("""COMPUTED_VALUE"""),1.0)</f>
        <v>1</v>
      </c>
      <c r="G628" s="1" t="str">
        <f>IFERROR(__xludf.DUMMYFUNCTION("""COMPUTED_VALUE"""),"PR048")</f>
        <v>PR048</v>
      </c>
      <c r="H628" s="1" t="str">
        <f>IFERROR(__xludf.DUMMYFUNCTION("""COMPUTED_VALUE"""),"VD029")</f>
        <v>VD029</v>
      </c>
      <c r="I628" s="1">
        <f>IFERROR(__xludf.DUMMYFUNCTION("""COMPUTED_VALUE"""),20.0)</f>
        <v>20</v>
      </c>
      <c r="J628" s="1">
        <f>IFERROR(__xludf.DUMMYFUNCTION("""COMPUTED_VALUE"""),6145.88)</f>
        <v>6145.88</v>
      </c>
      <c r="K628" s="1">
        <f>IFERROR(__xludf.DUMMYFUNCTION("""COMPUTED_VALUE"""),6145.88)</f>
        <v>6145.88</v>
      </c>
    </row>
    <row r="629">
      <c r="A629" s="1">
        <f>IFERROR(__xludf.DUMMYFUNCTION("""COMPUTED_VALUE"""),2000.0)</f>
        <v>2000</v>
      </c>
      <c r="B629" s="1">
        <f>IFERROR(__xludf.DUMMYFUNCTION("""COMPUTED_VALUE"""),183907.0)</f>
        <v>183907</v>
      </c>
      <c r="C629" s="1">
        <f>IFERROR(__xludf.DUMMYFUNCTION("""COMPUTED_VALUE"""),2026.0)</f>
        <v>2026</v>
      </c>
      <c r="D629" s="1">
        <f>IFERROR(__xludf.DUMMYFUNCTION("""COMPUTED_VALUE"""),46268.0)</f>
        <v>46268</v>
      </c>
      <c r="E629" s="1" t="str">
        <f>IFERROR(__xludf.DUMMYFUNCTION("""COMPUTED_VALUE"""),"VF")</f>
        <v>VF</v>
      </c>
      <c r="F629" s="1">
        <f>IFERROR(__xludf.DUMMYFUNCTION("""COMPUTED_VALUE"""),1.0)</f>
        <v>1</v>
      </c>
      <c r="G629" s="1" t="str">
        <f>IFERROR(__xludf.DUMMYFUNCTION("""COMPUTED_VALUE"""),"PR021")</f>
        <v>PR021</v>
      </c>
      <c r="H629" s="1" t="str">
        <f>IFERROR(__xludf.DUMMYFUNCTION("""COMPUTED_VALUE"""),"VD045")</f>
        <v>VD045</v>
      </c>
      <c r="I629" s="1">
        <f>IFERROR(__xludf.DUMMYFUNCTION("""COMPUTED_VALUE"""),6.0)</f>
        <v>6</v>
      </c>
      <c r="J629" s="1">
        <f>IFERROR(__xludf.DUMMYFUNCTION("""COMPUTED_VALUE"""),1817.4)</f>
        <v>1817.4</v>
      </c>
      <c r="K629" s="1">
        <f>IFERROR(__xludf.DUMMYFUNCTION("""COMPUTED_VALUE"""),1817.4)</f>
        <v>1817.4</v>
      </c>
    </row>
    <row r="630">
      <c r="A630" s="1">
        <f>IFERROR(__xludf.DUMMYFUNCTION("""COMPUTED_VALUE"""),1000.0)</f>
        <v>1000</v>
      </c>
      <c r="B630" s="1">
        <f>IFERROR(__xludf.DUMMYFUNCTION("""COMPUTED_VALUE"""),183908.0)</f>
        <v>183908</v>
      </c>
      <c r="C630" s="1">
        <f>IFERROR(__xludf.DUMMYFUNCTION("""COMPUTED_VALUE"""),2026.0)</f>
        <v>2026</v>
      </c>
      <c r="D630" s="1">
        <f>IFERROR(__xludf.DUMMYFUNCTION("""COMPUTED_VALUE"""),46268.0)</f>
        <v>46268</v>
      </c>
      <c r="E630" s="1" t="str">
        <f>IFERROR(__xludf.DUMMYFUNCTION("""COMPUTED_VALUE"""),"VF")</f>
        <v>VF</v>
      </c>
      <c r="F630" s="1">
        <f>IFERROR(__xludf.DUMMYFUNCTION("""COMPUTED_VALUE"""),1.0)</f>
        <v>1</v>
      </c>
      <c r="G630" s="1" t="str">
        <f>IFERROR(__xludf.DUMMYFUNCTION("""COMPUTED_VALUE"""),"PR047")</f>
        <v>PR047</v>
      </c>
      <c r="H630" s="1" t="str">
        <f>IFERROR(__xludf.DUMMYFUNCTION("""COMPUTED_VALUE"""),"VD030")</f>
        <v>VD030</v>
      </c>
      <c r="I630" s="1">
        <f>IFERROR(__xludf.DUMMYFUNCTION("""COMPUTED_VALUE"""),14.0)</f>
        <v>14</v>
      </c>
      <c r="J630" s="1">
        <f>IFERROR(__xludf.DUMMYFUNCTION("""COMPUTED_VALUE"""),4180.36)</f>
        <v>4180.36</v>
      </c>
      <c r="K630" s="1">
        <f>IFERROR(__xludf.DUMMYFUNCTION("""COMPUTED_VALUE"""),4180.36)</f>
        <v>4180.36</v>
      </c>
    </row>
    <row r="631">
      <c r="A631" s="1">
        <f>IFERROR(__xludf.DUMMYFUNCTION("""COMPUTED_VALUE"""),1000.0)</f>
        <v>1000</v>
      </c>
      <c r="B631" s="1">
        <f>IFERROR(__xludf.DUMMYFUNCTION("""COMPUTED_VALUE"""),183908.0)</f>
        <v>183908</v>
      </c>
      <c r="C631" s="1">
        <f>IFERROR(__xludf.DUMMYFUNCTION("""COMPUTED_VALUE"""),2026.0)</f>
        <v>2026</v>
      </c>
      <c r="D631" s="1">
        <f>IFERROR(__xludf.DUMMYFUNCTION("""COMPUTED_VALUE"""),46268.0)</f>
        <v>46268</v>
      </c>
      <c r="E631" s="1" t="str">
        <f>IFERROR(__xludf.DUMMYFUNCTION("""COMPUTED_VALUE"""),"VF")</f>
        <v>VF</v>
      </c>
      <c r="F631" s="1">
        <f>IFERROR(__xludf.DUMMYFUNCTION("""COMPUTED_VALUE"""),2.0)</f>
        <v>2</v>
      </c>
      <c r="G631" s="1" t="str">
        <f>IFERROR(__xludf.DUMMYFUNCTION("""COMPUTED_VALUE"""),"PR002")</f>
        <v>PR002</v>
      </c>
      <c r="H631" s="1" t="str">
        <f>IFERROR(__xludf.DUMMYFUNCTION("""COMPUTED_VALUE"""),"VD030")</f>
        <v>VD030</v>
      </c>
      <c r="I631" s="1">
        <f>IFERROR(__xludf.DUMMYFUNCTION("""COMPUTED_VALUE"""),8.0)</f>
        <v>8</v>
      </c>
      <c r="J631" s="1">
        <f>IFERROR(__xludf.DUMMYFUNCTION("""COMPUTED_VALUE"""),609.53)</f>
        <v>609.53</v>
      </c>
      <c r="K631" s="1">
        <f>IFERROR(__xludf.DUMMYFUNCTION("""COMPUTED_VALUE"""),609.53)</f>
        <v>609.53</v>
      </c>
    </row>
    <row r="632">
      <c r="A632" s="1">
        <f>IFERROR(__xludf.DUMMYFUNCTION("""COMPUTED_VALUE"""),1000.0)</f>
        <v>1000</v>
      </c>
      <c r="B632" s="1">
        <f>IFERROR(__xludf.DUMMYFUNCTION("""COMPUTED_VALUE"""),183909.0)</f>
        <v>183909</v>
      </c>
      <c r="C632" s="1">
        <f>IFERROR(__xludf.DUMMYFUNCTION("""COMPUTED_VALUE"""),2026.0)</f>
        <v>2026</v>
      </c>
      <c r="D632" s="1">
        <f>IFERROR(__xludf.DUMMYFUNCTION("""COMPUTED_VALUE"""),46268.0)</f>
        <v>46268</v>
      </c>
      <c r="E632" s="1" t="str">
        <f>IFERROR(__xludf.DUMMYFUNCTION("""COMPUTED_VALUE"""),"VF")</f>
        <v>VF</v>
      </c>
      <c r="F632" s="1">
        <f>IFERROR(__xludf.DUMMYFUNCTION("""COMPUTED_VALUE"""),1.0)</f>
        <v>1</v>
      </c>
      <c r="G632" s="1" t="str">
        <f>IFERROR(__xludf.DUMMYFUNCTION("""COMPUTED_VALUE"""),"PR048")</f>
        <v>PR048</v>
      </c>
      <c r="H632" s="1" t="str">
        <f>IFERROR(__xludf.DUMMYFUNCTION("""COMPUTED_VALUE"""),"VD040")</f>
        <v>VD040</v>
      </c>
      <c r="I632" s="1">
        <f>IFERROR(__xludf.DUMMYFUNCTION("""COMPUTED_VALUE"""),4.0)</f>
        <v>4</v>
      </c>
      <c r="J632" s="1">
        <f>IFERROR(__xludf.DUMMYFUNCTION("""COMPUTED_VALUE"""),1263.96)</f>
        <v>1263.96</v>
      </c>
      <c r="K632" s="1">
        <f>IFERROR(__xludf.DUMMYFUNCTION("""COMPUTED_VALUE"""),1263.96)</f>
        <v>1263.96</v>
      </c>
    </row>
    <row r="633">
      <c r="A633" s="1">
        <f>IFERROR(__xludf.DUMMYFUNCTION("""COMPUTED_VALUE"""),1000.0)</f>
        <v>1000</v>
      </c>
      <c r="B633" s="1">
        <f>IFERROR(__xludf.DUMMYFUNCTION("""COMPUTED_VALUE"""),183910.0)</f>
        <v>183910</v>
      </c>
      <c r="C633" s="1">
        <f>IFERROR(__xludf.DUMMYFUNCTION("""COMPUTED_VALUE"""),2026.0)</f>
        <v>2026</v>
      </c>
      <c r="D633" s="1">
        <f>IFERROR(__xludf.DUMMYFUNCTION("""COMPUTED_VALUE"""),46268.0)</f>
        <v>46268</v>
      </c>
      <c r="E633" s="1" t="str">
        <f>IFERROR(__xludf.DUMMYFUNCTION("""COMPUTED_VALUE"""),"VF")</f>
        <v>VF</v>
      </c>
      <c r="F633" s="1">
        <f>IFERROR(__xludf.DUMMYFUNCTION("""COMPUTED_VALUE"""),1.0)</f>
        <v>1</v>
      </c>
      <c r="G633" s="1" t="str">
        <f>IFERROR(__xludf.DUMMYFUNCTION("""COMPUTED_VALUE"""),"PR017")</f>
        <v>PR017</v>
      </c>
      <c r="H633" s="1" t="str">
        <f>IFERROR(__xludf.DUMMYFUNCTION("""COMPUTED_VALUE"""),"VD019")</f>
        <v>VD019</v>
      </c>
      <c r="I633" s="1">
        <f>IFERROR(__xludf.DUMMYFUNCTION("""COMPUTED_VALUE"""),10.0)</f>
        <v>10</v>
      </c>
      <c r="J633" s="1">
        <f>IFERROR(__xludf.DUMMYFUNCTION("""COMPUTED_VALUE"""),304.98)</f>
        <v>304.98</v>
      </c>
      <c r="K633" s="1">
        <f>IFERROR(__xludf.DUMMYFUNCTION("""COMPUTED_VALUE"""),304.98)</f>
        <v>304.98</v>
      </c>
    </row>
    <row r="634">
      <c r="A634" s="1">
        <f>IFERROR(__xludf.DUMMYFUNCTION("""COMPUTED_VALUE"""),1000.0)</f>
        <v>1000</v>
      </c>
      <c r="B634" s="1">
        <f>IFERROR(__xludf.DUMMYFUNCTION("""COMPUTED_VALUE"""),183910.0)</f>
        <v>183910</v>
      </c>
      <c r="C634" s="1">
        <f>IFERROR(__xludf.DUMMYFUNCTION("""COMPUTED_VALUE"""),2026.0)</f>
        <v>2026</v>
      </c>
      <c r="D634" s="1">
        <f>IFERROR(__xludf.DUMMYFUNCTION("""COMPUTED_VALUE"""),46268.0)</f>
        <v>46268</v>
      </c>
      <c r="E634" s="1" t="str">
        <f>IFERROR(__xludf.DUMMYFUNCTION("""COMPUTED_VALUE"""),"VF")</f>
        <v>VF</v>
      </c>
      <c r="F634" s="1">
        <f>IFERROR(__xludf.DUMMYFUNCTION("""COMPUTED_VALUE"""),2.0)</f>
        <v>2</v>
      </c>
      <c r="G634" s="1" t="str">
        <f>IFERROR(__xludf.DUMMYFUNCTION("""COMPUTED_VALUE"""),"PR058")</f>
        <v>PR058</v>
      </c>
      <c r="H634" s="1" t="str">
        <f>IFERROR(__xludf.DUMMYFUNCTION("""COMPUTED_VALUE"""),"VD046")</f>
        <v>VD046</v>
      </c>
      <c r="I634" s="1">
        <f>IFERROR(__xludf.DUMMYFUNCTION("""COMPUTED_VALUE"""),1.0)</f>
        <v>1</v>
      </c>
      <c r="J634" s="1">
        <f>IFERROR(__xludf.DUMMYFUNCTION("""COMPUTED_VALUE"""),189.0)</f>
        <v>189</v>
      </c>
      <c r="K634" s="1">
        <f>IFERROR(__xludf.DUMMYFUNCTION("""COMPUTED_VALUE"""),189.0)</f>
        <v>189</v>
      </c>
    </row>
    <row r="635">
      <c r="A635" s="1">
        <f>IFERROR(__xludf.DUMMYFUNCTION("""COMPUTED_VALUE"""),1000.0)</f>
        <v>1000</v>
      </c>
      <c r="B635" s="1">
        <f>IFERROR(__xludf.DUMMYFUNCTION("""COMPUTED_VALUE"""),183911.0)</f>
        <v>183911</v>
      </c>
      <c r="C635" s="1">
        <f>IFERROR(__xludf.DUMMYFUNCTION("""COMPUTED_VALUE"""),2026.0)</f>
        <v>2026</v>
      </c>
      <c r="D635" s="1">
        <f>IFERROR(__xludf.DUMMYFUNCTION("""COMPUTED_VALUE"""),46267.0)</f>
        <v>46267</v>
      </c>
      <c r="E635" s="1" t="str">
        <f>IFERROR(__xludf.DUMMYFUNCTION("""COMPUTED_VALUE"""),"VF")</f>
        <v>VF</v>
      </c>
      <c r="F635" s="1">
        <f>IFERROR(__xludf.DUMMYFUNCTION("""COMPUTED_VALUE"""),1.0)</f>
        <v>1</v>
      </c>
      <c r="G635" s="1" t="str">
        <f>IFERROR(__xludf.DUMMYFUNCTION("""COMPUTED_VALUE"""),"PR040")</f>
        <v>PR040</v>
      </c>
      <c r="H635" s="1" t="str">
        <f>IFERROR(__xludf.DUMMYFUNCTION("""COMPUTED_VALUE"""),"VD020")</f>
        <v>VD020</v>
      </c>
      <c r="I635" s="1">
        <f>IFERROR(__xludf.DUMMYFUNCTION("""COMPUTED_VALUE"""),10.0)</f>
        <v>10</v>
      </c>
      <c r="J635" s="1">
        <f>IFERROR(__xludf.DUMMYFUNCTION("""COMPUTED_VALUE"""),770.0)</f>
        <v>770</v>
      </c>
      <c r="K635" s="1">
        <f>IFERROR(__xludf.DUMMYFUNCTION("""COMPUTED_VALUE"""),770.0)</f>
        <v>770</v>
      </c>
    </row>
    <row r="636">
      <c r="A636" s="1">
        <f>IFERROR(__xludf.DUMMYFUNCTION("""COMPUTED_VALUE"""),2000.0)</f>
        <v>2000</v>
      </c>
      <c r="B636" s="1">
        <f>IFERROR(__xludf.DUMMYFUNCTION("""COMPUTED_VALUE"""),183912.0)</f>
        <v>183912</v>
      </c>
      <c r="C636" s="1">
        <f>IFERROR(__xludf.DUMMYFUNCTION("""COMPUTED_VALUE"""),2026.0)</f>
        <v>2026</v>
      </c>
      <c r="D636" s="1">
        <f>IFERROR(__xludf.DUMMYFUNCTION("""COMPUTED_VALUE"""),46267.0)</f>
        <v>46267</v>
      </c>
      <c r="E636" s="1" t="str">
        <f>IFERROR(__xludf.DUMMYFUNCTION("""COMPUTED_VALUE"""),"VF")</f>
        <v>VF</v>
      </c>
      <c r="F636" s="1">
        <f>IFERROR(__xludf.DUMMYFUNCTION("""COMPUTED_VALUE"""),1.0)</f>
        <v>1</v>
      </c>
      <c r="G636" s="1" t="str">
        <f>IFERROR(__xludf.DUMMYFUNCTION("""COMPUTED_VALUE"""),"PR014")</f>
        <v>PR014</v>
      </c>
      <c r="H636" s="1" t="str">
        <f>IFERROR(__xludf.DUMMYFUNCTION("""COMPUTED_VALUE"""),"VD028")</f>
        <v>VD028</v>
      </c>
      <c r="I636" s="1">
        <f>IFERROR(__xludf.DUMMYFUNCTION("""COMPUTED_VALUE"""),8.0)</f>
        <v>8</v>
      </c>
      <c r="J636" s="1">
        <f>IFERROR(__xludf.DUMMYFUNCTION("""COMPUTED_VALUE"""),331.97)</f>
        <v>331.97</v>
      </c>
      <c r="K636" s="1">
        <f>IFERROR(__xludf.DUMMYFUNCTION("""COMPUTED_VALUE"""),331.97)</f>
        <v>331.97</v>
      </c>
    </row>
    <row r="637">
      <c r="A637" s="1">
        <f>IFERROR(__xludf.DUMMYFUNCTION("""COMPUTED_VALUE"""),1000.0)</f>
        <v>1000</v>
      </c>
      <c r="B637" s="1">
        <f>IFERROR(__xludf.DUMMYFUNCTION("""COMPUTED_VALUE"""),183913.0)</f>
        <v>183913</v>
      </c>
      <c r="C637" s="1">
        <f>IFERROR(__xludf.DUMMYFUNCTION("""COMPUTED_VALUE"""),2026.0)</f>
        <v>2026</v>
      </c>
      <c r="D637" s="1">
        <f>IFERROR(__xludf.DUMMYFUNCTION("""COMPUTED_VALUE"""),46266.0)</f>
        <v>46266</v>
      </c>
      <c r="E637" s="1" t="str">
        <f>IFERROR(__xludf.DUMMYFUNCTION("""COMPUTED_VALUE"""),"VF")</f>
        <v>VF</v>
      </c>
      <c r="F637" s="1">
        <f>IFERROR(__xludf.DUMMYFUNCTION("""COMPUTED_VALUE"""),1.0)</f>
        <v>1</v>
      </c>
      <c r="G637" s="1" t="str">
        <f>IFERROR(__xludf.DUMMYFUNCTION("""COMPUTED_VALUE"""),"PR021")</f>
        <v>PR021</v>
      </c>
      <c r="H637" s="1" t="str">
        <f>IFERROR(__xludf.DUMMYFUNCTION("""COMPUTED_VALUE"""),"VD022")</f>
        <v>VD022</v>
      </c>
      <c r="I637" s="1">
        <f>IFERROR(__xludf.DUMMYFUNCTION("""COMPUTED_VALUE"""),8.0)</f>
        <v>8</v>
      </c>
      <c r="J637" s="1">
        <f>IFERROR(__xludf.DUMMYFUNCTION("""COMPUTED_VALUE"""),2447.43)</f>
        <v>2447.43</v>
      </c>
      <c r="K637" s="1">
        <f>IFERROR(__xludf.DUMMYFUNCTION("""COMPUTED_VALUE"""),2447.43)</f>
        <v>2447.43</v>
      </c>
    </row>
    <row r="638">
      <c r="A638" s="1">
        <f>IFERROR(__xludf.DUMMYFUNCTION("""COMPUTED_VALUE"""),1000.0)</f>
        <v>1000</v>
      </c>
      <c r="B638" s="1">
        <f>IFERROR(__xludf.DUMMYFUNCTION("""COMPUTED_VALUE"""),183914.0)</f>
        <v>183914</v>
      </c>
      <c r="C638" s="1">
        <f>IFERROR(__xludf.DUMMYFUNCTION("""COMPUTED_VALUE"""),2026.0)</f>
        <v>2026</v>
      </c>
      <c r="D638" s="1">
        <f>IFERROR(__xludf.DUMMYFUNCTION("""COMPUTED_VALUE"""),46266.0)</f>
        <v>46266</v>
      </c>
      <c r="E638" s="1" t="str">
        <f>IFERROR(__xludf.DUMMYFUNCTION("""COMPUTED_VALUE"""),"VF")</f>
        <v>VF</v>
      </c>
      <c r="F638" s="1">
        <f>IFERROR(__xludf.DUMMYFUNCTION("""COMPUTED_VALUE"""),1.0)</f>
        <v>1</v>
      </c>
      <c r="G638" s="1" t="str">
        <f>IFERROR(__xludf.DUMMYFUNCTION("""COMPUTED_VALUE"""),"PR028")</f>
        <v>PR028</v>
      </c>
      <c r="H638" s="1" t="str">
        <f>IFERROR(__xludf.DUMMYFUNCTION("""COMPUTED_VALUE"""),"VD021")</f>
        <v>VD021</v>
      </c>
      <c r="I638" s="1">
        <f>IFERROR(__xludf.DUMMYFUNCTION("""COMPUTED_VALUE"""),10.0)</f>
        <v>10</v>
      </c>
      <c r="J638" s="1">
        <f>IFERROR(__xludf.DUMMYFUNCTION("""COMPUTED_VALUE"""),2723.91)</f>
        <v>2723.91</v>
      </c>
      <c r="K638" s="1">
        <f>IFERROR(__xludf.DUMMYFUNCTION("""COMPUTED_VALUE"""),2723.91)</f>
        <v>2723.91</v>
      </c>
    </row>
    <row r="639">
      <c r="A639" s="1">
        <f>IFERROR(__xludf.DUMMYFUNCTION("""COMPUTED_VALUE"""),2000.0)</f>
        <v>2000</v>
      </c>
      <c r="B639" s="1">
        <f>IFERROR(__xludf.DUMMYFUNCTION("""COMPUTED_VALUE"""),183915.0)</f>
        <v>183915</v>
      </c>
      <c r="C639" s="1">
        <f>IFERROR(__xludf.DUMMYFUNCTION("""COMPUTED_VALUE"""),2026.0)</f>
        <v>2026</v>
      </c>
      <c r="D639" s="1">
        <f>IFERROR(__xludf.DUMMYFUNCTION("""COMPUTED_VALUE"""),46266.0)</f>
        <v>46266</v>
      </c>
      <c r="E639" s="1" t="str">
        <f>IFERROR(__xludf.DUMMYFUNCTION("""COMPUTED_VALUE"""),"VF")</f>
        <v>VF</v>
      </c>
      <c r="F639" s="1">
        <f>IFERROR(__xludf.DUMMYFUNCTION("""COMPUTED_VALUE"""),1.0)</f>
        <v>1</v>
      </c>
      <c r="G639" s="1" t="str">
        <f>IFERROR(__xludf.DUMMYFUNCTION("""COMPUTED_VALUE"""),"PR052")</f>
        <v>PR052</v>
      </c>
      <c r="H639" s="1" t="str">
        <f>IFERROR(__xludf.DUMMYFUNCTION("""COMPUTED_VALUE"""),"VD018")</f>
        <v>VD018</v>
      </c>
      <c r="I639" s="1">
        <f>IFERROR(__xludf.DUMMYFUNCTION("""COMPUTED_VALUE"""),5.0)</f>
        <v>5</v>
      </c>
      <c r="J639" s="1">
        <f>IFERROR(__xludf.DUMMYFUNCTION("""COMPUTED_VALUE"""),259.48)</f>
        <v>259.48</v>
      </c>
      <c r="K639" s="1">
        <f>IFERROR(__xludf.DUMMYFUNCTION("""COMPUTED_VALUE"""),259.48)</f>
        <v>259.48</v>
      </c>
    </row>
    <row r="640">
      <c r="A640" s="1">
        <f>IFERROR(__xludf.DUMMYFUNCTION("""COMPUTED_VALUE"""),2000.0)</f>
        <v>2000</v>
      </c>
      <c r="B640" s="1">
        <f>IFERROR(__xludf.DUMMYFUNCTION("""COMPUTED_VALUE"""),183915.0)</f>
        <v>183915</v>
      </c>
      <c r="C640" s="1">
        <f>IFERROR(__xludf.DUMMYFUNCTION("""COMPUTED_VALUE"""),2026.0)</f>
        <v>2026</v>
      </c>
      <c r="D640" s="1">
        <f>IFERROR(__xludf.DUMMYFUNCTION("""COMPUTED_VALUE"""),46266.0)</f>
        <v>46266</v>
      </c>
      <c r="E640" s="1" t="str">
        <f>IFERROR(__xludf.DUMMYFUNCTION("""COMPUTED_VALUE"""),"VF")</f>
        <v>VF</v>
      </c>
      <c r="F640" s="1">
        <f>IFERROR(__xludf.DUMMYFUNCTION("""COMPUTED_VALUE"""),2.0)</f>
        <v>2</v>
      </c>
      <c r="G640" s="1" t="str">
        <f>IFERROR(__xludf.DUMMYFUNCTION("""COMPUTED_VALUE"""),"PR042")</f>
        <v>PR042</v>
      </c>
      <c r="H640" s="1" t="str">
        <f>IFERROR(__xludf.DUMMYFUNCTION("""COMPUTED_VALUE"""),"VD011")</f>
        <v>VD011</v>
      </c>
      <c r="I640" s="1">
        <f>IFERROR(__xludf.DUMMYFUNCTION("""COMPUTED_VALUE"""),9.0)</f>
        <v>9</v>
      </c>
      <c r="J640" s="1">
        <f>IFERROR(__xludf.DUMMYFUNCTION("""COMPUTED_VALUE"""),523.75)</f>
        <v>523.75</v>
      </c>
      <c r="K640" s="1">
        <f>IFERROR(__xludf.DUMMYFUNCTION("""COMPUTED_VALUE"""),523.75)</f>
        <v>523.75</v>
      </c>
    </row>
    <row r="641">
      <c r="A641" s="1">
        <f>IFERROR(__xludf.DUMMYFUNCTION("""COMPUTED_VALUE"""),1000.0)</f>
        <v>1000</v>
      </c>
      <c r="B641" s="1">
        <f>IFERROR(__xludf.DUMMYFUNCTION("""COMPUTED_VALUE"""),183916.0)</f>
        <v>183916</v>
      </c>
      <c r="C641" s="1">
        <f>IFERROR(__xludf.DUMMYFUNCTION("""COMPUTED_VALUE"""),2026.0)</f>
        <v>2026</v>
      </c>
      <c r="D641" s="1">
        <f>IFERROR(__xludf.DUMMYFUNCTION("""COMPUTED_VALUE"""),46265.0)</f>
        <v>46265</v>
      </c>
      <c r="E641" s="1" t="str">
        <f>IFERROR(__xludf.DUMMYFUNCTION("""COMPUTED_VALUE"""),"VF")</f>
        <v>VF</v>
      </c>
      <c r="F641" s="1">
        <f>IFERROR(__xludf.DUMMYFUNCTION("""COMPUTED_VALUE"""),1.0)</f>
        <v>1</v>
      </c>
      <c r="G641" s="1" t="str">
        <f>IFERROR(__xludf.DUMMYFUNCTION("""COMPUTED_VALUE"""),"PR034")</f>
        <v>PR034</v>
      </c>
      <c r="H641" s="1" t="str">
        <f>IFERROR(__xludf.DUMMYFUNCTION("""COMPUTED_VALUE"""),"VD033")</f>
        <v>VD033</v>
      </c>
      <c r="I641" s="1">
        <f>IFERROR(__xludf.DUMMYFUNCTION("""COMPUTED_VALUE"""),6.0)</f>
        <v>6</v>
      </c>
      <c r="J641" s="1">
        <f>IFERROR(__xludf.DUMMYFUNCTION("""COMPUTED_VALUE"""),539.4)</f>
        <v>539.4</v>
      </c>
      <c r="K641" s="1">
        <f>IFERROR(__xludf.DUMMYFUNCTION("""COMPUTED_VALUE"""),539.4)</f>
        <v>539.4</v>
      </c>
    </row>
    <row r="642">
      <c r="A642" s="1">
        <f>IFERROR(__xludf.DUMMYFUNCTION("""COMPUTED_VALUE"""),1000.0)</f>
        <v>1000</v>
      </c>
      <c r="B642" s="1">
        <f>IFERROR(__xludf.DUMMYFUNCTION("""COMPUTED_VALUE"""),183917.0)</f>
        <v>183917</v>
      </c>
      <c r="C642" s="1">
        <f>IFERROR(__xludf.DUMMYFUNCTION("""COMPUTED_VALUE"""),2026.0)</f>
        <v>2026</v>
      </c>
      <c r="D642" s="1">
        <f>IFERROR(__xludf.DUMMYFUNCTION("""COMPUTED_VALUE"""),46265.0)</f>
        <v>46265</v>
      </c>
      <c r="E642" s="1" t="str">
        <f>IFERROR(__xludf.DUMMYFUNCTION("""COMPUTED_VALUE"""),"VF")</f>
        <v>VF</v>
      </c>
      <c r="F642" s="1">
        <f>IFERROR(__xludf.DUMMYFUNCTION("""COMPUTED_VALUE"""),1.0)</f>
        <v>1</v>
      </c>
      <c r="G642" s="1" t="str">
        <f>IFERROR(__xludf.DUMMYFUNCTION("""COMPUTED_VALUE"""),"PR040")</f>
        <v>PR040</v>
      </c>
      <c r="H642" s="1" t="str">
        <f>IFERROR(__xludf.DUMMYFUNCTION("""COMPUTED_VALUE"""),"VD011")</f>
        <v>VD011</v>
      </c>
      <c r="I642" s="1">
        <f>IFERROR(__xludf.DUMMYFUNCTION("""COMPUTED_VALUE"""),2.0)</f>
        <v>2</v>
      </c>
      <c r="J642" s="1">
        <f>IFERROR(__xludf.DUMMYFUNCTION("""COMPUTED_VALUE"""),140.0)</f>
        <v>140</v>
      </c>
      <c r="K642" s="1">
        <f>IFERROR(__xludf.DUMMYFUNCTION("""COMPUTED_VALUE"""),140.0)</f>
        <v>140</v>
      </c>
    </row>
    <row r="643">
      <c r="A643" s="1">
        <f>IFERROR(__xludf.DUMMYFUNCTION("""COMPUTED_VALUE"""),1000.0)</f>
        <v>1000</v>
      </c>
      <c r="B643" s="1">
        <f>IFERROR(__xludf.DUMMYFUNCTION("""COMPUTED_VALUE"""),183918.0)</f>
        <v>183918</v>
      </c>
      <c r="C643" s="1">
        <f>IFERROR(__xludf.DUMMYFUNCTION("""COMPUTED_VALUE"""),2026.0)</f>
        <v>2026</v>
      </c>
      <c r="D643" s="1">
        <f>IFERROR(__xludf.DUMMYFUNCTION("""COMPUTED_VALUE"""),46265.0)</f>
        <v>46265</v>
      </c>
      <c r="E643" s="1" t="str">
        <f>IFERROR(__xludf.DUMMYFUNCTION("""COMPUTED_VALUE"""),"VF")</f>
        <v>VF</v>
      </c>
      <c r="F643" s="1">
        <f>IFERROR(__xludf.DUMMYFUNCTION("""COMPUTED_VALUE"""),1.0)</f>
        <v>1</v>
      </c>
      <c r="G643" s="1" t="str">
        <f>IFERROR(__xludf.DUMMYFUNCTION("""COMPUTED_VALUE"""),"PR004")</f>
        <v>PR004</v>
      </c>
      <c r="H643" s="1" t="str">
        <f>IFERROR(__xludf.DUMMYFUNCTION("""COMPUTED_VALUE"""),"VD012")</f>
        <v>VD012</v>
      </c>
      <c r="I643" s="1">
        <f>IFERROR(__xludf.DUMMYFUNCTION("""COMPUTED_VALUE"""),6.0)</f>
        <v>6</v>
      </c>
      <c r="J643" s="1">
        <f>IFERROR(__xludf.DUMMYFUNCTION("""COMPUTED_VALUE"""),948.3)</f>
        <v>948.3</v>
      </c>
      <c r="K643" s="1">
        <f>IFERROR(__xludf.DUMMYFUNCTION("""COMPUTED_VALUE"""),948.3)</f>
        <v>948.3</v>
      </c>
    </row>
    <row r="644">
      <c r="A644" s="1">
        <f>IFERROR(__xludf.DUMMYFUNCTION("""COMPUTED_VALUE"""),1000.0)</f>
        <v>1000</v>
      </c>
      <c r="B644" s="1">
        <f>IFERROR(__xludf.DUMMYFUNCTION("""COMPUTED_VALUE"""),183919.0)</f>
        <v>183919</v>
      </c>
      <c r="C644" s="1">
        <f>IFERROR(__xludf.DUMMYFUNCTION("""COMPUTED_VALUE"""),2026.0)</f>
        <v>2026</v>
      </c>
      <c r="D644" s="1">
        <f>IFERROR(__xludf.DUMMYFUNCTION("""COMPUTED_VALUE"""),46265.0)</f>
        <v>46265</v>
      </c>
      <c r="E644" s="1" t="str">
        <f>IFERROR(__xludf.DUMMYFUNCTION("""COMPUTED_VALUE"""),"VF")</f>
        <v>VF</v>
      </c>
      <c r="F644" s="1">
        <f>IFERROR(__xludf.DUMMYFUNCTION("""COMPUTED_VALUE"""),1.0)</f>
        <v>1</v>
      </c>
      <c r="G644" s="1" t="str">
        <f>IFERROR(__xludf.DUMMYFUNCTION("""COMPUTED_VALUE"""),"PR050")</f>
        <v>PR050</v>
      </c>
      <c r="H644" s="1" t="str">
        <f>IFERROR(__xludf.DUMMYFUNCTION("""COMPUTED_VALUE"""),"VD040")</f>
        <v>VD040</v>
      </c>
      <c r="I644" s="1">
        <f>IFERROR(__xludf.DUMMYFUNCTION("""COMPUTED_VALUE"""),6.0)</f>
        <v>6</v>
      </c>
      <c r="J644" s="1">
        <f>IFERROR(__xludf.DUMMYFUNCTION("""COMPUTED_VALUE"""),213.19)</f>
        <v>213.19</v>
      </c>
      <c r="K644" s="1">
        <f>IFERROR(__xludf.DUMMYFUNCTION("""COMPUTED_VALUE"""),213.19)</f>
        <v>213.19</v>
      </c>
    </row>
    <row r="645">
      <c r="A645" s="1">
        <f>IFERROR(__xludf.DUMMYFUNCTION("""COMPUTED_VALUE"""),2000.0)</f>
        <v>2000</v>
      </c>
      <c r="B645" s="1">
        <f>IFERROR(__xludf.DUMMYFUNCTION("""COMPUTED_VALUE"""),183919.0)</f>
        <v>183919</v>
      </c>
      <c r="C645" s="1">
        <f>IFERROR(__xludf.DUMMYFUNCTION("""COMPUTED_VALUE"""),2026.0)</f>
        <v>2026</v>
      </c>
      <c r="D645" s="1">
        <f>IFERROR(__xludf.DUMMYFUNCTION("""COMPUTED_VALUE"""),46265.0)</f>
        <v>46265</v>
      </c>
      <c r="E645" s="1" t="str">
        <f>IFERROR(__xludf.DUMMYFUNCTION("""COMPUTED_VALUE"""),"VF")</f>
        <v>VF</v>
      </c>
      <c r="F645" s="1">
        <f>IFERROR(__xludf.DUMMYFUNCTION("""COMPUTED_VALUE"""),2.0)</f>
        <v>2</v>
      </c>
      <c r="G645" s="1" t="str">
        <f>IFERROR(__xludf.DUMMYFUNCTION("""COMPUTED_VALUE"""),"PR059")</f>
        <v>PR059</v>
      </c>
      <c r="H645" s="1" t="str">
        <f>IFERROR(__xludf.DUMMYFUNCTION("""COMPUTED_VALUE"""),"VD027")</f>
        <v>VD027</v>
      </c>
      <c r="I645" s="1">
        <f>IFERROR(__xludf.DUMMYFUNCTION("""COMPUTED_VALUE"""),2.0)</f>
        <v>2</v>
      </c>
      <c r="J645" s="1">
        <f>IFERROR(__xludf.DUMMYFUNCTION("""COMPUTED_VALUE"""),378.0)</f>
        <v>378</v>
      </c>
      <c r="K645" s="1">
        <f>IFERROR(__xludf.DUMMYFUNCTION("""COMPUTED_VALUE"""),378.0)</f>
        <v>378</v>
      </c>
    </row>
    <row r="646">
      <c r="A646" s="1">
        <f>IFERROR(__xludf.DUMMYFUNCTION("""COMPUTED_VALUE"""),1000.0)</f>
        <v>1000</v>
      </c>
      <c r="B646" s="1">
        <f>IFERROR(__xludf.DUMMYFUNCTION("""COMPUTED_VALUE"""),183919.0)</f>
        <v>183919</v>
      </c>
      <c r="C646" s="1">
        <f>IFERROR(__xludf.DUMMYFUNCTION("""COMPUTED_VALUE"""),2026.0)</f>
        <v>2026</v>
      </c>
      <c r="D646" s="1">
        <f>IFERROR(__xludf.DUMMYFUNCTION("""COMPUTED_VALUE"""),46264.0)</f>
        <v>46264</v>
      </c>
      <c r="E646" s="1" t="str">
        <f>IFERROR(__xludf.DUMMYFUNCTION("""COMPUTED_VALUE"""),"VF")</f>
        <v>VF</v>
      </c>
      <c r="F646" s="1">
        <f>IFERROR(__xludf.DUMMYFUNCTION("""COMPUTED_VALUE"""),3.0)</f>
        <v>3</v>
      </c>
      <c r="G646" s="1" t="str">
        <f>IFERROR(__xludf.DUMMYFUNCTION("""COMPUTED_VALUE"""),"PR058")</f>
        <v>PR058</v>
      </c>
      <c r="H646" s="1" t="str">
        <f>IFERROR(__xludf.DUMMYFUNCTION("""COMPUTED_VALUE"""),"VD031")</f>
        <v>VD031</v>
      </c>
      <c r="I646" s="1">
        <f>IFERROR(__xludf.DUMMYFUNCTION("""COMPUTED_VALUE"""),5.0)</f>
        <v>5</v>
      </c>
      <c r="J646" s="1">
        <f>IFERROR(__xludf.DUMMYFUNCTION("""COMPUTED_VALUE"""),927.0)</f>
        <v>927</v>
      </c>
      <c r="K646" s="1">
        <f>IFERROR(__xludf.DUMMYFUNCTION("""COMPUTED_VALUE"""),927.0)</f>
        <v>927</v>
      </c>
    </row>
    <row r="647">
      <c r="A647" s="1">
        <f>IFERROR(__xludf.DUMMYFUNCTION("""COMPUTED_VALUE"""),1000.0)</f>
        <v>1000</v>
      </c>
      <c r="B647" s="1">
        <f>IFERROR(__xludf.DUMMYFUNCTION("""COMPUTED_VALUE"""),183919.0)</f>
        <v>183919</v>
      </c>
      <c r="C647" s="1">
        <f>IFERROR(__xludf.DUMMYFUNCTION("""COMPUTED_VALUE"""),2026.0)</f>
        <v>2026</v>
      </c>
      <c r="D647" s="1">
        <f>IFERROR(__xludf.DUMMYFUNCTION("""COMPUTED_VALUE"""),46264.0)</f>
        <v>46264</v>
      </c>
      <c r="E647" s="1" t="str">
        <f>IFERROR(__xludf.DUMMYFUNCTION("""COMPUTED_VALUE"""),"VF")</f>
        <v>VF</v>
      </c>
      <c r="F647" s="1">
        <f>IFERROR(__xludf.DUMMYFUNCTION("""COMPUTED_VALUE"""),4.0)</f>
        <v>4</v>
      </c>
      <c r="G647" s="1" t="str">
        <f>IFERROR(__xludf.DUMMYFUNCTION("""COMPUTED_VALUE"""),"PR039")</f>
        <v>PR039</v>
      </c>
      <c r="H647" s="1" t="str">
        <f>IFERROR(__xludf.DUMMYFUNCTION("""COMPUTED_VALUE"""),"VD048")</f>
        <v>VD048</v>
      </c>
      <c r="I647" s="1">
        <f>IFERROR(__xludf.DUMMYFUNCTION("""COMPUTED_VALUE"""),1.0)</f>
        <v>1</v>
      </c>
      <c r="J647" s="1">
        <f>IFERROR(__xludf.DUMMYFUNCTION("""COMPUTED_VALUE"""),153.3)</f>
        <v>153.3</v>
      </c>
      <c r="K647" s="1">
        <f>IFERROR(__xludf.DUMMYFUNCTION("""COMPUTED_VALUE"""),153.3)</f>
        <v>153.3</v>
      </c>
    </row>
    <row r="648">
      <c r="A648" s="1">
        <f>IFERROR(__xludf.DUMMYFUNCTION("""COMPUTED_VALUE"""),1000.0)</f>
        <v>1000</v>
      </c>
      <c r="B648" s="1">
        <f>IFERROR(__xludf.DUMMYFUNCTION("""COMPUTED_VALUE"""),183920.0)</f>
        <v>183920</v>
      </c>
      <c r="C648" s="1">
        <f>IFERROR(__xludf.DUMMYFUNCTION("""COMPUTED_VALUE"""),2026.0)</f>
        <v>2026</v>
      </c>
      <c r="D648" s="1">
        <f>IFERROR(__xludf.DUMMYFUNCTION("""COMPUTED_VALUE"""),46264.0)</f>
        <v>46264</v>
      </c>
      <c r="E648" s="1" t="str">
        <f>IFERROR(__xludf.DUMMYFUNCTION("""COMPUTED_VALUE"""),"VF")</f>
        <v>VF</v>
      </c>
      <c r="F648" s="1">
        <f>IFERROR(__xludf.DUMMYFUNCTION("""COMPUTED_VALUE"""),1.0)</f>
        <v>1</v>
      </c>
      <c r="G648" s="1" t="str">
        <f>IFERROR(__xludf.DUMMYFUNCTION("""COMPUTED_VALUE"""),"PR001")</f>
        <v>PR001</v>
      </c>
      <c r="H648" s="1" t="str">
        <f>IFERROR(__xludf.DUMMYFUNCTION("""COMPUTED_VALUE"""),"VD028")</f>
        <v>VD028</v>
      </c>
      <c r="I648" s="1">
        <f>IFERROR(__xludf.DUMMYFUNCTION("""COMPUTED_VALUE"""),5.0)</f>
        <v>5</v>
      </c>
      <c r="J648" s="1">
        <f>IFERROR(__xludf.DUMMYFUNCTION("""COMPUTED_VALUE"""),336.09)</f>
        <v>336.09</v>
      </c>
      <c r="K648" s="1">
        <f>IFERROR(__xludf.DUMMYFUNCTION("""COMPUTED_VALUE"""),336.09)</f>
        <v>336.09</v>
      </c>
    </row>
    <row r="649">
      <c r="A649" s="1">
        <f>IFERROR(__xludf.DUMMYFUNCTION("""COMPUTED_VALUE"""),1000.0)</f>
        <v>1000</v>
      </c>
      <c r="B649" s="1">
        <f>IFERROR(__xludf.DUMMYFUNCTION("""COMPUTED_VALUE"""),183920.0)</f>
        <v>183920</v>
      </c>
      <c r="C649" s="1">
        <f>IFERROR(__xludf.DUMMYFUNCTION("""COMPUTED_VALUE"""),2026.0)</f>
        <v>2026</v>
      </c>
      <c r="D649" s="1">
        <f>IFERROR(__xludf.DUMMYFUNCTION("""COMPUTED_VALUE"""),46263.0)</f>
        <v>46263</v>
      </c>
      <c r="E649" s="1" t="str">
        <f>IFERROR(__xludf.DUMMYFUNCTION("""COMPUTED_VALUE"""),"VF")</f>
        <v>VF</v>
      </c>
      <c r="F649" s="1">
        <f>IFERROR(__xludf.DUMMYFUNCTION("""COMPUTED_VALUE"""),2.0)</f>
        <v>2</v>
      </c>
      <c r="G649" s="1" t="str">
        <f>IFERROR(__xludf.DUMMYFUNCTION("""COMPUTED_VALUE"""),"PR006")</f>
        <v>PR006</v>
      </c>
      <c r="H649" s="1" t="str">
        <f>IFERROR(__xludf.DUMMYFUNCTION("""COMPUTED_VALUE"""),"VD027")</f>
        <v>VD027</v>
      </c>
      <c r="I649" s="1">
        <f>IFERROR(__xludf.DUMMYFUNCTION("""COMPUTED_VALUE"""),8.0)</f>
        <v>8</v>
      </c>
      <c r="J649" s="1">
        <f>IFERROR(__xludf.DUMMYFUNCTION("""COMPUTED_VALUE"""),347.93)</f>
        <v>347.93</v>
      </c>
      <c r="K649" s="1">
        <f>IFERROR(__xludf.DUMMYFUNCTION("""COMPUTED_VALUE"""),347.93)</f>
        <v>347.93</v>
      </c>
    </row>
    <row r="650">
      <c r="A650" s="1">
        <f>IFERROR(__xludf.DUMMYFUNCTION("""COMPUTED_VALUE"""),1000.0)</f>
        <v>1000</v>
      </c>
      <c r="B650" s="1">
        <f>IFERROR(__xludf.DUMMYFUNCTION("""COMPUTED_VALUE"""),183921.0)</f>
        <v>183921</v>
      </c>
      <c r="C650" s="1">
        <f>IFERROR(__xludf.DUMMYFUNCTION("""COMPUTED_VALUE"""),2026.0)</f>
        <v>2026</v>
      </c>
      <c r="D650" s="1">
        <f>IFERROR(__xludf.DUMMYFUNCTION("""COMPUTED_VALUE"""),46263.0)</f>
        <v>46263</v>
      </c>
      <c r="E650" s="1" t="str">
        <f>IFERROR(__xludf.DUMMYFUNCTION("""COMPUTED_VALUE"""),"VF")</f>
        <v>VF</v>
      </c>
      <c r="F650" s="1">
        <f>IFERROR(__xludf.DUMMYFUNCTION("""COMPUTED_VALUE"""),1.0)</f>
        <v>1</v>
      </c>
      <c r="G650" s="1" t="str">
        <f>IFERROR(__xludf.DUMMYFUNCTION("""COMPUTED_VALUE"""),"PR049")</f>
        <v>PR049</v>
      </c>
      <c r="H650" s="1" t="str">
        <f>IFERROR(__xludf.DUMMYFUNCTION("""COMPUTED_VALUE"""),"VD017")</f>
        <v>VD017</v>
      </c>
      <c r="I650" s="1">
        <f>IFERROR(__xludf.DUMMYFUNCTION("""COMPUTED_VALUE"""),16.0)</f>
        <v>16</v>
      </c>
      <c r="J650" s="1">
        <f>IFERROR(__xludf.DUMMYFUNCTION("""COMPUTED_VALUE"""),536.93)</f>
        <v>536.93</v>
      </c>
      <c r="K650" s="1">
        <f>IFERROR(__xludf.DUMMYFUNCTION("""COMPUTED_VALUE"""),536.93)</f>
        <v>536.93</v>
      </c>
    </row>
    <row r="651">
      <c r="A651" s="1">
        <f>IFERROR(__xludf.DUMMYFUNCTION("""COMPUTED_VALUE"""),1000.0)</f>
        <v>1000</v>
      </c>
      <c r="B651" s="1">
        <f>IFERROR(__xludf.DUMMYFUNCTION("""COMPUTED_VALUE"""),183921.0)</f>
        <v>183921</v>
      </c>
      <c r="C651" s="1">
        <f>IFERROR(__xludf.DUMMYFUNCTION("""COMPUTED_VALUE"""),2026.0)</f>
        <v>2026</v>
      </c>
      <c r="D651" s="1">
        <f>IFERROR(__xludf.DUMMYFUNCTION("""COMPUTED_VALUE"""),46263.0)</f>
        <v>46263</v>
      </c>
      <c r="E651" s="1" t="str">
        <f>IFERROR(__xludf.DUMMYFUNCTION("""COMPUTED_VALUE"""),"VF")</f>
        <v>VF</v>
      </c>
      <c r="F651" s="1">
        <f>IFERROR(__xludf.DUMMYFUNCTION("""COMPUTED_VALUE"""),2.0)</f>
        <v>2</v>
      </c>
      <c r="G651" s="1" t="str">
        <f>IFERROR(__xludf.DUMMYFUNCTION("""COMPUTED_VALUE"""),"PR029")</f>
        <v>PR029</v>
      </c>
      <c r="H651" s="1" t="str">
        <f>IFERROR(__xludf.DUMMYFUNCTION("""COMPUTED_VALUE"""),"VD035")</f>
        <v>VD035</v>
      </c>
      <c r="I651" s="1">
        <f>IFERROR(__xludf.DUMMYFUNCTION("""COMPUTED_VALUE"""),8.0)</f>
        <v>8</v>
      </c>
      <c r="J651" s="1">
        <f>IFERROR(__xludf.DUMMYFUNCTION("""COMPUTED_VALUE"""),2121.6)</f>
        <v>2121.6</v>
      </c>
      <c r="K651" s="1">
        <f>IFERROR(__xludf.DUMMYFUNCTION("""COMPUTED_VALUE"""),2121.6)</f>
        <v>2121.6</v>
      </c>
    </row>
    <row r="652">
      <c r="A652" s="1">
        <f>IFERROR(__xludf.DUMMYFUNCTION("""COMPUTED_VALUE"""),1000.0)</f>
        <v>1000</v>
      </c>
      <c r="B652" s="1">
        <f>IFERROR(__xludf.DUMMYFUNCTION("""COMPUTED_VALUE"""),183922.0)</f>
        <v>183922</v>
      </c>
      <c r="C652" s="1">
        <f>IFERROR(__xludf.DUMMYFUNCTION("""COMPUTED_VALUE"""),2026.0)</f>
        <v>2026</v>
      </c>
      <c r="D652" s="1">
        <f>IFERROR(__xludf.DUMMYFUNCTION("""COMPUTED_VALUE"""),46263.0)</f>
        <v>46263</v>
      </c>
      <c r="E652" s="1" t="str">
        <f>IFERROR(__xludf.DUMMYFUNCTION("""COMPUTED_VALUE"""),"VF")</f>
        <v>VF</v>
      </c>
      <c r="F652" s="1">
        <f>IFERROR(__xludf.DUMMYFUNCTION("""COMPUTED_VALUE"""),1.0)</f>
        <v>1</v>
      </c>
      <c r="G652" s="1" t="str">
        <f>IFERROR(__xludf.DUMMYFUNCTION("""COMPUTED_VALUE"""),"PR053")</f>
        <v>PR053</v>
      </c>
      <c r="H652" s="1" t="str">
        <f>IFERROR(__xludf.DUMMYFUNCTION("""COMPUTED_VALUE"""),"VD017")</f>
        <v>VD017</v>
      </c>
      <c r="I652" s="1">
        <f>IFERROR(__xludf.DUMMYFUNCTION("""COMPUTED_VALUE"""),3.0)</f>
        <v>3</v>
      </c>
      <c r="J652" s="1">
        <f>IFERROR(__xludf.DUMMYFUNCTION("""COMPUTED_VALUE"""),164.67)</f>
        <v>164.67</v>
      </c>
      <c r="K652" s="1">
        <f>IFERROR(__xludf.DUMMYFUNCTION("""COMPUTED_VALUE"""),164.67)</f>
        <v>164.67</v>
      </c>
    </row>
    <row r="653">
      <c r="A653" s="1">
        <f>IFERROR(__xludf.DUMMYFUNCTION("""COMPUTED_VALUE"""),1000.0)</f>
        <v>1000</v>
      </c>
      <c r="B653" s="1">
        <f>IFERROR(__xludf.DUMMYFUNCTION("""COMPUTED_VALUE"""),183923.0)</f>
        <v>183923</v>
      </c>
      <c r="C653" s="1">
        <f>IFERROR(__xludf.DUMMYFUNCTION("""COMPUTED_VALUE"""),2026.0)</f>
        <v>2026</v>
      </c>
      <c r="D653" s="1">
        <f>IFERROR(__xludf.DUMMYFUNCTION("""COMPUTED_VALUE"""),46263.0)</f>
        <v>46263</v>
      </c>
      <c r="E653" s="1" t="str">
        <f>IFERROR(__xludf.DUMMYFUNCTION("""COMPUTED_VALUE"""),"VF")</f>
        <v>VF</v>
      </c>
      <c r="F653" s="1">
        <f>IFERROR(__xludf.DUMMYFUNCTION("""COMPUTED_VALUE"""),1.0)</f>
        <v>1</v>
      </c>
      <c r="G653" s="1" t="str">
        <f>IFERROR(__xludf.DUMMYFUNCTION("""COMPUTED_VALUE"""),"PR058")</f>
        <v>PR058</v>
      </c>
      <c r="H653" s="1" t="str">
        <f>IFERROR(__xludf.DUMMYFUNCTION("""COMPUTED_VALUE"""),"VD038")</f>
        <v>VD038</v>
      </c>
      <c r="I653" s="1">
        <f>IFERROR(__xludf.DUMMYFUNCTION("""COMPUTED_VALUE"""),5.0)</f>
        <v>5</v>
      </c>
      <c r="J653" s="1">
        <f>IFERROR(__xludf.DUMMYFUNCTION("""COMPUTED_VALUE"""),909.0)</f>
        <v>909</v>
      </c>
      <c r="K653" s="1">
        <f>IFERROR(__xludf.DUMMYFUNCTION("""COMPUTED_VALUE"""),909.0)</f>
        <v>909</v>
      </c>
    </row>
    <row r="654">
      <c r="A654" s="1">
        <f>IFERROR(__xludf.DUMMYFUNCTION("""COMPUTED_VALUE"""),1000.0)</f>
        <v>1000</v>
      </c>
      <c r="B654" s="1">
        <f>IFERROR(__xludf.DUMMYFUNCTION("""COMPUTED_VALUE"""),183924.0)</f>
        <v>183924</v>
      </c>
      <c r="C654" s="1">
        <f>IFERROR(__xludf.DUMMYFUNCTION("""COMPUTED_VALUE"""),2026.0)</f>
        <v>2026</v>
      </c>
      <c r="D654" s="1">
        <f>IFERROR(__xludf.DUMMYFUNCTION("""COMPUTED_VALUE"""),46263.0)</f>
        <v>46263</v>
      </c>
      <c r="E654" s="1" t="str">
        <f>IFERROR(__xludf.DUMMYFUNCTION("""COMPUTED_VALUE"""),"VF")</f>
        <v>VF</v>
      </c>
      <c r="F654" s="1">
        <f>IFERROR(__xludf.DUMMYFUNCTION("""COMPUTED_VALUE"""),1.0)</f>
        <v>1</v>
      </c>
      <c r="G654" s="1" t="str">
        <f>IFERROR(__xludf.DUMMYFUNCTION("""COMPUTED_VALUE"""),"PR054")</f>
        <v>PR054</v>
      </c>
      <c r="H654" s="1" t="str">
        <f>IFERROR(__xludf.DUMMYFUNCTION("""COMPUTED_VALUE"""),"VD021")</f>
        <v>VD021</v>
      </c>
      <c r="I654" s="1">
        <f>IFERROR(__xludf.DUMMYFUNCTION("""COMPUTED_VALUE"""),12.0)</f>
        <v>12</v>
      </c>
      <c r="J654" s="1">
        <f>IFERROR(__xludf.DUMMYFUNCTION("""COMPUTED_VALUE"""),604.79)</f>
        <v>604.79</v>
      </c>
      <c r="K654" s="1">
        <f>IFERROR(__xludf.DUMMYFUNCTION("""COMPUTED_VALUE"""),604.79)</f>
        <v>604.79</v>
      </c>
    </row>
    <row r="655">
      <c r="A655" s="1">
        <f>IFERROR(__xludf.DUMMYFUNCTION("""COMPUTED_VALUE"""),1000.0)</f>
        <v>1000</v>
      </c>
      <c r="B655" s="1">
        <f>IFERROR(__xludf.DUMMYFUNCTION("""COMPUTED_VALUE"""),183924.0)</f>
        <v>183924</v>
      </c>
      <c r="C655" s="1">
        <f>IFERROR(__xludf.DUMMYFUNCTION("""COMPUTED_VALUE"""),2026.0)</f>
        <v>2026</v>
      </c>
      <c r="D655" s="1">
        <f>IFERROR(__xludf.DUMMYFUNCTION("""COMPUTED_VALUE"""),46262.0)</f>
        <v>46262</v>
      </c>
      <c r="E655" s="1" t="str">
        <f>IFERROR(__xludf.DUMMYFUNCTION("""COMPUTED_VALUE"""),"VF")</f>
        <v>VF</v>
      </c>
      <c r="F655" s="1">
        <f>IFERROR(__xludf.DUMMYFUNCTION("""COMPUTED_VALUE"""),2.0)</f>
        <v>2</v>
      </c>
      <c r="G655" s="1" t="str">
        <f>IFERROR(__xludf.DUMMYFUNCTION("""COMPUTED_VALUE"""),"PR035")</f>
        <v>PR035</v>
      </c>
      <c r="H655" s="1" t="str">
        <f>IFERROR(__xludf.DUMMYFUNCTION("""COMPUTED_VALUE"""),"VD039")</f>
        <v>VD039</v>
      </c>
      <c r="I655" s="1">
        <f>IFERROR(__xludf.DUMMYFUNCTION("""COMPUTED_VALUE"""),1.0)</f>
        <v>1</v>
      </c>
      <c r="J655" s="1">
        <f>IFERROR(__xludf.DUMMYFUNCTION("""COMPUTED_VALUE"""),94.14)</f>
        <v>94.14</v>
      </c>
      <c r="K655" s="1">
        <f>IFERROR(__xludf.DUMMYFUNCTION("""COMPUTED_VALUE"""),94.14)</f>
        <v>94.14</v>
      </c>
    </row>
    <row r="656">
      <c r="A656" s="1">
        <f>IFERROR(__xludf.DUMMYFUNCTION("""COMPUTED_VALUE"""),1000.0)</f>
        <v>1000</v>
      </c>
      <c r="B656" s="1">
        <f>IFERROR(__xludf.DUMMYFUNCTION("""COMPUTED_VALUE"""),183925.0)</f>
        <v>183925</v>
      </c>
      <c r="C656" s="1">
        <f>IFERROR(__xludf.DUMMYFUNCTION("""COMPUTED_VALUE"""),2026.0)</f>
        <v>2026</v>
      </c>
      <c r="D656" s="1">
        <f>IFERROR(__xludf.DUMMYFUNCTION("""COMPUTED_VALUE"""),46262.0)</f>
        <v>46262</v>
      </c>
      <c r="E656" s="1" t="str">
        <f>IFERROR(__xludf.DUMMYFUNCTION("""COMPUTED_VALUE"""),"VF")</f>
        <v>VF</v>
      </c>
      <c r="F656" s="1">
        <f>IFERROR(__xludf.DUMMYFUNCTION("""COMPUTED_VALUE"""),1.0)</f>
        <v>1</v>
      </c>
      <c r="G656" s="1" t="str">
        <f>IFERROR(__xludf.DUMMYFUNCTION("""COMPUTED_VALUE"""),"PR013")</f>
        <v>PR013</v>
      </c>
      <c r="H656" s="1" t="str">
        <f>IFERROR(__xludf.DUMMYFUNCTION("""COMPUTED_VALUE"""),"VD020")</f>
        <v>VD020</v>
      </c>
      <c r="I656" s="1">
        <f>IFERROR(__xludf.DUMMYFUNCTION("""COMPUTED_VALUE"""),18.0)</f>
        <v>18</v>
      </c>
      <c r="J656" s="1">
        <f>IFERROR(__xludf.DUMMYFUNCTION("""COMPUTED_VALUE"""),761.29)</f>
        <v>761.29</v>
      </c>
      <c r="K656" s="1">
        <f>IFERROR(__xludf.DUMMYFUNCTION("""COMPUTED_VALUE"""),761.29)</f>
        <v>761.29</v>
      </c>
    </row>
    <row r="657">
      <c r="A657" s="1">
        <f>IFERROR(__xludf.DUMMYFUNCTION("""COMPUTED_VALUE"""),1000.0)</f>
        <v>1000</v>
      </c>
      <c r="B657" s="1">
        <f>IFERROR(__xludf.DUMMYFUNCTION("""COMPUTED_VALUE"""),183926.0)</f>
        <v>183926</v>
      </c>
      <c r="C657" s="1">
        <f>IFERROR(__xludf.DUMMYFUNCTION("""COMPUTED_VALUE"""),2026.0)</f>
        <v>2026</v>
      </c>
      <c r="D657" s="1">
        <f>IFERROR(__xludf.DUMMYFUNCTION("""COMPUTED_VALUE"""),46262.0)</f>
        <v>46262</v>
      </c>
      <c r="E657" s="1" t="str">
        <f>IFERROR(__xludf.DUMMYFUNCTION("""COMPUTED_VALUE"""),"VF")</f>
        <v>VF</v>
      </c>
      <c r="F657" s="1">
        <f>IFERROR(__xludf.DUMMYFUNCTION("""COMPUTED_VALUE"""),1.0)</f>
        <v>1</v>
      </c>
      <c r="G657" s="1" t="str">
        <f>IFERROR(__xludf.DUMMYFUNCTION("""COMPUTED_VALUE"""),"PR011")</f>
        <v>PR011</v>
      </c>
      <c r="H657" s="1" t="str">
        <f>IFERROR(__xludf.DUMMYFUNCTION("""COMPUTED_VALUE"""),"VD032")</f>
        <v>VD032</v>
      </c>
      <c r="I657" s="1">
        <f>IFERROR(__xludf.DUMMYFUNCTION("""COMPUTED_VALUE"""),18.0)</f>
        <v>18</v>
      </c>
      <c r="J657" s="1">
        <f>IFERROR(__xludf.DUMMYFUNCTION("""COMPUTED_VALUE"""),886.41)</f>
        <v>886.41</v>
      </c>
      <c r="K657" s="1">
        <f>IFERROR(__xludf.DUMMYFUNCTION("""COMPUTED_VALUE"""),886.41)</f>
        <v>886.41</v>
      </c>
    </row>
    <row r="658">
      <c r="A658" s="1">
        <f>IFERROR(__xludf.DUMMYFUNCTION("""COMPUTED_VALUE"""),1000.0)</f>
        <v>1000</v>
      </c>
      <c r="B658" s="1">
        <f>IFERROR(__xludf.DUMMYFUNCTION("""COMPUTED_VALUE"""),183927.0)</f>
        <v>183927</v>
      </c>
      <c r="C658" s="1">
        <f>IFERROR(__xludf.DUMMYFUNCTION("""COMPUTED_VALUE"""),2026.0)</f>
        <v>2026</v>
      </c>
      <c r="D658" s="1">
        <f>IFERROR(__xludf.DUMMYFUNCTION("""COMPUTED_VALUE"""),46261.0)</f>
        <v>46261</v>
      </c>
      <c r="E658" s="1" t="str">
        <f>IFERROR(__xludf.DUMMYFUNCTION("""COMPUTED_VALUE"""),"VF")</f>
        <v>VF</v>
      </c>
      <c r="F658" s="1">
        <f>IFERROR(__xludf.DUMMYFUNCTION("""COMPUTED_VALUE"""),1.0)</f>
        <v>1</v>
      </c>
      <c r="G658" s="1" t="str">
        <f>IFERROR(__xludf.DUMMYFUNCTION("""COMPUTED_VALUE"""),"PR037")</f>
        <v>PR037</v>
      </c>
      <c r="H658" s="1" t="str">
        <f>IFERROR(__xludf.DUMMYFUNCTION("""COMPUTED_VALUE"""),"VD010")</f>
        <v>VD010</v>
      </c>
      <c r="I658" s="1">
        <f>IFERROR(__xludf.DUMMYFUNCTION("""COMPUTED_VALUE"""),10.0)</f>
        <v>10</v>
      </c>
      <c r="J658" s="1">
        <f>IFERROR(__xludf.DUMMYFUNCTION("""COMPUTED_VALUE"""),1540.0)</f>
        <v>1540</v>
      </c>
      <c r="K658" s="1">
        <f>IFERROR(__xludf.DUMMYFUNCTION("""COMPUTED_VALUE"""),1540.0)</f>
        <v>1540</v>
      </c>
    </row>
    <row r="659">
      <c r="A659" s="1">
        <f>IFERROR(__xludf.DUMMYFUNCTION("""COMPUTED_VALUE"""),1000.0)</f>
        <v>1000</v>
      </c>
      <c r="B659" s="1">
        <f>IFERROR(__xludf.DUMMYFUNCTION("""COMPUTED_VALUE"""),183928.0)</f>
        <v>183928</v>
      </c>
      <c r="C659" s="1">
        <f>IFERROR(__xludf.DUMMYFUNCTION("""COMPUTED_VALUE"""),2026.0)</f>
        <v>2026</v>
      </c>
      <c r="D659" s="1">
        <f>IFERROR(__xludf.DUMMYFUNCTION("""COMPUTED_VALUE"""),46261.0)</f>
        <v>46261</v>
      </c>
      <c r="E659" s="1" t="str">
        <f>IFERROR(__xludf.DUMMYFUNCTION("""COMPUTED_VALUE"""),"VF")</f>
        <v>VF</v>
      </c>
      <c r="F659" s="1">
        <f>IFERROR(__xludf.DUMMYFUNCTION("""COMPUTED_VALUE"""),1.0)</f>
        <v>1</v>
      </c>
      <c r="G659" s="1" t="str">
        <f>IFERROR(__xludf.DUMMYFUNCTION("""COMPUTED_VALUE"""),"PR038")</f>
        <v>PR038</v>
      </c>
      <c r="H659" s="1" t="str">
        <f>IFERROR(__xludf.DUMMYFUNCTION("""COMPUTED_VALUE"""),"VD040")</f>
        <v>VD040</v>
      </c>
      <c r="I659" s="1">
        <f>IFERROR(__xludf.DUMMYFUNCTION("""COMPUTED_VALUE"""),6.0)</f>
        <v>6</v>
      </c>
      <c r="J659" s="1">
        <f>IFERROR(__xludf.DUMMYFUNCTION("""COMPUTED_VALUE"""),908.84)</f>
        <v>908.84</v>
      </c>
      <c r="K659" s="1">
        <f>IFERROR(__xludf.DUMMYFUNCTION("""COMPUTED_VALUE"""),908.84)</f>
        <v>908.84</v>
      </c>
    </row>
    <row r="660">
      <c r="A660" s="1">
        <f>IFERROR(__xludf.DUMMYFUNCTION("""COMPUTED_VALUE"""),1000.0)</f>
        <v>1000</v>
      </c>
      <c r="B660" s="1">
        <f>IFERROR(__xludf.DUMMYFUNCTION("""COMPUTED_VALUE"""),183929.0)</f>
        <v>183929</v>
      </c>
      <c r="C660" s="1">
        <f>IFERROR(__xludf.DUMMYFUNCTION("""COMPUTED_VALUE"""),2026.0)</f>
        <v>2026</v>
      </c>
      <c r="D660" s="1">
        <f>IFERROR(__xludf.DUMMYFUNCTION("""COMPUTED_VALUE"""),46261.0)</f>
        <v>46261</v>
      </c>
      <c r="E660" s="1" t="str">
        <f>IFERROR(__xludf.DUMMYFUNCTION("""COMPUTED_VALUE"""),"VF")</f>
        <v>VF</v>
      </c>
      <c r="F660" s="1">
        <f>IFERROR(__xludf.DUMMYFUNCTION("""COMPUTED_VALUE"""),1.0)</f>
        <v>1</v>
      </c>
      <c r="G660" s="1" t="str">
        <f>IFERROR(__xludf.DUMMYFUNCTION("""COMPUTED_VALUE"""),"PR049")</f>
        <v>PR049</v>
      </c>
      <c r="H660" s="1" t="str">
        <f>IFERROR(__xludf.DUMMYFUNCTION("""COMPUTED_VALUE"""),"VD020")</f>
        <v>VD020</v>
      </c>
      <c r="I660" s="1">
        <f>IFERROR(__xludf.DUMMYFUNCTION("""COMPUTED_VALUE"""),2.0)</f>
        <v>2</v>
      </c>
      <c r="J660" s="1">
        <f>IFERROR(__xludf.DUMMYFUNCTION("""COMPUTED_VALUE"""),68.43)</f>
        <v>68.43</v>
      </c>
      <c r="K660" s="1">
        <f>IFERROR(__xludf.DUMMYFUNCTION("""COMPUTED_VALUE"""),68.43)</f>
        <v>68.43</v>
      </c>
    </row>
    <row r="661">
      <c r="A661" s="1">
        <f>IFERROR(__xludf.DUMMYFUNCTION("""COMPUTED_VALUE"""),2000.0)</f>
        <v>2000</v>
      </c>
      <c r="B661" s="1">
        <f>IFERROR(__xludf.DUMMYFUNCTION("""COMPUTED_VALUE"""),183929.0)</f>
        <v>183929</v>
      </c>
      <c r="C661" s="1">
        <f>IFERROR(__xludf.DUMMYFUNCTION("""COMPUTED_VALUE"""),2026.0)</f>
        <v>2026</v>
      </c>
      <c r="D661" s="1">
        <f>IFERROR(__xludf.DUMMYFUNCTION("""COMPUTED_VALUE"""),46261.0)</f>
        <v>46261</v>
      </c>
      <c r="E661" s="1" t="str">
        <f>IFERROR(__xludf.DUMMYFUNCTION("""COMPUTED_VALUE"""),"VF")</f>
        <v>VF</v>
      </c>
      <c r="F661" s="1">
        <f>IFERROR(__xludf.DUMMYFUNCTION("""COMPUTED_VALUE"""),2.0)</f>
        <v>2</v>
      </c>
      <c r="G661" s="1" t="str">
        <f>IFERROR(__xludf.DUMMYFUNCTION("""COMPUTED_VALUE"""),"PR006")</f>
        <v>PR006</v>
      </c>
      <c r="H661" s="1" t="str">
        <f>IFERROR(__xludf.DUMMYFUNCTION("""COMPUTED_VALUE"""),"VD048")</f>
        <v>VD048</v>
      </c>
      <c r="I661" s="1">
        <f>IFERROR(__xludf.DUMMYFUNCTION("""COMPUTED_VALUE"""),7.0)</f>
        <v>7</v>
      </c>
      <c r="J661" s="1">
        <f>IFERROR(__xludf.DUMMYFUNCTION("""COMPUTED_VALUE"""),307.23)</f>
        <v>307.23</v>
      </c>
      <c r="K661" s="1">
        <f>IFERROR(__xludf.DUMMYFUNCTION("""COMPUTED_VALUE"""),307.23)</f>
        <v>307.23</v>
      </c>
    </row>
    <row r="662">
      <c r="A662" s="1">
        <f>IFERROR(__xludf.DUMMYFUNCTION("""COMPUTED_VALUE"""),1000.0)</f>
        <v>1000</v>
      </c>
      <c r="B662" s="1">
        <f>IFERROR(__xludf.DUMMYFUNCTION("""COMPUTED_VALUE"""),183930.0)</f>
        <v>183930</v>
      </c>
      <c r="C662" s="1">
        <f>IFERROR(__xludf.DUMMYFUNCTION("""COMPUTED_VALUE"""),2026.0)</f>
        <v>2026</v>
      </c>
      <c r="D662" s="1">
        <f>IFERROR(__xludf.DUMMYFUNCTION("""COMPUTED_VALUE"""),46260.0)</f>
        <v>46260</v>
      </c>
      <c r="E662" s="1" t="str">
        <f>IFERROR(__xludf.DUMMYFUNCTION("""COMPUTED_VALUE"""),"VF")</f>
        <v>VF</v>
      </c>
      <c r="F662" s="1">
        <f>IFERROR(__xludf.DUMMYFUNCTION("""COMPUTED_VALUE"""),1.0)</f>
        <v>1</v>
      </c>
      <c r="G662" s="1" t="str">
        <f>IFERROR(__xludf.DUMMYFUNCTION("""COMPUTED_VALUE"""),"PR058")</f>
        <v>PR058</v>
      </c>
      <c r="H662" s="1" t="str">
        <f>IFERROR(__xludf.DUMMYFUNCTION("""COMPUTED_VALUE"""),"VD021")</f>
        <v>VD021</v>
      </c>
      <c r="I662" s="1">
        <f>IFERROR(__xludf.DUMMYFUNCTION("""COMPUTED_VALUE"""),6.0)</f>
        <v>6</v>
      </c>
      <c r="J662" s="1">
        <f>IFERROR(__xludf.DUMMYFUNCTION("""COMPUTED_VALUE"""),1166.4)</f>
        <v>1166.4</v>
      </c>
      <c r="K662" s="1">
        <f>IFERROR(__xludf.DUMMYFUNCTION("""COMPUTED_VALUE"""),1166.4)</f>
        <v>1166.4</v>
      </c>
    </row>
    <row r="663">
      <c r="A663" s="1">
        <f>IFERROR(__xludf.DUMMYFUNCTION("""COMPUTED_VALUE"""),1000.0)</f>
        <v>1000</v>
      </c>
      <c r="B663" s="1">
        <f>IFERROR(__xludf.DUMMYFUNCTION("""COMPUTED_VALUE"""),183930.0)</f>
        <v>183930</v>
      </c>
      <c r="C663" s="1">
        <f>IFERROR(__xludf.DUMMYFUNCTION("""COMPUTED_VALUE"""),2026.0)</f>
        <v>2026</v>
      </c>
      <c r="D663" s="1">
        <f>IFERROR(__xludf.DUMMYFUNCTION("""COMPUTED_VALUE"""),46260.0)</f>
        <v>46260</v>
      </c>
      <c r="E663" s="1" t="str">
        <f>IFERROR(__xludf.DUMMYFUNCTION("""COMPUTED_VALUE"""),"VF")</f>
        <v>VF</v>
      </c>
      <c r="F663" s="1">
        <f>IFERROR(__xludf.DUMMYFUNCTION("""COMPUTED_VALUE"""),2.0)</f>
        <v>2</v>
      </c>
      <c r="G663" s="1" t="str">
        <f>IFERROR(__xludf.DUMMYFUNCTION("""COMPUTED_VALUE"""),"PR059")</f>
        <v>PR059</v>
      </c>
      <c r="H663" s="1" t="str">
        <f>IFERROR(__xludf.DUMMYFUNCTION("""COMPUTED_VALUE"""),"VD033")</f>
        <v>VD033</v>
      </c>
      <c r="I663" s="1">
        <f>IFERROR(__xludf.DUMMYFUNCTION("""COMPUTED_VALUE"""),6.0)</f>
        <v>6</v>
      </c>
      <c r="J663" s="1">
        <f>IFERROR(__xludf.DUMMYFUNCTION("""COMPUTED_VALUE"""),1166.4)</f>
        <v>1166.4</v>
      </c>
      <c r="K663" s="1">
        <f>IFERROR(__xludf.DUMMYFUNCTION("""COMPUTED_VALUE"""),1166.4)</f>
        <v>1166.4</v>
      </c>
    </row>
    <row r="664">
      <c r="A664" s="1">
        <f>IFERROR(__xludf.DUMMYFUNCTION("""COMPUTED_VALUE"""),1000.0)</f>
        <v>1000</v>
      </c>
      <c r="B664" s="1">
        <f>IFERROR(__xludf.DUMMYFUNCTION("""COMPUTED_VALUE"""),183931.0)</f>
        <v>183931</v>
      </c>
      <c r="C664" s="1">
        <f>IFERROR(__xludf.DUMMYFUNCTION("""COMPUTED_VALUE"""),2026.0)</f>
        <v>2026</v>
      </c>
      <c r="D664" s="1">
        <f>IFERROR(__xludf.DUMMYFUNCTION("""COMPUTED_VALUE"""),46260.0)</f>
        <v>46260</v>
      </c>
      <c r="E664" s="1" t="str">
        <f>IFERROR(__xludf.DUMMYFUNCTION("""COMPUTED_VALUE"""),"VF")</f>
        <v>VF</v>
      </c>
      <c r="F664" s="1">
        <f>IFERROR(__xludf.DUMMYFUNCTION("""COMPUTED_VALUE"""),1.0)</f>
        <v>1</v>
      </c>
      <c r="G664" s="1" t="str">
        <f>IFERROR(__xludf.DUMMYFUNCTION("""COMPUTED_VALUE"""),"PR051")</f>
        <v>PR051</v>
      </c>
      <c r="H664" s="1" t="str">
        <f>IFERROR(__xludf.DUMMYFUNCTION("""COMPUTED_VALUE"""),"VD024")</f>
        <v>VD024</v>
      </c>
      <c r="I664" s="1">
        <f>IFERROR(__xludf.DUMMYFUNCTION("""COMPUTED_VALUE"""),1.0)</f>
        <v>1</v>
      </c>
      <c r="J664" s="1">
        <f>IFERROR(__xludf.DUMMYFUNCTION("""COMPUTED_VALUE"""),33.56)</f>
        <v>33.56</v>
      </c>
      <c r="K664" s="1">
        <f>IFERROR(__xludf.DUMMYFUNCTION("""COMPUTED_VALUE"""),33.56)</f>
        <v>33.56</v>
      </c>
    </row>
    <row r="665">
      <c r="A665" s="1">
        <f>IFERROR(__xludf.DUMMYFUNCTION("""COMPUTED_VALUE"""),1000.0)</f>
        <v>1000</v>
      </c>
      <c r="B665" s="1">
        <f>IFERROR(__xludf.DUMMYFUNCTION("""COMPUTED_VALUE"""),183932.0)</f>
        <v>183932</v>
      </c>
      <c r="C665" s="1">
        <f>IFERROR(__xludf.DUMMYFUNCTION("""COMPUTED_VALUE"""),2026.0)</f>
        <v>2026</v>
      </c>
      <c r="D665" s="1">
        <f>IFERROR(__xludf.DUMMYFUNCTION("""COMPUTED_VALUE"""),46260.0)</f>
        <v>46260</v>
      </c>
      <c r="E665" s="1" t="str">
        <f>IFERROR(__xludf.DUMMYFUNCTION("""COMPUTED_VALUE"""),"VF")</f>
        <v>VF</v>
      </c>
      <c r="F665" s="1">
        <f>IFERROR(__xludf.DUMMYFUNCTION("""COMPUTED_VALUE"""),1.0)</f>
        <v>1</v>
      </c>
      <c r="G665" s="1" t="str">
        <f>IFERROR(__xludf.DUMMYFUNCTION("""COMPUTED_VALUE"""),"PR038")</f>
        <v>PR038</v>
      </c>
      <c r="H665" s="1" t="str">
        <f>IFERROR(__xludf.DUMMYFUNCTION("""COMPUTED_VALUE"""),"VD013")</f>
        <v>VD013</v>
      </c>
      <c r="I665" s="1">
        <f>IFERROR(__xludf.DUMMYFUNCTION("""COMPUTED_VALUE"""),7.0)</f>
        <v>7</v>
      </c>
      <c r="J665" s="1">
        <f>IFERROR(__xludf.DUMMYFUNCTION("""COMPUTED_VALUE"""),1020.31)</f>
        <v>1020.31</v>
      </c>
      <c r="K665" s="1">
        <f>IFERROR(__xludf.DUMMYFUNCTION("""COMPUTED_VALUE"""),1020.31)</f>
        <v>1020.31</v>
      </c>
    </row>
    <row r="666">
      <c r="A666" s="1">
        <f>IFERROR(__xludf.DUMMYFUNCTION("""COMPUTED_VALUE"""),1000.0)</f>
        <v>1000</v>
      </c>
      <c r="B666" s="1">
        <f>IFERROR(__xludf.DUMMYFUNCTION("""COMPUTED_VALUE"""),183933.0)</f>
        <v>183933</v>
      </c>
      <c r="C666" s="1">
        <f>IFERROR(__xludf.DUMMYFUNCTION("""COMPUTED_VALUE"""),2026.0)</f>
        <v>2026</v>
      </c>
      <c r="D666" s="1">
        <f>IFERROR(__xludf.DUMMYFUNCTION("""COMPUTED_VALUE"""),46260.0)</f>
        <v>46260</v>
      </c>
      <c r="E666" s="1" t="str">
        <f>IFERROR(__xludf.DUMMYFUNCTION("""COMPUTED_VALUE"""),"VF")</f>
        <v>VF</v>
      </c>
      <c r="F666" s="1">
        <f>IFERROR(__xludf.DUMMYFUNCTION("""COMPUTED_VALUE"""),1.0)</f>
        <v>1</v>
      </c>
      <c r="G666" s="1" t="str">
        <f>IFERROR(__xludf.DUMMYFUNCTION("""COMPUTED_VALUE"""),"PR005")</f>
        <v>PR005</v>
      </c>
      <c r="H666" s="1" t="str">
        <f>IFERROR(__xludf.DUMMYFUNCTION("""COMPUTED_VALUE"""),"VD048")</f>
        <v>VD048</v>
      </c>
      <c r="I666" s="1">
        <f>IFERROR(__xludf.DUMMYFUNCTION("""COMPUTED_VALUE"""),1.0)</f>
        <v>1</v>
      </c>
      <c r="J666" s="1">
        <f>IFERROR(__xludf.DUMMYFUNCTION("""COMPUTED_VALUE"""),275.49)</f>
        <v>275.49</v>
      </c>
      <c r="K666" s="1">
        <f>IFERROR(__xludf.DUMMYFUNCTION("""COMPUTED_VALUE"""),275.49)</f>
        <v>275.49</v>
      </c>
    </row>
    <row r="667">
      <c r="A667" s="1">
        <f>IFERROR(__xludf.DUMMYFUNCTION("""COMPUTED_VALUE"""),1000.0)</f>
        <v>1000</v>
      </c>
      <c r="B667" s="1">
        <f>IFERROR(__xludf.DUMMYFUNCTION("""COMPUTED_VALUE"""),183934.0)</f>
        <v>183934</v>
      </c>
      <c r="C667" s="1">
        <f>IFERROR(__xludf.DUMMYFUNCTION("""COMPUTED_VALUE"""),2026.0)</f>
        <v>2026</v>
      </c>
      <c r="D667" s="1">
        <f>IFERROR(__xludf.DUMMYFUNCTION("""COMPUTED_VALUE"""),46260.0)</f>
        <v>46260</v>
      </c>
      <c r="E667" s="1" t="str">
        <f>IFERROR(__xludf.DUMMYFUNCTION("""COMPUTED_VALUE"""),"VF")</f>
        <v>VF</v>
      </c>
      <c r="F667" s="1">
        <f>IFERROR(__xludf.DUMMYFUNCTION("""COMPUTED_VALUE"""),1.0)</f>
        <v>1</v>
      </c>
      <c r="G667" s="1" t="str">
        <f>IFERROR(__xludf.DUMMYFUNCTION("""COMPUTED_VALUE"""),"PR008")</f>
        <v>PR008</v>
      </c>
      <c r="H667" s="1" t="str">
        <f>IFERROR(__xludf.DUMMYFUNCTION("""COMPUTED_VALUE"""),"VD015")</f>
        <v>VD015</v>
      </c>
      <c r="I667" s="1">
        <f>IFERROR(__xludf.DUMMYFUNCTION("""COMPUTED_VALUE"""),20.0)</f>
        <v>20</v>
      </c>
      <c r="J667" s="1">
        <f>IFERROR(__xludf.DUMMYFUNCTION("""COMPUTED_VALUE"""),1977.8)</f>
        <v>1977.8</v>
      </c>
      <c r="K667" s="1">
        <f>IFERROR(__xludf.DUMMYFUNCTION("""COMPUTED_VALUE"""),1977.8)</f>
        <v>1977.8</v>
      </c>
    </row>
    <row r="668">
      <c r="A668" s="1">
        <f>IFERROR(__xludf.DUMMYFUNCTION("""COMPUTED_VALUE"""),1000.0)</f>
        <v>1000</v>
      </c>
      <c r="B668" s="1">
        <f>IFERROR(__xludf.DUMMYFUNCTION("""COMPUTED_VALUE"""),183935.0)</f>
        <v>183935</v>
      </c>
      <c r="C668" s="1">
        <f>IFERROR(__xludf.DUMMYFUNCTION("""COMPUTED_VALUE"""),2026.0)</f>
        <v>2026</v>
      </c>
      <c r="D668" s="1">
        <f>IFERROR(__xludf.DUMMYFUNCTION("""COMPUTED_VALUE"""),46259.0)</f>
        <v>46259</v>
      </c>
      <c r="E668" s="1" t="str">
        <f>IFERROR(__xludf.DUMMYFUNCTION("""COMPUTED_VALUE"""),"VF")</f>
        <v>VF</v>
      </c>
      <c r="F668" s="1">
        <f>IFERROR(__xludf.DUMMYFUNCTION("""COMPUTED_VALUE"""),1.0)</f>
        <v>1</v>
      </c>
      <c r="G668" s="1" t="str">
        <f>IFERROR(__xludf.DUMMYFUNCTION("""COMPUTED_VALUE"""),"PR044")</f>
        <v>PR044</v>
      </c>
      <c r="H668" s="1" t="str">
        <f>IFERROR(__xludf.DUMMYFUNCTION("""COMPUTED_VALUE"""),"VD046")</f>
        <v>VD046</v>
      </c>
      <c r="I668" s="1">
        <f>IFERROR(__xludf.DUMMYFUNCTION("""COMPUTED_VALUE"""),5.0)</f>
        <v>5</v>
      </c>
      <c r="J668" s="1">
        <f>IFERROR(__xludf.DUMMYFUNCTION("""COMPUTED_VALUE"""),387.88)</f>
        <v>387.88</v>
      </c>
      <c r="K668" s="1">
        <f>IFERROR(__xludf.DUMMYFUNCTION("""COMPUTED_VALUE"""),387.88)</f>
        <v>387.88</v>
      </c>
    </row>
    <row r="669">
      <c r="A669" s="1">
        <f>IFERROR(__xludf.DUMMYFUNCTION("""COMPUTED_VALUE"""),1000.0)</f>
        <v>1000</v>
      </c>
      <c r="B669" s="1">
        <f>IFERROR(__xludf.DUMMYFUNCTION("""COMPUTED_VALUE"""),183935.0)</f>
        <v>183935</v>
      </c>
      <c r="C669" s="1">
        <f>IFERROR(__xludf.DUMMYFUNCTION("""COMPUTED_VALUE"""),2026.0)</f>
        <v>2026</v>
      </c>
      <c r="D669" s="1">
        <f>IFERROR(__xludf.DUMMYFUNCTION("""COMPUTED_VALUE"""),46259.0)</f>
        <v>46259</v>
      </c>
      <c r="E669" s="1" t="str">
        <f>IFERROR(__xludf.DUMMYFUNCTION("""COMPUTED_VALUE"""),"VF")</f>
        <v>VF</v>
      </c>
      <c r="F669" s="1">
        <f>IFERROR(__xludf.DUMMYFUNCTION("""COMPUTED_VALUE"""),2.0)</f>
        <v>2</v>
      </c>
      <c r="G669" s="1" t="str">
        <f>IFERROR(__xludf.DUMMYFUNCTION("""COMPUTED_VALUE"""),"PR022")</f>
        <v>PR022</v>
      </c>
      <c r="H669" s="1" t="str">
        <f>IFERROR(__xludf.DUMMYFUNCTION("""COMPUTED_VALUE"""),"VD021")</f>
        <v>VD021</v>
      </c>
      <c r="I669" s="1">
        <f>IFERROR(__xludf.DUMMYFUNCTION("""COMPUTED_VALUE"""),3.0)</f>
        <v>3</v>
      </c>
      <c r="J669" s="1">
        <f>IFERROR(__xludf.DUMMYFUNCTION("""COMPUTED_VALUE"""),963.0)</f>
        <v>963</v>
      </c>
      <c r="K669" s="1">
        <f>IFERROR(__xludf.DUMMYFUNCTION("""COMPUTED_VALUE"""),963.0)</f>
        <v>963</v>
      </c>
    </row>
    <row r="670">
      <c r="A670" s="1">
        <f>IFERROR(__xludf.DUMMYFUNCTION("""COMPUTED_VALUE"""),1000.0)</f>
        <v>1000</v>
      </c>
      <c r="B670" s="1">
        <f>IFERROR(__xludf.DUMMYFUNCTION("""COMPUTED_VALUE"""),183935.0)</f>
        <v>183935</v>
      </c>
      <c r="C670" s="1">
        <f>IFERROR(__xludf.DUMMYFUNCTION("""COMPUTED_VALUE"""),2026.0)</f>
        <v>2026</v>
      </c>
      <c r="D670" s="1">
        <f>IFERROR(__xludf.DUMMYFUNCTION("""COMPUTED_VALUE"""),46258.0)</f>
        <v>46258</v>
      </c>
      <c r="E670" s="1" t="str">
        <f>IFERROR(__xludf.DUMMYFUNCTION("""COMPUTED_VALUE"""),"VF")</f>
        <v>VF</v>
      </c>
      <c r="F670" s="1">
        <f>IFERROR(__xludf.DUMMYFUNCTION("""COMPUTED_VALUE"""),3.0)</f>
        <v>3</v>
      </c>
      <c r="G670" s="1" t="str">
        <f>IFERROR(__xludf.DUMMYFUNCTION("""COMPUTED_VALUE"""),"PR017")</f>
        <v>PR017</v>
      </c>
      <c r="H670" s="1" t="str">
        <f>IFERROR(__xludf.DUMMYFUNCTION("""COMPUTED_VALUE"""),"VD042")</f>
        <v>VD042</v>
      </c>
      <c r="I670" s="1">
        <f>IFERROR(__xludf.DUMMYFUNCTION("""COMPUTED_VALUE"""),4.0)</f>
        <v>4</v>
      </c>
      <c r="J670" s="1">
        <f>IFERROR(__xludf.DUMMYFUNCTION("""COMPUTED_VALUE"""),121.99)</f>
        <v>121.99</v>
      </c>
      <c r="K670" s="1">
        <f>IFERROR(__xludf.DUMMYFUNCTION("""COMPUTED_VALUE"""),121.99)</f>
        <v>121.99</v>
      </c>
    </row>
    <row r="671">
      <c r="A671" s="1">
        <f>IFERROR(__xludf.DUMMYFUNCTION("""COMPUTED_VALUE"""),1000.0)</f>
        <v>1000</v>
      </c>
      <c r="B671" s="1">
        <f>IFERROR(__xludf.DUMMYFUNCTION("""COMPUTED_VALUE"""),183935.0)</f>
        <v>183935</v>
      </c>
      <c r="C671" s="1">
        <f>IFERROR(__xludf.DUMMYFUNCTION("""COMPUTED_VALUE"""),2026.0)</f>
        <v>2026</v>
      </c>
      <c r="D671" s="1">
        <f>IFERROR(__xludf.DUMMYFUNCTION("""COMPUTED_VALUE"""),46258.0)</f>
        <v>46258</v>
      </c>
      <c r="E671" s="1" t="str">
        <f>IFERROR(__xludf.DUMMYFUNCTION("""COMPUTED_VALUE"""),"VF")</f>
        <v>VF</v>
      </c>
      <c r="F671" s="1">
        <f>IFERROR(__xludf.DUMMYFUNCTION("""COMPUTED_VALUE"""),4.0)</f>
        <v>4</v>
      </c>
      <c r="G671" s="1" t="str">
        <f>IFERROR(__xludf.DUMMYFUNCTION("""COMPUTED_VALUE"""),"PR008")</f>
        <v>PR008</v>
      </c>
      <c r="H671" s="1" t="str">
        <f>IFERROR(__xludf.DUMMYFUNCTION("""COMPUTED_VALUE"""),"VD043")</f>
        <v>VD043</v>
      </c>
      <c r="I671" s="1">
        <f>IFERROR(__xludf.DUMMYFUNCTION("""COMPUTED_VALUE"""),10.0)</f>
        <v>10</v>
      </c>
      <c r="J671" s="1">
        <f>IFERROR(__xludf.DUMMYFUNCTION("""COMPUTED_VALUE"""),943.95)</f>
        <v>943.95</v>
      </c>
      <c r="K671" s="1">
        <f>IFERROR(__xludf.DUMMYFUNCTION("""COMPUTED_VALUE"""),943.95)</f>
        <v>943.95</v>
      </c>
    </row>
    <row r="672">
      <c r="A672" s="1">
        <f>IFERROR(__xludf.DUMMYFUNCTION("""COMPUTED_VALUE"""),1000.0)</f>
        <v>1000</v>
      </c>
      <c r="B672" s="1">
        <f>IFERROR(__xludf.DUMMYFUNCTION("""COMPUTED_VALUE"""),183936.0)</f>
        <v>183936</v>
      </c>
      <c r="C672" s="1">
        <f>IFERROR(__xludf.DUMMYFUNCTION("""COMPUTED_VALUE"""),2026.0)</f>
        <v>2026</v>
      </c>
      <c r="D672" s="1">
        <f>IFERROR(__xludf.DUMMYFUNCTION("""COMPUTED_VALUE"""),46258.0)</f>
        <v>46258</v>
      </c>
      <c r="E672" s="1" t="str">
        <f>IFERROR(__xludf.DUMMYFUNCTION("""COMPUTED_VALUE"""),"VF")</f>
        <v>VF</v>
      </c>
      <c r="F672" s="1">
        <f>IFERROR(__xludf.DUMMYFUNCTION("""COMPUTED_VALUE"""),1.0)</f>
        <v>1</v>
      </c>
      <c r="G672" s="1" t="str">
        <f>IFERROR(__xludf.DUMMYFUNCTION("""COMPUTED_VALUE"""),"PR047")</f>
        <v>PR047</v>
      </c>
      <c r="H672" s="1" t="str">
        <f>IFERROR(__xludf.DUMMYFUNCTION("""COMPUTED_VALUE"""),"VD025")</f>
        <v>VD025</v>
      </c>
      <c r="I672" s="1">
        <f>IFERROR(__xludf.DUMMYFUNCTION("""COMPUTED_VALUE"""),6.0)</f>
        <v>6</v>
      </c>
      <c r="J672" s="1">
        <f>IFERROR(__xludf.DUMMYFUNCTION("""COMPUTED_VALUE"""),1861.16)</f>
        <v>1861.16</v>
      </c>
      <c r="K672" s="1">
        <f>IFERROR(__xludf.DUMMYFUNCTION("""COMPUTED_VALUE"""),1861.16)</f>
        <v>1861.16</v>
      </c>
    </row>
    <row r="673">
      <c r="A673" s="1">
        <f>IFERROR(__xludf.DUMMYFUNCTION("""COMPUTED_VALUE"""),1000.0)</f>
        <v>1000</v>
      </c>
      <c r="B673" s="1">
        <f>IFERROR(__xludf.DUMMYFUNCTION("""COMPUTED_VALUE"""),183936.0)</f>
        <v>183936</v>
      </c>
      <c r="C673" s="1">
        <f>IFERROR(__xludf.DUMMYFUNCTION("""COMPUTED_VALUE"""),2026.0)</f>
        <v>2026</v>
      </c>
      <c r="D673" s="1">
        <f>IFERROR(__xludf.DUMMYFUNCTION("""COMPUTED_VALUE"""),46258.0)</f>
        <v>46258</v>
      </c>
      <c r="E673" s="1" t="str">
        <f>IFERROR(__xludf.DUMMYFUNCTION("""COMPUTED_VALUE"""),"VF")</f>
        <v>VF</v>
      </c>
      <c r="F673" s="1">
        <f>IFERROR(__xludf.DUMMYFUNCTION("""COMPUTED_VALUE"""),2.0)</f>
        <v>2</v>
      </c>
      <c r="G673" s="1" t="str">
        <f>IFERROR(__xludf.DUMMYFUNCTION("""COMPUTED_VALUE"""),"PR041")</f>
        <v>PR041</v>
      </c>
      <c r="H673" s="1" t="str">
        <f>IFERROR(__xludf.DUMMYFUNCTION("""COMPUTED_VALUE"""),"VD041")</f>
        <v>VD041</v>
      </c>
      <c r="I673" s="1">
        <f>IFERROR(__xludf.DUMMYFUNCTION("""COMPUTED_VALUE"""),2.0)</f>
        <v>2</v>
      </c>
      <c r="J673" s="1">
        <f>IFERROR(__xludf.DUMMYFUNCTION("""COMPUTED_VALUE"""),116.39)</f>
        <v>116.39</v>
      </c>
      <c r="K673" s="1">
        <f>IFERROR(__xludf.DUMMYFUNCTION("""COMPUTED_VALUE"""),116.39)</f>
        <v>116.39</v>
      </c>
    </row>
    <row r="674">
      <c r="A674" s="1">
        <f>IFERROR(__xludf.DUMMYFUNCTION("""COMPUTED_VALUE"""),1000.0)</f>
        <v>1000</v>
      </c>
      <c r="B674" s="1">
        <f>IFERROR(__xludf.DUMMYFUNCTION("""COMPUTED_VALUE"""),183937.0)</f>
        <v>183937</v>
      </c>
      <c r="C674" s="1">
        <f>IFERROR(__xludf.DUMMYFUNCTION("""COMPUTED_VALUE"""),2026.0)</f>
        <v>2026</v>
      </c>
      <c r="D674" s="1">
        <f>IFERROR(__xludf.DUMMYFUNCTION("""COMPUTED_VALUE"""),46257.0)</f>
        <v>46257</v>
      </c>
      <c r="E674" s="1" t="str">
        <f>IFERROR(__xludf.DUMMYFUNCTION("""COMPUTED_VALUE"""),"VF")</f>
        <v>VF</v>
      </c>
      <c r="F674" s="1">
        <f>IFERROR(__xludf.DUMMYFUNCTION("""COMPUTED_VALUE"""),1.0)</f>
        <v>1</v>
      </c>
      <c r="G674" s="1" t="str">
        <f>IFERROR(__xludf.DUMMYFUNCTION("""COMPUTED_VALUE"""),"PR051")</f>
        <v>PR051</v>
      </c>
      <c r="H674" s="1" t="str">
        <f>IFERROR(__xludf.DUMMYFUNCTION("""COMPUTED_VALUE"""),"VD044")</f>
        <v>VD044</v>
      </c>
      <c r="I674" s="1">
        <f>IFERROR(__xludf.DUMMYFUNCTION("""COMPUTED_VALUE"""),10.0)</f>
        <v>10</v>
      </c>
      <c r="J674" s="1">
        <f>IFERROR(__xludf.DUMMYFUNCTION("""COMPUTED_VALUE"""),358.61)</f>
        <v>358.61</v>
      </c>
      <c r="K674" s="1">
        <f>IFERROR(__xludf.DUMMYFUNCTION("""COMPUTED_VALUE"""),358.61)</f>
        <v>358.61</v>
      </c>
    </row>
    <row r="675">
      <c r="A675" s="1">
        <f>IFERROR(__xludf.DUMMYFUNCTION("""COMPUTED_VALUE"""),1000.0)</f>
        <v>1000</v>
      </c>
      <c r="B675" s="1">
        <f>IFERROR(__xludf.DUMMYFUNCTION("""COMPUTED_VALUE"""),183937.0)</f>
        <v>183937</v>
      </c>
      <c r="C675" s="1">
        <f>IFERROR(__xludf.DUMMYFUNCTION("""COMPUTED_VALUE"""),2026.0)</f>
        <v>2026</v>
      </c>
      <c r="D675" s="1">
        <f>IFERROR(__xludf.DUMMYFUNCTION("""COMPUTED_VALUE"""),46257.0)</f>
        <v>46257</v>
      </c>
      <c r="E675" s="1" t="str">
        <f>IFERROR(__xludf.DUMMYFUNCTION("""COMPUTED_VALUE"""),"VF")</f>
        <v>VF</v>
      </c>
      <c r="F675" s="1">
        <f>IFERROR(__xludf.DUMMYFUNCTION("""COMPUTED_VALUE"""),2.0)</f>
        <v>2</v>
      </c>
      <c r="G675" s="1" t="str">
        <f>IFERROR(__xludf.DUMMYFUNCTION("""COMPUTED_VALUE"""),"PR001")</f>
        <v>PR001</v>
      </c>
      <c r="H675" s="1" t="str">
        <f>IFERROR(__xludf.DUMMYFUNCTION("""COMPUTED_VALUE"""),"VD032")</f>
        <v>VD032</v>
      </c>
      <c r="I675" s="1">
        <f>IFERROR(__xludf.DUMMYFUNCTION("""COMPUTED_VALUE"""),6.0)</f>
        <v>6</v>
      </c>
      <c r="J675" s="1">
        <f>IFERROR(__xludf.DUMMYFUNCTION("""COMPUTED_VALUE"""),427.03)</f>
        <v>427.03</v>
      </c>
      <c r="K675" s="1">
        <f>IFERROR(__xludf.DUMMYFUNCTION("""COMPUTED_VALUE"""),427.03)</f>
        <v>427.03</v>
      </c>
    </row>
    <row r="676">
      <c r="A676" s="1">
        <f>IFERROR(__xludf.DUMMYFUNCTION("""COMPUTED_VALUE"""),1000.0)</f>
        <v>1000</v>
      </c>
      <c r="B676" s="1">
        <f>IFERROR(__xludf.DUMMYFUNCTION("""COMPUTED_VALUE"""),183938.0)</f>
        <v>183938</v>
      </c>
      <c r="C676" s="1">
        <f>IFERROR(__xludf.DUMMYFUNCTION("""COMPUTED_VALUE"""),2026.0)</f>
        <v>2026</v>
      </c>
      <c r="D676" s="1">
        <f>IFERROR(__xludf.DUMMYFUNCTION("""COMPUTED_VALUE"""),46257.0)</f>
        <v>46257</v>
      </c>
      <c r="E676" s="1" t="str">
        <f>IFERROR(__xludf.DUMMYFUNCTION("""COMPUTED_VALUE"""),"VF")</f>
        <v>VF</v>
      </c>
      <c r="F676" s="1">
        <f>IFERROR(__xludf.DUMMYFUNCTION("""COMPUTED_VALUE"""),1.0)</f>
        <v>1</v>
      </c>
      <c r="G676" s="1" t="str">
        <f>IFERROR(__xludf.DUMMYFUNCTION("""COMPUTED_VALUE"""),"PR010")</f>
        <v>PR010</v>
      </c>
      <c r="H676" s="1" t="str">
        <f>IFERROR(__xludf.DUMMYFUNCTION("""COMPUTED_VALUE"""),"VD037")</f>
        <v>VD037</v>
      </c>
      <c r="I676" s="1">
        <f>IFERROR(__xludf.DUMMYFUNCTION("""COMPUTED_VALUE"""),20.0)</f>
        <v>20</v>
      </c>
      <c r="J676" s="1">
        <f>IFERROR(__xludf.DUMMYFUNCTION("""COMPUTED_VALUE"""),942.9)</f>
        <v>942.9</v>
      </c>
      <c r="K676" s="1">
        <f>IFERROR(__xludf.DUMMYFUNCTION("""COMPUTED_VALUE"""),942.9)</f>
        <v>942.9</v>
      </c>
    </row>
    <row r="677">
      <c r="A677" s="1">
        <f>IFERROR(__xludf.DUMMYFUNCTION("""COMPUTED_VALUE"""),1000.0)</f>
        <v>1000</v>
      </c>
      <c r="B677" s="1">
        <f>IFERROR(__xludf.DUMMYFUNCTION("""COMPUTED_VALUE"""),183938.0)</f>
        <v>183938</v>
      </c>
      <c r="C677" s="1">
        <f>IFERROR(__xludf.DUMMYFUNCTION("""COMPUTED_VALUE"""),2026.0)</f>
        <v>2026</v>
      </c>
      <c r="D677" s="1">
        <f>IFERROR(__xludf.DUMMYFUNCTION("""COMPUTED_VALUE"""),46257.0)</f>
        <v>46257</v>
      </c>
      <c r="E677" s="1" t="str">
        <f>IFERROR(__xludf.DUMMYFUNCTION("""COMPUTED_VALUE"""),"VF")</f>
        <v>VF</v>
      </c>
      <c r="F677" s="1">
        <f>IFERROR(__xludf.DUMMYFUNCTION("""COMPUTED_VALUE"""),2.0)</f>
        <v>2</v>
      </c>
      <c r="G677" s="1" t="str">
        <f>IFERROR(__xludf.DUMMYFUNCTION("""COMPUTED_VALUE"""),"PR047")</f>
        <v>PR047</v>
      </c>
      <c r="H677" s="1" t="str">
        <f>IFERROR(__xludf.DUMMYFUNCTION("""COMPUTED_VALUE"""),"VD033")</f>
        <v>VD033</v>
      </c>
      <c r="I677" s="1">
        <f>IFERROR(__xludf.DUMMYFUNCTION("""COMPUTED_VALUE"""),8.0)</f>
        <v>8</v>
      </c>
      <c r="J677" s="1">
        <f>IFERROR(__xludf.DUMMYFUNCTION("""COMPUTED_VALUE"""),2388.78)</f>
        <v>2388.78</v>
      </c>
      <c r="K677" s="1">
        <f>IFERROR(__xludf.DUMMYFUNCTION("""COMPUTED_VALUE"""),2388.78)</f>
        <v>2388.78</v>
      </c>
    </row>
    <row r="678">
      <c r="A678" s="1">
        <f>IFERROR(__xludf.DUMMYFUNCTION("""COMPUTED_VALUE"""),1000.0)</f>
        <v>1000</v>
      </c>
      <c r="B678" s="1">
        <f>IFERROR(__xludf.DUMMYFUNCTION("""COMPUTED_VALUE"""),183939.0)</f>
        <v>183939</v>
      </c>
      <c r="C678" s="1">
        <f>IFERROR(__xludf.DUMMYFUNCTION("""COMPUTED_VALUE"""),2026.0)</f>
        <v>2026</v>
      </c>
      <c r="D678" s="1">
        <f>IFERROR(__xludf.DUMMYFUNCTION("""COMPUTED_VALUE"""),46257.0)</f>
        <v>46257</v>
      </c>
      <c r="E678" s="1" t="str">
        <f>IFERROR(__xludf.DUMMYFUNCTION("""COMPUTED_VALUE"""),"VF")</f>
        <v>VF</v>
      </c>
      <c r="F678" s="1">
        <f>IFERROR(__xludf.DUMMYFUNCTION("""COMPUTED_VALUE"""),1.0)</f>
        <v>1</v>
      </c>
      <c r="G678" s="1" t="str">
        <f>IFERROR(__xludf.DUMMYFUNCTION("""COMPUTED_VALUE"""),"PR029")</f>
        <v>PR029</v>
      </c>
      <c r="H678" s="1" t="str">
        <f>IFERROR(__xludf.DUMMYFUNCTION("""COMPUTED_VALUE"""),"VD013")</f>
        <v>VD013</v>
      </c>
      <c r="I678" s="1">
        <f>IFERROR(__xludf.DUMMYFUNCTION("""COMPUTED_VALUE"""),14.0)</f>
        <v>14</v>
      </c>
      <c r="J678" s="1">
        <f>IFERROR(__xludf.DUMMYFUNCTION("""COMPUTED_VALUE"""),3641.4)</f>
        <v>3641.4</v>
      </c>
      <c r="K678" s="1">
        <f>IFERROR(__xludf.DUMMYFUNCTION("""COMPUTED_VALUE"""),3641.4)</f>
        <v>3641.4</v>
      </c>
    </row>
    <row r="679">
      <c r="A679" s="1">
        <f>IFERROR(__xludf.DUMMYFUNCTION("""COMPUTED_VALUE"""),1000.0)</f>
        <v>1000</v>
      </c>
      <c r="B679" s="1">
        <f>IFERROR(__xludf.DUMMYFUNCTION("""COMPUTED_VALUE"""),183940.0)</f>
        <v>183940</v>
      </c>
      <c r="C679" s="1">
        <f>IFERROR(__xludf.DUMMYFUNCTION("""COMPUTED_VALUE"""),2026.0)</f>
        <v>2026</v>
      </c>
      <c r="D679" s="1">
        <f>IFERROR(__xludf.DUMMYFUNCTION("""COMPUTED_VALUE"""),46257.0)</f>
        <v>46257</v>
      </c>
      <c r="E679" s="1" t="str">
        <f>IFERROR(__xludf.DUMMYFUNCTION("""COMPUTED_VALUE"""),"VF")</f>
        <v>VF</v>
      </c>
      <c r="F679" s="1">
        <f>IFERROR(__xludf.DUMMYFUNCTION("""COMPUTED_VALUE"""),1.0)</f>
        <v>1</v>
      </c>
      <c r="G679" s="1" t="str">
        <f>IFERROR(__xludf.DUMMYFUNCTION("""COMPUTED_VALUE"""),"PR031")</f>
        <v>PR031</v>
      </c>
      <c r="H679" s="1" t="str">
        <f>IFERROR(__xludf.DUMMYFUNCTION("""COMPUTED_VALUE"""),"VD036")</f>
        <v>VD036</v>
      </c>
      <c r="I679" s="1">
        <f>IFERROR(__xludf.DUMMYFUNCTION("""COMPUTED_VALUE"""),2.0)</f>
        <v>2</v>
      </c>
      <c r="J679" s="1">
        <f>IFERROR(__xludf.DUMMYFUNCTION("""COMPUTED_VALUE"""),499.8)</f>
        <v>499.8</v>
      </c>
      <c r="K679" s="1">
        <f>IFERROR(__xludf.DUMMYFUNCTION("""COMPUTED_VALUE"""),499.8)</f>
        <v>499.8</v>
      </c>
    </row>
    <row r="680">
      <c r="A680" s="1">
        <f>IFERROR(__xludf.DUMMYFUNCTION("""COMPUTED_VALUE"""),1000.0)</f>
        <v>1000</v>
      </c>
      <c r="B680" s="1">
        <f>IFERROR(__xludf.DUMMYFUNCTION("""COMPUTED_VALUE"""),183941.0)</f>
        <v>183941</v>
      </c>
      <c r="C680" s="1">
        <f>IFERROR(__xludf.DUMMYFUNCTION("""COMPUTED_VALUE"""),2026.0)</f>
        <v>2026</v>
      </c>
      <c r="D680" s="1">
        <f>IFERROR(__xludf.DUMMYFUNCTION("""COMPUTED_VALUE"""),46257.0)</f>
        <v>46257</v>
      </c>
      <c r="E680" s="1" t="str">
        <f>IFERROR(__xludf.DUMMYFUNCTION("""COMPUTED_VALUE"""),"VF")</f>
        <v>VF</v>
      </c>
      <c r="F680" s="1">
        <f>IFERROR(__xludf.DUMMYFUNCTION("""COMPUTED_VALUE"""),1.0)</f>
        <v>1</v>
      </c>
      <c r="G680" s="1" t="str">
        <f>IFERROR(__xludf.DUMMYFUNCTION("""COMPUTED_VALUE"""),"PR032")</f>
        <v>PR032</v>
      </c>
      <c r="H680" s="1" t="str">
        <f>IFERROR(__xludf.DUMMYFUNCTION("""COMPUTED_VALUE"""),"VD021")</f>
        <v>VD021</v>
      </c>
      <c r="I680" s="1">
        <f>IFERROR(__xludf.DUMMYFUNCTION("""COMPUTED_VALUE"""),3.0)</f>
        <v>3</v>
      </c>
      <c r="J680" s="1">
        <f>IFERROR(__xludf.DUMMYFUNCTION("""COMPUTED_VALUE"""),772.5)</f>
        <v>772.5</v>
      </c>
      <c r="K680" s="1">
        <f>IFERROR(__xludf.DUMMYFUNCTION("""COMPUTED_VALUE"""),772.5)</f>
        <v>772.5</v>
      </c>
    </row>
    <row r="681">
      <c r="A681" s="1">
        <f>IFERROR(__xludf.DUMMYFUNCTION("""COMPUTED_VALUE"""),1000.0)</f>
        <v>1000</v>
      </c>
      <c r="B681" s="1">
        <f>IFERROR(__xludf.DUMMYFUNCTION("""COMPUTED_VALUE"""),183942.0)</f>
        <v>183942</v>
      </c>
      <c r="C681" s="1">
        <f>IFERROR(__xludf.DUMMYFUNCTION("""COMPUTED_VALUE"""),2026.0)</f>
        <v>2026</v>
      </c>
      <c r="D681" s="1">
        <f>IFERROR(__xludf.DUMMYFUNCTION("""COMPUTED_VALUE"""),46256.0)</f>
        <v>46256</v>
      </c>
      <c r="E681" s="1" t="str">
        <f>IFERROR(__xludf.DUMMYFUNCTION("""COMPUTED_VALUE"""),"VF")</f>
        <v>VF</v>
      </c>
      <c r="F681" s="1">
        <f>IFERROR(__xludf.DUMMYFUNCTION("""COMPUTED_VALUE"""),1.0)</f>
        <v>1</v>
      </c>
      <c r="G681" s="1" t="str">
        <f>IFERROR(__xludf.DUMMYFUNCTION("""COMPUTED_VALUE"""),"PR037")</f>
        <v>PR037</v>
      </c>
      <c r="H681" s="1" t="str">
        <f>IFERROR(__xludf.DUMMYFUNCTION("""COMPUTED_VALUE"""),"VD049")</f>
        <v>VD049</v>
      </c>
      <c r="I681" s="1">
        <f>IFERROR(__xludf.DUMMYFUNCTION("""COMPUTED_VALUE"""),3.0)</f>
        <v>3</v>
      </c>
      <c r="J681" s="1">
        <f>IFERROR(__xludf.DUMMYFUNCTION("""COMPUTED_VALUE"""),432.6)</f>
        <v>432.6</v>
      </c>
      <c r="K681" s="1">
        <f>IFERROR(__xludf.DUMMYFUNCTION("""COMPUTED_VALUE"""),432.6)</f>
        <v>432.6</v>
      </c>
    </row>
    <row r="682">
      <c r="A682" s="1">
        <f>IFERROR(__xludf.DUMMYFUNCTION("""COMPUTED_VALUE"""),1000.0)</f>
        <v>1000</v>
      </c>
      <c r="B682" s="1">
        <f>IFERROR(__xludf.DUMMYFUNCTION("""COMPUTED_VALUE"""),183943.0)</f>
        <v>183943</v>
      </c>
      <c r="C682" s="1">
        <f>IFERROR(__xludf.DUMMYFUNCTION("""COMPUTED_VALUE"""),2026.0)</f>
        <v>2026</v>
      </c>
      <c r="D682" s="1">
        <f>IFERROR(__xludf.DUMMYFUNCTION("""COMPUTED_VALUE"""),46256.0)</f>
        <v>46256</v>
      </c>
      <c r="E682" s="1" t="str">
        <f>IFERROR(__xludf.DUMMYFUNCTION("""COMPUTED_VALUE"""),"VF")</f>
        <v>VF</v>
      </c>
      <c r="F682" s="1">
        <f>IFERROR(__xludf.DUMMYFUNCTION("""COMPUTED_VALUE"""),1.0)</f>
        <v>1</v>
      </c>
      <c r="G682" s="1" t="str">
        <f>IFERROR(__xludf.DUMMYFUNCTION("""COMPUTED_VALUE"""),"PR018")</f>
        <v>PR018</v>
      </c>
      <c r="H682" s="1" t="str">
        <f>IFERROR(__xludf.DUMMYFUNCTION("""COMPUTED_VALUE"""),"VD026")</f>
        <v>VD026</v>
      </c>
      <c r="I682" s="1">
        <f>IFERROR(__xludf.DUMMYFUNCTION("""COMPUTED_VALUE"""),3.0)</f>
        <v>3</v>
      </c>
      <c r="J682" s="1">
        <f>IFERROR(__xludf.DUMMYFUNCTION("""COMPUTED_VALUE"""),107.58)</f>
        <v>107.58</v>
      </c>
      <c r="K682" s="1">
        <f>IFERROR(__xludf.DUMMYFUNCTION("""COMPUTED_VALUE"""),107.58)</f>
        <v>107.58</v>
      </c>
    </row>
    <row r="683">
      <c r="A683" s="1">
        <f>IFERROR(__xludf.DUMMYFUNCTION("""COMPUTED_VALUE"""),1000.0)</f>
        <v>1000</v>
      </c>
      <c r="B683" s="1">
        <f>IFERROR(__xludf.DUMMYFUNCTION("""COMPUTED_VALUE"""),183944.0)</f>
        <v>183944</v>
      </c>
      <c r="C683" s="1">
        <f>IFERROR(__xludf.DUMMYFUNCTION("""COMPUTED_VALUE"""),2026.0)</f>
        <v>2026</v>
      </c>
      <c r="D683" s="1">
        <f>IFERROR(__xludf.DUMMYFUNCTION("""COMPUTED_VALUE"""),46255.0)</f>
        <v>46255</v>
      </c>
      <c r="E683" s="1" t="str">
        <f>IFERROR(__xludf.DUMMYFUNCTION("""COMPUTED_VALUE"""),"VF")</f>
        <v>VF</v>
      </c>
      <c r="F683" s="1">
        <f>IFERROR(__xludf.DUMMYFUNCTION("""COMPUTED_VALUE"""),1.0)</f>
        <v>1</v>
      </c>
      <c r="G683" s="1" t="str">
        <f>IFERROR(__xludf.DUMMYFUNCTION("""COMPUTED_VALUE"""),"PR048")</f>
        <v>PR048</v>
      </c>
      <c r="H683" s="1" t="str">
        <f>IFERROR(__xludf.DUMMYFUNCTION("""COMPUTED_VALUE"""),"VD040")</f>
        <v>VD040</v>
      </c>
      <c r="I683" s="1">
        <f>IFERROR(__xludf.DUMMYFUNCTION("""COMPUTED_VALUE"""),2.0)</f>
        <v>2</v>
      </c>
      <c r="J683" s="1">
        <f>IFERROR(__xludf.DUMMYFUNCTION("""COMPUTED_VALUE"""),591.4)</f>
        <v>591.4</v>
      </c>
      <c r="K683" s="1">
        <f>IFERROR(__xludf.DUMMYFUNCTION("""COMPUTED_VALUE"""),591.4)</f>
        <v>591.4</v>
      </c>
    </row>
    <row r="684">
      <c r="A684" s="1">
        <f>IFERROR(__xludf.DUMMYFUNCTION("""COMPUTED_VALUE"""),2000.0)</f>
        <v>2000</v>
      </c>
      <c r="B684" s="1">
        <f>IFERROR(__xludf.DUMMYFUNCTION("""COMPUTED_VALUE"""),183945.0)</f>
        <v>183945</v>
      </c>
      <c r="C684" s="1">
        <f>IFERROR(__xludf.DUMMYFUNCTION("""COMPUTED_VALUE"""),2026.0)</f>
        <v>2026</v>
      </c>
      <c r="D684" s="1">
        <f>IFERROR(__xludf.DUMMYFUNCTION("""COMPUTED_VALUE"""),46255.0)</f>
        <v>46255</v>
      </c>
      <c r="E684" s="1" t="str">
        <f>IFERROR(__xludf.DUMMYFUNCTION("""COMPUTED_VALUE"""),"VF")</f>
        <v>VF</v>
      </c>
      <c r="F684" s="1">
        <f>IFERROR(__xludf.DUMMYFUNCTION("""COMPUTED_VALUE"""),1.0)</f>
        <v>1</v>
      </c>
      <c r="G684" s="1" t="str">
        <f>IFERROR(__xludf.DUMMYFUNCTION("""COMPUTED_VALUE"""),"PR011")</f>
        <v>PR011</v>
      </c>
      <c r="H684" s="1" t="str">
        <f>IFERROR(__xludf.DUMMYFUNCTION("""COMPUTED_VALUE"""),"VD036")</f>
        <v>VD036</v>
      </c>
      <c r="I684" s="1">
        <f>IFERROR(__xludf.DUMMYFUNCTION("""COMPUTED_VALUE"""),9.0)</f>
        <v>9</v>
      </c>
      <c r="J684" s="1">
        <f>IFERROR(__xludf.DUMMYFUNCTION("""COMPUTED_VALUE"""),464.31)</f>
        <v>464.31</v>
      </c>
      <c r="K684" s="1">
        <f>IFERROR(__xludf.DUMMYFUNCTION("""COMPUTED_VALUE"""),464.31)</f>
        <v>464.31</v>
      </c>
    </row>
    <row r="685">
      <c r="A685" s="1">
        <f>IFERROR(__xludf.DUMMYFUNCTION("""COMPUTED_VALUE"""),1000.0)</f>
        <v>1000</v>
      </c>
      <c r="B685" s="1">
        <f>IFERROR(__xludf.DUMMYFUNCTION("""COMPUTED_VALUE"""),183946.0)</f>
        <v>183946</v>
      </c>
      <c r="C685" s="1">
        <f>IFERROR(__xludf.DUMMYFUNCTION("""COMPUTED_VALUE"""),2026.0)</f>
        <v>2026</v>
      </c>
      <c r="D685" s="1">
        <f>IFERROR(__xludf.DUMMYFUNCTION("""COMPUTED_VALUE"""),46255.0)</f>
        <v>46255</v>
      </c>
      <c r="E685" s="1" t="str">
        <f>IFERROR(__xludf.DUMMYFUNCTION("""COMPUTED_VALUE"""),"VF")</f>
        <v>VF</v>
      </c>
      <c r="F685" s="1">
        <f>IFERROR(__xludf.DUMMYFUNCTION("""COMPUTED_VALUE"""),1.0)</f>
        <v>1</v>
      </c>
      <c r="G685" s="1" t="str">
        <f>IFERROR(__xludf.DUMMYFUNCTION("""COMPUTED_VALUE"""),"PR021")</f>
        <v>PR021</v>
      </c>
      <c r="H685" s="1" t="str">
        <f>IFERROR(__xludf.DUMMYFUNCTION("""COMPUTED_VALUE"""),"VD019")</f>
        <v>VD019</v>
      </c>
      <c r="I685" s="1">
        <f>IFERROR(__xludf.DUMMYFUNCTION("""COMPUTED_VALUE"""),2.0)</f>
        <v>2</v>
      </c>
      <c r="J685" s="1">
        <f>IFERROR(__xludf.DUMMYFUNCTION("""COMPUTED_VALUE"""),623.97)</f>
        <v>623.97</v>
      </c>
      <c r="K685" s="1">
        <f>IFERROR(__xludf.DUMMYFUNCTION("""COMPUTED_VALUE"""),623.97)</f>
        <v>623.97</v>
      </c>
    </row>
    <row r="686">
      <c r="A686" s="1">
        <f>IFERROR(__xludf.DUMMYFUNCTION("""COMPUTED_VALUE"""),1000.0)</f>
        <v>1000</v>
      </c>
      <c r="B686" s="1">
        <f>IFERROR(__xludf.DUMMYFUNCTION("""COMPUTED_VALUE"""),183947.0)</f>
        <v>183947</v>
      </c>
      <c r="C686" s="1">
        <f>IFERROR(__xludf.DUMMYFUNCTION("""COMPUTED_VALUE"""),2026.0)</f>
        <v>2026</v>
      </c>
      <c r="D686" s="1">
        <f>IFERROR(__xludf.DUMMYFUNCTION("""COMPUTED_VALUE"""),46255.0)</f>
        <v>46255</v>
      </c>
      <c r="E686" s="1" t="str">
        <f>IFERROR(__xludf.DUMMYFUNCTION("""COMPUTED_VALUE"""),"VF")</f>
        <v>VF</v>
      </c>
      <c r="F686" s="1">
        <f>IFERROR(__xludf.DUMMYFUNCTION("""COMPUTED_VALUE"""),1.0)</f>
        <v>1</v>
      </c>
      <c r="G686" s="1" t="str">
        <f>IFERROR(__xludf.DUMMYFUNCTION("""COMPUTED_VALUE"""),"PR021")</f>
        <v>PR021</v>
      </c>
      <c r="H686" s="1" t="str">
        <f>IFERROR(__xludf.DUMMYFUNCTION("""COMPUTED_VALUE"""),"VD038")</f>
        <v>VD038</v>
      </c>
      <c r="I686" s="1">
        <f>IFERROR(__xludf.DUMMYFUNCTION("""COMPUTED_VALUE"""),6.0)</f>
        <v>6</v>
      </c>
      <c r="J686" s="1">
        <f>IFERROR(__xludf.DUMMYFUNCTION("""COMPUTED_VALUE"""),1926.44)</f>
        <v>1926.44</v>
      </c>
      <c r="K686" s="1">
        <f>IFERROR(__xludf.DUMMYFUNCTION("""COMPUTED_VALUE"""),1926.44)</f>
        <v>1926.44</v>
      </c>
    </row>
    <row r="687">
      <c r="A687" s="1">
        <f>IFERROR(__xludf.DUMMYFUNCTION("""COMPUTED_VALUE"""),1000.0)</f>
        <v>1000</v>
      </c>
      <c r="B687" s="1">
        <f>IFERROR(__xludf.DUMMYFUNCTION("""COMPUTED_VALUE"""),183947.0)</f>
        <v>183947</v>
      </c>
      <c r="C687" s="1">
        <f>IFERROR(__xludf.DUMMYFUNCTION("""COMPUTED_VALUE"""),2026.0)</f>
        <v>2026</v>
      </c>
      <c r="D687" s="1">
        <f>IFERROR(__xludf.DUMMYFUNCTION("""COMPUTED_VALUE"""),46255.0)</f>
        <v>46255</v>
      </c>
      <c r="E687" s="1" t="str">
        <f>IFERROR(__xludf.DUMMYFUNCTION("""COMPUTED_VALUE"""),"VF")</f>
        <v>VF</v>
      </c>
      <c r="F687" s="1">
        <f>IFERROR(__xludf.DUMMYFUNCTION("""COMPUTED_VALUE"""),2.0)</f>
        <v>2</v>
      </c>
      <c r="G687" s="1" t="str">
        <f>IFERROR(__xludf.DUMMYFUNCTION("""COMPUTED_VALUE"""),"PR049")</f>
        <v>PR049</v>
      </c>
      <c r="H687" s="1" t="str">
        <f>IFERROR(__xludf.DUMMYFUNCTION("""COMPUTED_VALUE"""),"VD021")</f>
        <v>VD021</v>
      </c>
      <c r="I687" s="1">
        <f>IFERROR(__xludf.DUMMYFUNCTION("""COMPUTED_VALUE"""),2.0)</f>
        <v>2</v>
      </c>
      <c r="J687" s="1">
        <f>IFERROR(__xludf.DUMMYFUNCTION("""COMPUTED_VALUE"""),67.77)</f>
        <v>67.77</v>
      </c>
      <c r="K687" s="1">
        <f>IFERROR(__xludf.DUMMYFUNCTION("""COMPUTED_VALUE"""),67.77)</f>
        <v>67.77</v>
      </c>
    </row>
    <row r="688">
      <c r="A688" s="1">
        <f>IFERROR(__xludf.DUMMYFUNCTION("""COMPUTED_VALUE"""),1000.0)</f>
        <v>1000</v>
      </c>
      <c r="B688" s="1">
        <f>IFERROR(__xludf.DUMMYFUNCTION("""COMPUTED_VALUE"""),183948.0)</f>
        <v>183948</v>
      </c>
      <c r="C688" s="1">
        <f>IFERROR(__xludf.DUMMYFUNCTION("""COMPUTED_VALUE"""),2026.0)</f>
        <v>2026</v>
      </c>
      <c r="D688" s="1">
        <f>IFERROR(__xludf.DUMMYFUNCTION("""COMPUTED_VALUE"""),46255.0)</f>
        <v>46255</v>
      </c>
      <c r="E688" s="1" t="str">
        <f>IFERROR(__xludf.DUMMYFUNCTION("""COMPUTED_VALUE"""),"VF")</f>
        <v>VF</v>
      </c>
      <c r="F688" s="1">
        <f>IFERROR(__xludf.DUMMYFUNCTION("""COMPUTED_VALUE"""),1.0)</f>
        <v>1</v>
      </c>
      <c r="G688" s="1" t="str">
        <f>IFERROR(__xludf.DUMMYFUNCTION("""COMPUTED_VALUE"""),"PR056")</f>
        <v>PR056</v>
      </c>
      <c r="H688" s="1" t="str">
        <f>IFERROR(__xludf.DUMMYFUNCTION("""COMPUTED_VALUE"""),"VD030")</f>
        <v>VD030</v>
      </c>
      <c r="I688" s="1">
        <f>IFERROR(__xludf.DUMMYFUNCTION("""COMPUTED_VALUE"""),7.0)</f>
        <v>7</v>
      </c>
      <c r="J688" s="1">
        <f>IFERROR(__xludf.DUMMYFUNCTION("""COMPUTED_VALUE"""),692.23)</f>
        <v>692.23</v>
      </c>
      <c r="K688" s="1">
        <f>IFERROR(__xludf.DUMMYFUNCTION("""COMPUTED_VALUE"""),692.23)</f>
        <v>692.23</v>
      </c>
    </row>
    <row r="689">
      <c r="A689" s="1">
        <f>IFERROR(__xludf.DUMMYFUNCTION("""COMPUTED_VALUE"""),1000.0)</f>
        <v>1000</v>
      </c>
      <c r="B689" s="1">
        <f>IFERROR(__xludf.DUMMYFUNCTION("""COMPUTED_VALUE"""),183949.0)</f>
        <v>183949</v>
      </c>
      <c r="C689" s="1">
        <f>IFERROR(__xludf.DUMMYFUNCTION("""COMPUTED_VALUE"""),2026.0)</f>
        <v>2026</v>
      </c>
      <c r="D689" s="1">
        <f>IFERROR(__xludf.DUMMYFUNCTION("""COMPUTED_VALUE"""),46255.0)</f>
        <v>46255</v>
      </c>
      <c r="E689" s="1" t="str">
        <f>IFERROR(__xludf.DUMMYFUNCTION("""COMPUTED_VALUE"""),"VF")</f>
        <v>VF</v>
      </c>
      <c r="F689" s="1">
        <f>IFERROR(__xludf.DUMMYFUNCTION("""COMPUTED_VALUE"""),1.0)</f>
        <v>1</v>
      </c>
      <c r="G689" s="1" t="str">
        <f>IFERROR(__xludf.DUMMYFUNCTION("""COMPUTED_VALUE"""),"PR005")</f>
        <v>PR005</v>
      </c>
      <c r="H689" s="1" t="str">
        <f>IFERROR(__xludf.DUMMYFUNCTION("""COMPUTED_VALUE"""),"VD028")</f>
        <v>VD028</v>
      </c>
      <c r="I689" s="1">
        <f>IFERROR(__xludf.DUMMYFUNCTION("""COMPUTED_VALUE"""),6.0)</f>
        <v>6</v>
      </c>
      <c r="J689" s="1">
        <f>IFERROR(__xludf.DUMMYFUNCTION("""COMPUTED_VALUE"""),1684.15)</f>
        <v>1684.15</v>
      </c>
      <c r="K689" s="1">
        <f>IFERROR(__xludf.DUMMYFUNCTION("""COMPUTED_VALUE"""),1684.15)</f>
        <v>1684.15</v>
      </c>
    </row>
    <row r="690">
      <c r="A690" s="1">
        <f>IFERROR(__xludf.DUMMYFUNCTION("""COMPUTED_VALUE"""),1000.0)</f>
        <v>1000</v>
      </c>
      <c r="B690" s="1">
        <f>IFERROR(__xludf.DUMMYFUNCTION("""COMPUTED_VALUE"""),183949.0)</f>
        <v>183949</v>
      </c>
      <c r="C690" s="1">
        <f>IFERROR(__xludf.DUMMYFUNCTION("""COMPUTED_VALUE"""),2026.0)</f>
        <v>2026</v>
      </c>
      <c r="D690" s="1">
        <f>IFERROR(__xludf.DUMMYFUNCTION("""COMPUTED_VALUE"""),46255.0)</f>
        <v>46255</v>
      </c>
      <c r="E690" s="1" t="str">
        <f>IFERROR(__xludf.DUMMYFUNCTION("""COMPUTED_VALUE"""),"VF")</f>
        <v>VF</v>
      </c>
      <c r="F690" s="1">
        <f>IFERROR(__xludf.DUMMYFUNCTION("""COMPUTED_VALUE"""),2.0)</f>
        <v>2</v>
      </c>
      <c r="G690" s="1" t="str">
        <f>IFERROR(__xludf.DUMMYFUNCTION("""COMPUTED_VALUE"""),"PR029")</f>
        <v>PR029</v>
      </c>
      <c r="H690" s="1" t="str">
        <f>IFERROR(__xludf.DUMMYFUNCTION("""COMPUTED_VALUE"""),"VD010")</f>
        <v>VD010</v>
      </c>
      <c r="I690" s="1">
        <f>IFERROR(__xludf.DUMMYFUNCTION("""COMPUTED_VALUE"""),8.0)</f>
        <v>8</v>
      </c>
      <c r="J690" s="1">
        <f>IFERROR(__xludf.DUMMYFUNCTION("""COMPUTED_VALUE"""),2060.4)</f>
        <v>2060.4</v>
      </c>
      <c r="K690" s="1">
        <f>IFERROR(__xludf.DUMMYFUNCTION("""COMPUTED_VALUE"""),2060.4)</f>
        <v>2060.4</v>
      </c>
    </row>
    <row r="691">
      <c r="A691" s="1">
        <f>IFERROR(__xludf.DUMMYFUNCTION("""COMPUTED_VALUE"""),2000.0)</f>
        <v>2000</v>
      </c>
      <c r="B691" s="1">
        <f>IFERROR(__xludf.DUMMYFUNCTION("""COMPUTED_VALUE"""),183950.0)</f>
        <v>183950</v>
      </c>
      <c r="C691" s="1">
        <f>IFERROR(__xludf.DUMMYFUNCTION("""COMPUTED_VALUE"""),2026.0)</f>
        <v>2026</v>
      </c>
      <c r="D691" s="1">
        <f>IFERROR(__xludf.DUMMYFUNCTION("""COMPUTED_VALUE"""),46255.0)</f>
        <v>46255</v>
      </c>
      <c r="E691" s="1" t="str">
        <f>IFERROR(__xludf.DUMMYFUNCTION("""COMPUTED_VALUE"""),"VF")</f>
        <v>VF</v>
      </c>
      <c r="F691" s="1">
        <f>IFERROR(__xludf.DUMMYFUNCTION("""COMPUTED_VALUE"""),1.0)</f>
        <v>1</v>
      </c>
      <c r="G691" s="1" t="str">
        <f>IFERROR(__xludf.DUMMYFUNCTION("""COMPUTED_VALUE"""),"PR054")</f>
        <v>PR054</v>
      </c>
      <c r="H691" s="1" t="str">
        <f>IFERROR(__xludf.DUMMYFUNCTION("""COMPUTED_VALUE"""),"VD032")</f>
        <v>VD032</v>
      </c>
      <c r="I691" s="1">
        <f>IFERROR(__xludf.DUMMYFUNCTION("""COMPUTED_VALUE"""),10.0)</f>
        <v>10</v>
      </c>
      <c r="J691" s="1">
        <f>IFERROR(__xludf.DUMMYFUNCTION("""COMPUTED_VALUE"""),538.92)</f>
        <v>538.92</v>
      </c>
      <c r="K691" s="1">
        <f>IFERROR(__xludf.DUMMYFUNCTION("""COMPUTED_VALUE"""),538.92)</f>
        <v>538.92</v>
      </c>
    </row>
    <row r="692">
      <c r="A692" s="1">
        <f>IFERROR(__xludf.DUMMYFUNCTION("""COMPUTED_VALUE"""),1000.0)</f>
        <v>1000</v>
      </c>
      <c r="B692" s="1">
        <f>IFERROR(__xludf.DUMMYFUNCTION("""COMPUTED_VALUE"""),183951.0)</f>
        <v>183951</v>
      </c>
      <c r="C692" s="1">
        <f>IFERROR(__xludf.DUMMYFUNCTION("""COMPUTED_VALUE"""),2026.0)</f>
        <v>2026</v>
      </c>
      <c r="D692" s="1">
        <f>IFERROR(__xludf.DUMMYFUNCTION("""COMPUTED_VALUE"""),46255.0)</f>
        <v>46255</v>
      </c>
      <c r="E692" s="1" t="str">
        <f>IFERROR(__xludf.DUMMYFUNCTION("""COMPUTED_VALUE"""),"VF")</f>
        <v>VF</v>
      </c>
      <c r="F692" s="1">
        <f>IFERROR(__xludf.DUMMYFUNCTION("""COMPUTED_VALUE"""),1.0)</f>
        <v>1</v>
      </c>
      <c r="G692" s="1" t="str">
        <f>IFERROR(__xludf.DUMMYFUNCTION("""COMPUTED_VALUE"""),"PR038")</f>
        <v>PR038</v>
      </c>
      <c r="H692" s="1" t="str">
        <f>IFERROR(__xludf.DUMMYFUNCTION("""COMPUTED_VALUE"""),"VD040")</f>
        <v>VD040</v>
      </c>
      <c r="I692" s="1">
        <f>IFERROR(__xludf.DUMMYFUNCTION("""COMPUTED_VALUE"""),6.0)</f>
        <v>6</v>
      </c>
      <c r="J692" s="1">
        <f>IFERROR(__xludf.DUMMYFUNCTION("""COMPUTED_VALUE"""),917.42)</f>
        <v>917.42</v>
      </c>
      <c r="K692" s="1">
        <f>IFERROR(__xludf.DUMMYFUNCTION("""COMPUTED_VALUE"""),917.42)</f>
        <v>917.42</v>
      </c>
    </row>
    <row r="693">
      <c r="A693" s="1">
        <f>IFERROR(__xludf.DUMMYFUNCTION("""COMPUTED_VALUE"""),1000.0)</f>
        <v>1000</v>
      </c>
      <c r="B693" s="1">
        <f>IFERROR(__xludf.DUMMYFUNCTION("""COMPUTED_VALUE"""),183952.0)</f>
        <v>183952</v>
      </c>
      <c r="C693" s="1">
        <f>IFERROR(__xludf.DUMMYFUNCTION("""COMPUTED_VALUE"""),2026.0)</f>
        <v>2026</v>
      </c>
      <c r="D693" s="1">
        <f>IFERROR(__xludf.DUMMYFUNCTION("""COMPUTED_VALUE"""),46255.0)</f>
        <v>46255</v>
      </c>
      <c r="E693" s="1" t="str">
        <f>IFERROR(__xludf.DUMMYFUNCTION("""COMPUTED_VALUE"""),"VF")</f>
        <v>VF</v>
      </c>
      <c r="F693" s="1">
        <f>IFERROR(__xludf.DUMMYFUNCTION("""COMPUTED_VALUE"""),1.0)</f>
        <v>1</v>
      </c>
      <c r="G693" s="1" t="str">
        <f>IFERROR(__xludf.DUMMYFUNCTION("""COMPUTED_VALUE"""),"PR042")</f>
        <v>PR042</v>
      </c>
      <c r="H693" s="1" t="str">
        <f>IFERROR(__xludf.DUMMYFUNCTION("""COMPUTED_VALUE"""),"VD012")</f>
        <v>VD012</v>
      </c>
      <c r="I693" s="1">
        <f>IFERROR(__xludf.DUMMYFUNCTION("""COMPUTED_VALUE"""),8.0)</f>
        <v>8</v>
      </c>
      <c r="J693" s="1">
        <f>IFERROR(__xludf.DUMMYFUNCTION("""COMPUTED_VALUE"""),452.38)</f>
        <v>452.38</v>
      </c>
      <c r="K693" s="1">
        <f>IFERROR(__xludf.DUMMYFUNCTION("""COMPUTED_VALUE"""),452.38)</f>
        <v>452.38</v>
      </c>
    </row>
    <row r="694">
      <c r="A694" s="1">
        <f>IFERROR(__xludf.DUMMYFUNCTION("""COMPUTED_VALUE"""),2000.0)</f>
        <v>2000</v>
      </c>
      <c r="B694" s="1">
        <f>IFERROR(__xludf.DUMMYFUNCTION("""COMPUTED_VALUE"""),183952.0)</f>
        <v>183952</v>
      </c>
      <c r="C694" s="1">
        <f>IFERROR(__xludf.DUMMYFUNCTION("""COMPUTED_VALUE"""),2026.0)</f>
        <v>2026</v>
      </c>
      <c r="D694" s="1">
        <f>IFERROR(__xludf.DUMMYFUNCTION("""COMPUTED_VALUE"""),46255.0)</f>
        <v>46255</v>
      </c>
      <c r="E694" s="1" t="str">
        <f>IFERROR(__xludf.DUMMYFUNCTION("""COMPUTED_VALUE"""),"VF")</f>
        <v>VF</v>
      </c>
      <c r="F694" s="1">
        <f>IFERROR(__xludf.DUMMYFUNCTION("""COMPUTED_VALUE"""),2.0)</f>
        <v>2</v>
      </c>
      <c r="G694" s="1" t="str">
        <f>IFERROR(__xludf.DUMMYFUNCTION("""COMPUTED_VALUE"""),"PR028")</f>
        <v>PR028</v>
      </c>
      <c r="H694" s="1" t="str">
        <f>IFERROR(__xludf.DUMMYFUNCTION("""COMPUTED_VALUE"""),"VD032")</f>
        <v>VD032</v>
      </c>
      <c r="I694" s="1">
        <f>IFERROR(__xludf.DUMMYFUNCTION("""COMPUTED_VALUE"""),9.0)</f>
        <v>9</v>
      </c>
      <c r="J694" s="1">
        <f>IFERROR(__xludf.DUMMYFUNCTION("""COMPUTED_VALUE"""),2429.03)</f>
        <v>2429.03</v>
      </c>
      <c r="K694" s="1">
        <f>IFERROR(__xludf.DUMMYFUNCTION("""COMPUTED_VALUE"""),2429.03)</f>
        <v>2429.03</v>
      </c>
    </row>
    <row r="695">
      <c r="A695" s="1">
        <f>IFERROR(__xludf.DUMMYFUNCTION("""COMPUTED_VALUE"""),1000.0)</f>
        <v>1000</v>
      </c>
      <c r="B695" s="1">
        <f>IFERROR(__xludf.DUMMYFUNCTION("""COMPUTED_VALUE"""),183953.0)</f>
        <v>183953</v>
      </c>
      <c r="C695" s="1">
        <f>IFERROR(__xludf.DUMMYFUNCTION("""COMPUTED_VALUE"""),2026.0)</f>
        <v>2026</v>
      </c>
      <c r="D695" s="1">
        <f>IFERROR(__xludf.DUMMYFUNCTION("""COMPUTED_VALUE"""),46255.0)</f>
        <v>46255</v>
      </c>
      <c r="E695" s="1" t="str">
        <f>IFERROR(__xludf.DUMMYFUNCTION("""COMPUTED_VALUE"""),"VF")</f>
        <v>VF</v>
      </c>
      <c r="F695" s="1">
        <f>IFERROR(__xludf.DUMMYFUNCTION("""COMPUTED_VALUE"""),1.0)</f>
        <v>1</v>
      </c>
      <c r="G695" s="1" t="str">
        <f>IFERROR(__xludf.DUMMYFUNCTION("""COMPUTED_VALUE"""),"PR039")</f>
        <v>PR039</v>
      </c>
      <c r="H695" s="1" t="str">
        <f>IFERROR(__xludf.DUMMYFUNCTION("""COMPUTED_VALUE"""),"VD027")</f>
        <v>VD027</v>
      </c>
      <c r="I695" s="1">
        <f>IFERROR(__xludf.DUMMYFUNCTION("""COMPUTED_VALUE"""),6.0)</f>
        <v>6</v>
      </c>
      <c r="J695" s="1">
        <f>IFERROR(__xludf.DUMMYFUNCTION("""COMPUTED_VALUE"""),928.56)</f>
        <v>928.56</v>
      </c>
      <c r="K695" s="1">
        <f>IFERROR(__xludf.DUMMYFUNCTION("""COMPUTED_VALUE"""),928.56)</f>
        <v>928.56</v>
      </c>
    </row>
    <row r="696">
      <c r="A696" s="1">
        <f>IFERROR(__xludf.DUMMYFUNCTION("""COMPUTED_VALUE"""),2000.0)</f>
        <v>2000</v>
      </c>
      <c r="B696" s="1">
        <f>IFERROR(__xludf.DUMMYFUNCTION("""COMPUTED_VALUE"""),183954.0)</f>
        <v>183954</v>
      </c>
      <c r="C696" s="1">
        <f>IFERROR(__xludf.DUMMYFUNCTION("""COMPUTED_VALUE"""),2026.0)</f>
        <v>2026</v>
      </c>
      <c r="D696" s="1">
        <f>IFERROR(__xludf.DUMMYFUNCTION("""COMPUTED_VALUE"""),46255.0)</f>
        <v>46255</v>
      </c>
      <c r="E696" s="1" t="str">
        <f>IFERROR(__xludf.DUMMYFUNCTION("""COMPUTED_VALUE"""),"VF")</f>
        <v>VF</v>
      </c>
      <c r="F696" s="1">
        <f>IFERROR(__xludf.DUMMYFUNCTION("""COMPUTED_VALUE"""),1.0)</f>
        <v>1</v>
      </c>
      <c r="G696" s="1" t="str">
        <f>IFERROR(__xludf.DUMMYFUNCTION("""COMPUTED_VALUE"""),"PR010")</f>
        <v>PR010</v>
      </c>
      <c r="H696" s="1" t="str">
        <f>IFERROR(__xludf.DUMMYFUNCTION("""COMPUTED_VALUE"""),"VD027")</f>
        <v>VD027</v>
      </c>
      <c r="I696" s="1">
        <f>IFERROR(__xludf.DUMMYFUNCTION("""COMPUTED_VALUE"""),1.0)</f>
        <v>1</v>
      </c>
      <c r="J696" s="1">
        <f>IFERROR(__xludf.DUMMYFUNCTION("""COMPUTED_VALUE"""),45.8)</f>
        <v>45.8</v>
      </c>
      <c r="K696" s="1">
        <f>IFERROR(__xludf.DUMMYFUNCTION("""COMPUTED_VALUE"""),45.8)</f>
        <v>45.8</v>
      </c>
    </row>
    <row r="697">
      <c r="A697" s="1">
        <f>IFERROR(__xludf.DUMMYFUNCTION("""COMPUTED_VALUE"""),1000.0)</f>
        <v>1000</v>
      </c>
      <c r="B697" s="1">
        <f>IFERROR(__xludf.DUMMYFUNCTION("""COMPUTED_VALUE"""),183955.0)</f>
        <v>183955</v>
      </c>
      <c r="C697" s="1">
        <f>IFERROR(__xludf.DUMMYFUNCTION("""COMPUTED_VALUE"""),2026.0)</f>
        <v>2026</v>
      </c>
      <c r="D697" s="1">
        <f>IFERROR(__xludf.DUMMYFUNCTION("""COMPUTED_VALUE"""),46255.0)</f>
        <v>46255</v>
      </c>
      <c r="E697" s="1" t="str">
        <f>IFERROR(__xludf.DUMMYFUNCTION("""COMPUTED_VALUE"""),"VF")</f>
        <v>VF</v>
      </c>
      <c r="F697" s="1">
        <f>IFERROR(__xludf.DUMMYFUNCTION("""COMPUTED_VALUE"""),1.0)</f>
        <v>1</v>
      </c>
      <c r="G697" s="1" t="str">
        <f>IFERROR(__xludf.DUMMYFUNCTION("""COMPUTED_VALUE"""),"PR050")</f>
        <v>PR050</v>
      </c>
      <c r="H697" s="1" t="str">
        <f>IFERROR(__xludf.DUMMYFUNCTION("""COMPUTED_VALUE"""),"VD029")</f>
        <v>VD029</v>
      </c>
      <c r="I697" s="1">
        <f>IFERROR(__xludf.DUMMYFUNCTION("""COMPUTED_VALUE"""),16.0)</f>
        <v>16</v>
      </c>
      <c r="J697" s="1">
        <f>IFERROR(__xludf.DUMMYFUNCTION("""COMPUTED_VALUE"""),526.4)</f>
        <v>526.4</v>
      </c>
      <c r="K697" s="1">
        <f>IFERROR(__xludf.DUMMYFUNCTION("""COMPUTED_VALUE"""),526.4)</f>
        <v>526.4</v>
      </c>
    </row>
    <row r="698">
      <c r="A698" s="1">
        <f>IFERROR(__xludf.DUMMYFUNCTION("""COMPUTED_VALUE"""),1000.0)</f>
        <v>1000</v>
      </c>
      <c r="B698" s="1">
        <f>IFERROR(__xludf.DUMMYFUNCTION("""COMPUTED_VALUE"""),183956.0)</f>
        <v>183956</v>
      </c>
      <c r="C698" s="1">
        <f>IFERROR(__xludf.DUMMYFUNCTION("""COMPUTED_VALUE"""),2026.0)</f>
        <v>2026</v>
      </c>
      <c r="D698" s="1">
        <f>IFERROR(__xludf.DUMMYFUNCTION("""COMPUTED_VALUE"""),46255.0)</f>
        <v>46255</v>
      </c>
      <c r="E698" s="1" t="str">
        <f>IFERROR(__xludf.DUMMYFUNCTION("""COMPUTED_VALUE"""),"VF")</f>
        <v>VF</v>
      </c>
      <c r="F698" s="1">
        <f>IFERROR(__xludf.DUMMYFUNCTION("""COMPUTED_VALUE"""),1.0)</f>
        <v>1</v>
      </c>
      <c r="G698" s="1" t="str">
        <f>IFERROR(__xludf.DUMMYFUNCTION("""COMPUTED_VALUE"""),"PR046")</f>
        <v>PR046</v>
      </c>
      <c r="H698" s="1" t="str">
        <f>IFERROR(__xludf.DUMMYFUNCTION("""COMPUTED_VALUE"""),"VD025")</f>
        <v>VD025</v>
      </c>
      <c r="I698" s="1">
        <f>IFERROR(__xludf.DUMMYFUNCTION("""COMPUTED_VALUE"""),6.0)</f>
        <v>6</v>
      </c>
      <c r="J698" s="1">
        <f>IFERROR(__xludf.DUMMYFUNCTION("""COMPUTED_VALUE"""),1826.37)</f>
        <v>1826.37</v>
      </c>
      <c r="K698" s="1">
        <f>IFERROR(__xludf.DUMMYFUNCTION("""COMPUTED_VALUE"""),1826.37)</f>
        <v>1826.37</v>
      </c>
    </row>
    <row r="699">
      <c r="A699" s="1">
        <f>IFERROR(__xludf.DUMMYFUNCTION("""COMPUTED_VALUE"""),1000.0)</f>
        <v>1000</v>
      </c>
      <c r="B699" s="1">
        <f>IFERROR(__xludf.DUMMYFUNCTION("""COMPUTED_VALUE"""),183956.0)</f>
        <v>183956</v>
      </c>
      <c r="C699" s="1">
        <f>IFERROR(__xludf.DUMMYFUNCTION("""COMPUTED_VALUE"""),2026.0)</f>
        <v>2026</v>
      </c>
      <c r="D699" s="1">
        <f>IFERROR(__xludf.DUMMYFUNCTION("""COMPUTED_VALUE"""),46254.0)</f>
        <v>46254</v>
      </c>
      <c r="E699" s="1" t="str">
        <f>IFERROR(__xludf.DUMMYFUNCTION("""COMPUTED_VALUE"""),"VF")</f>
        <v>VF</v>
      </c>
      <c r="F699" s="1">
        <f>IFERROR(__xludf.DUMMYFUNCTION("""COMPUTED_VALUE"""),2.0)</f>
        <v>2</v>
      </c>
      <c r="G699" s="1" t="str">
        <f>IFERROR(__xludf.DUMMYFUNCTION("""COMPUTED_VALUE"""),"PR036")</f>
        <v>PR036</v>
      </c>
      <c r="H699" s="1" t="str">
        <f>IFERROR(__xludf.DUMMYFUNCTION("""COMPUTED_VALUE"""),"VD024")</f>
        <v>VD024</v>
      </c>
      <c r="I699" s="1">
        <f>IFERROR(__xludf.DUMMYFUNCTION("""COMPUTED_VALUE"""),2.0)</f>
        <v>2</v>
      </c>
      <c r="J699" s="1">
        <f>IFERROR(__xludf.DUMMYFUNCTION("""COMPUTED_VALUE"""),203.83)</f>
        <v>203.83</v>
      </c>
      <c r="K699" s="1">
        <f>IFERROR(__xludf.DUMMYFUNCTION("""COMPUTED_VALUE"""),203.83)</f>
        <v>203.83</v>
      </c>
    </row>
    <row r="700">
      <c r="A700" s="1">
        <f>IFERROR(__xludf.DUMMYFUNCTION("""COMPUTED_VALUE"""),1000.0)</f>
        <v>1000</v>
      </c>
      <c r="B700" s="1">
        <f>IFERROR(__xludf.DUMMYFUNCTION("""COMPUTED_VALUE"""),183957.0)</f>
        <v>183957</v>
      </c>
      <c r="C700" s="1">
        <f>IFERROR(__xludf.DUMMYFUNCTION("""COMPUTED_VALUE"""),2026.0)</f>
        <v>2026</v>
      </c>
      <c r="D700" s="1">
        <f>IFERROR(__xludf.DUMMYFUNCTION("""COMPUTED_VALUE"""),46254.0)</f>
        <v>46254</v>
      </c>
      <c r="E700" s="1" t="str">
        <f>IFERROR(__xludf.DUMMYFUNCTION("""COMPUTED_VALUE"""),"VF")</f>
        <v>VF</v>
      </c>
      <c r="F700" s="1">
        <f>IFERROR(__xludf.DUMMYFUNCTION("""COMPUTED_VALUE"""),1.0)</f>
        <v>1</v>
      </c>
      <c r="G700" s="1" t="str">
        <f>IFERROR(__xludf.DUMMYFUNCTION("""COMPUTED_VALUE"""),"PR047")</f>
        <v>PR047</v>
      </c>
      <c r="H700" s="1" t="str">
        <f>IFERROR(__xludf.DUMMYFUNCTION("""COMPUTED_VALUE"""),"VD035")</f>
        <v>VD035</v>
      </c>
      <c r="I700" s="1">
        <f>IFERROR(__xludf.DUMMYFUNCTION("""COMPUTED_VALUE"""),1.0)</f>
        <v>1</v>
      </c>
      <c r="J700" s="1">
        <f>IFERROR(__xludf.DUMMYFUNCTION("""COMPUTED_VALUE"""),313.09)</f>
        <v>313.09</v>
      </c>
      <c r="K700" s="1">
        <f>IFERROR(__xludf.DUMMYFUNCTION("""COMPUTED_VALUE"""),313.09)</f>
        <v>313.09</v>
      </c>
    </row>
    <row r="701">
      <c r="A701" s="1">
        <f>IFERROR(__xludf.DUMMYFUNCTION("""COMPUTED_VALUE"""),2000.0)</f>
        <v>2000</v>
      </c>
      <c r="B701" s="1">
        <f>IFERROR(__xludf.DUMMYFUNCTION("""COMPUTED_VALUE"""),183958.0)</f>
        <v>183958</v>
      </c>
      <c r="C701" s="1">
        <f>IFERROR(__xludf.DUMMYFUNCTION("""COMPUTED_VALUE"""),2026.0)</f>
        <v>2026</v>
      </c>
      <c r="D701" s="1">
        <f>IFERROR(__xludf.DUMMYFUNCTION("""COMPUTED_VALUE"""),46254.0)</f>
        <v>46254</v>
      </c>
      <c r="E701" s="1" t="str">
        <f>IFERROR(__xludf.DUMMYFUNCTION("""COMPUTED_VALUE"""),"VF")</f>
        <v>VF</v>
      </c>
      <c r="F701" s="1">
        <f>IFERROR(__xludf.DUMMYFUNCTION("""COMPUTED_VALUE"""),1.0)</f>
        <v>1</v>
      </c>
      <c r="G701" s="1" t="str">
        <f>IFERROR(__xludf.DUMMYFUNCTION("""COMPUTED_VALUE"""),"PR014")</f>
        <v>PR014</v>
      </c>
      <c r="H701" s="1" t="str">
        <f>IFERROR(__xludf.DUMMYFUNCTION("""COMPUTED_VALUE"""),"VD028")</f>
        <v>VD028</v>
      </c>
      <c r="I701" s="1">
        <f>IFERROR(__xludf.DUMMYFUNCTION("""COMPUTED_VALUE"""),4.0)</f>
        <v>4</v>
      </c>
      <c r="J701" s="1">
        <f>IFERROR(__xludf.DUMMYFUNCTION("""COMPUTED_VALUE"""),161.2)</f>
        <v>161.2</v>
      </c>
      <c r="K701" s="1">
        <f>IFERROR(__xludf.DUMMYFUNCTION("""COMPUTED_VALUE"""),161.2)</f>
        <v>161.2</v>
      </c>
    </row>
    <row r="702">
      <c r="A702" s="1">
        <f>IFERROR(__xludf.DUMMYFUNCTION("""COMPUTED_VALUE"""),1000.0)</f>
        <v>1000</v>
      </c>
      <c r="B702" s="1">
        <f>IFERROR(__xludf.DUMMYFUNCTION("""COMPUTED_VALUE"""),183959.0)</f>
        <v>183959</v>
      </c>
      <c r="C702" s="1">
        <f>IFERROR(__xludf.DUMMYFUNCTION("""COMPUTED_VALUE"""),2026.0)</f>
        <v>2026</v>
      </c>
      <c r="D702" s="1">
        <f>IFERROR(__xludf.DUMMYFUNCTION("""COMPUTED_VALUE"""),46254.0)</f>
        <v>46254</v>
      </c>
      <c r="E702" s="1" t="str">
        <f>IFERROR(__xludf.DUMMYFUNCTION("""COMPUTED_VALUE"""),"VF")</f>
        <v>VF</v>
      </c>
      <c r="F702" s="1">
        <f>IFERROR(__xludf.DUMMYFUNCTION("""COMPUTED_VALUE"""),1.0)</f>
        <v>1</v>
      </c>
      <c r="G702" s="1" t="str">
        <f>IFERROR(__xludf.DUMMYFUNCTION("""COMPUTED_VALUE"""),"PR039")</f>
        <v>PR039</v>
      </c>
      <c r="H702" s="1" t="str">
        <f>IFERROR(__xludf.DUMMYFUNCTION("""COMPUTED_VALUE"""),"VD012")</f>
        <v>VD012</v>
      </c>
      <c r="I702" s="1">
        <f>IFERROR(__xludf.DUMMYFUNCTION("""COMPUTED_VALUE"""),20.0)</f>
        <v>20</v>
      </c>
      <c r="J702" s="1">
        <f>IFERROR(__xludf.DUMMYFUNCTION("""COMPUTED_VALUE"""),3124.4)</f>
        <v>3124.4</v>
      </c>
      <c r="K702" s="1">
        <f>IFERROR(__xludf.DUMMYFUNCTION("""COMPUTED_VALUE"""),3124.4)</f>
        <v>3124.4</v>
      </c>
    </row>
    <row r="703">
      <c r="A703" s="1">
        <f>IFERROR(__xludf.DUMMYFUNCTION("""COMPUTED_VALUE"""),1000.0)</f>
        <v>1000</v>
      </c>
      <c r="B703" s="1">
        <f>IFERROR(__xludf.DUMMYFUNCTION("""COMPUTED_VALUE"""),183959.0)</f>
        <v>183959</v>
      </c>
      <c r="C703" s="1">
        <f>IFERROR(__xludf.DUMMYFUNCTION("""COMPUTED_VALUE"""),2026.0)</f>
        <v>2026</v>
      </c>
      <c r="D703" s="1">
        <f>IFERROR(__xludf.DUMMYFUNCTION("""COMPUTED_VALUE"""),46254.0)</f>
        <v>46254</v>
      </c>
      <c r="E703" s="1" t="str">
        <f>IFERROR(__xludf.DUMMYFUNCTION("""COMPUTED_VALUE"""),"VF")</f>
        <v>VF</v>
      </c>
      <c r="F703" s="1">
        <f>IFERROR(__xludf.DUMMYFUNCTION("""COMPUTED_VALUE"""),2.0)</f>
        <v>2</v>
      </c>
      <c r="G703" s="1" t="str">
        <f>IFERROR(__xludf.DUMMYFUNCTION("""COMPUTED_VALUE"""),"PR051")</f>
        <v>PR051</v>
      </c>
      <c r="H703" s="1" t="str">
        <f>IFERROR(__xludf.DUMMYFUNCTION("""COMPUTED_VALUE"""),"VD034")</f>
        <v>VD034</v>
      </c>
      <c r="I703" s="1">
        <f>IFERROR(__xludf.DUMMYFUNCTION("""COMPUTED_VALUE"""),6.0)</f>
        <v>6</v>
      </c>
      <c r="J703" s="1">
        <f>IFERROR(__xludf.DUMMYFUNCTION("""COMPUTED_VALUE"""),211.22)</f>
        <v>211.22</v>
      </c>
      <c r="K703" s="1">
        <f>IFERROR(__xludf.DUMMYFUNCTION("""COMPUTED_VALUE"""),211.22)</f>
        <v>211.22</v>
      </c>
    </row>
    <row r="704">
      <c r="A704" s="1">
        <f>IFERROR(__xludf.DUMMYFUNCTION("""COMPUTED_VALUE"""),1000.0)</f>
        <v>1000</v>
      </c>
      <c r="B704" s="1">
        <f>IFERROR(__xludf.DUMMYFUNCTION("""COMPUTED_VALUE"""),183960.0)</f>
        <v>183960</v>
      </c>
      <c r="C704" s="1">
        <f>IFERROR(__xludf.DUMMYFUNCTION("""COMPUTED_VALUE"""),2026.0)</f>
        <v>2026</v>
      </c>
      <c r="D704" s="1">
        <f>IFERROR(__xludf.DUMMYFUNCTION("""COMPUTED_VALUE"""),46253.0)</f>
        <v>46253</v>
      </c>
      <c r="E704" s="1" t="str">
        <f>IFERROR(__xludf.DUMMYFUNCTION("""COMPUTED_VALUE"""),"VF")</f>
        <v>VF</v>
      </c>
      <c r="F704" s="1">
        <f>IFERROR(__xludf.DUMMYFUNCTION("""COMPUTED_VALUE"""),1.0)</f>
        <v>1</v>
      </c>
      <c r="G704" s="1" t="str">
        <f>IFERROR(__xludf.DUMMYFUNCTION("""COMPUTED_VALUE"""),"PR060")</f>
        <v>PR060</v>
      </c>
      <c r="H704" s="1" t="str">
        <f>IFERROR(__xludf.DUMMYFUNCTION("""COMPUTED_VALUE"""),"VD043")</f>
        <v>VD043</v>
      </c>
      <c r="I704" s="1">
        <f>IFERROR(__xludf.DUMMYFUNCTION("""COMPUTED_VALUE"""),8.0)</f>
        <v>8</v>
      </c>
      <c r="J704" s="1">
        <f>IFERROR(__xludf.DUMMYFUNCTION("""COMPUTED_VALUE"""),1483.2)</f>
        <v>1483.2</v>
      </c>
      <c r="K704" s="1">
        <f>IFERROR(__xludf.DUMMYFUNCTION("""COMPUTED_VALUE"""),1483.2)</f>
        <v>1483.2</v>
      </c>
    </row>
    <row r="705">
      <c r="A705" s="1">
        <f>IFERROR(__xludf.DUMMYFUNCTION("""COMPUTED_VALUE"""),2000.0)</f>
        <v>2000</v>
      </c>
      <c r="B705" s="1">
        <f>IFERROR(__xludf.DUMMYFUNCTION("""COMPUTED_VALUE"""),183961.0)</f>
        <v>183961</v>
      </c>
      <c r="C705" s="1">
        <f>IFERROR(__xludf.DUMMYFUNCTION("""COMPUTED_VALUE"""),2026.0)</f>
        <v>2026</v>
      </c>
      <c r="D705" s="1">
        <f>IFERROR(__xludf.DUMMYFUNCTION("""COMPUTED_VALUE"""),46253.0)</f>
        <v>46253</v>
      </c>
      <c r="E705" s="1" t="str">
        <f>IFERROR(__xludf.DUMMYFUNCTION("""COMPUTED_VALUE"""),"VF")</f>
        <v>VF</v>
      </c>
      <c r="F705" s="1">
        <f>IFERROR(__xludf.DUMMYFUNCTION("""COMPUTED_VALUE"""),1.0)</f>
        <v>1</v>
      </c>
      <c r="G705" s="1" t="str">
        <f>IFERROR(__xludf.DUMMYFUNCTION("""COMPUTED_VALUE"""),"PR050")</f>
        <v>PR050</v>
      </c>
      <c r="H705" s="1" t="str">
        <f>IFERROR(__xludf.DUMMYFUNCTION("""COMPUTED_VALUE"""),"VD040")</f>
        <v>VD040</v>
      </c>
      <c r="I705" s="1">
        <f>IFERROR(__xludf.DUMMYFUNCTION("""COMPUTED_VALUE"""),10.0)</f>
        <v>10</v>
      </c>
      <c r="J705" s="1">
        <f>IFERROR(__xludf.DUMMYFUNCTION("""COMPUTED_VALUE"""),329.0)</f>
        <v>329</v>
      </c>
      <c r="K705" s="1">
        <f>IFERROR(__xludf.DUMMYFUNCTION("""COMPUTED_VALUE"""),329.0)</f>
        <v>329</v>
      </c>
    </row>
    <row r="706">
      <c r="A706" s="1">
        <f>IFERROR(__xludf.DUMMYFUNCTION("""COMPUTED_VALUE"""),1000.0)</f>
        <v>1000</v>
      </c>
      <c r="B706" s="1">
        <f>IFERROR(__xludf.DUMMYFUNCTION("""COMPUTED_VALUE"""),183962.0)</f>
        <v>183962</v>
      </c>
      <c r="C706" s="1">
        <f>IFERROR(__xludf.DUMMYFUNCTION("""COMPUTED_VALUE"""),2026.0)</f>
        <v>2026</v>
      </c>
      <c r="D706" s="1">
        <f>IFERROR(__xludf.DUMMYFUNCTION("""COMPUTED_VALUE"""),46253.0)</f>
        <v>46253</v>
      </c>
      <c r="E706" s="1" t="str">
        <f>IFERROR(__xludf.DUMMYFUNCTION("""COMPUTED_VALUE"""),"VF")</f>
        <v>VF</v>
      </c>
      <c r="F706" s="1">
        <f>IFERROR(__xludf.DUMMYFUNCTION("""COMPUTED_VALUE"""),1.0)</f>
        <v>1</v>
      </c>
      <c r="G706" s="1" t="str">
        <f>IFERROR(__xludf.DUMMYFUNCTION("""COMPUTED_VALUE"""),"PR044")</f>
        <v>PR044</v>
      </c>
      <c r="H706" s="1" t="str">
        <f>IFERROR(__xludf.DUMMYFUNCTION("""COMPUTED_VALUE"""),"VD012")</f>
        <v>VD012</v>
      </c>
      <c r="I706" s="1">
        <f>IFERROR(__xludf.DUMMYFUNCTION("""COMPUTED_VALUE"""),4.0)</f>
        <v>4</v>
      </c>
      <c r="J706" s="1">
        <f>IFERROR(__xludf.DUMMYFUNCTION("""COMPUTED_VALUE"""),301.6)</f>
        <v>301.6</v>
      </c>
      <c r="K706" s="1">
        <f>IFERROR(__xludf.DUMMYFUNCTION("""COMPUTED_VALUE"""),301.6)</f>
        <v>301.6</v>
      </c>
    </row>
    <row r="707">
      <c r="A707" s="1">
        <f>IFERROR(__xludf.DUMMYFUNCTION("""COMPUTED_VALUE"""),1000.0)</f>
        <v>1000</v>
      </c>
      <c r="B707" s="1">
        <f>IFERROR(__xludf.DUMMYFUNCTION("""COMPUTED_VALUE"""),183963.0)</f>
        <v>183963</v>
      </c>
      <c r="C707" s="1">
        <f>IFERROR(__xludf.DUMMYFUNCTION("""COMPUTED_VALUE"""),2026.0)</f>
        <v>2026</v>
      </c>
      <c r="D707" s="1">
        <f>IFERROR(__xludf.DUMMYFUNCTION("""COMPUTED_VALUE"""),46253.0)</f>
        <v>46253</v>
      </c>
      <c r="E707" s="1" t="str">
        <f>IFERROR(__xludf.DUMMYFUNCTION("""COMPUTED_VALUE"""),"VF")</f>
        <v>VF</v>
      </c>
      <c r="F707" s="1">
        <f>IFERROR(__xludf.DUMMYFUNCTION("""COMPUTED_VALUE"""),1.0)</f>
        <v>1</v>
      </c>
      <c r="G707" s="1" t="str">
        <f>IFERROR(__xludf.DUMMYFUNCTION("""COMPUTED_VALUE"""),"PR013")</f>
        <v>PR013</v>
      </c>
      <c r="H707" s="1" t="str">
        <f>IFERROR(__xludf.DUMMYFUNCTION("""COMPUTED_VALUE"""),"VD031")</f>
        <v>VD031</v>
      </c>
      <c r="I707" s="1">
        <f>IFERROR(__xludf.DUMMYFUNCTION("""COMPUTED_VALUE"""),14.0)</f>
        <v>14</v>
      </c>
      <c r="J707" s="1">
        <f>IFERROR(__xludf.DUMMYFUNCTION("""COMPUTED_VALUE"""),608.87)</f>
        <v>608.87</v>
      </c>
      <c r="K707" s="1">
        <f>IFERROR(__xludf.DUMMYFUNCTION("""COMPUTED_VALUE"""),608.87)</f>
        <v>608.87</v>
      </c>
    </row>
    <row r="708">
      <c r="A708" s="1">
        <f>IFERROR(__xludf.DUMMYFUNCTION("""COMPUTED_VALUE"""),1000.0)</f>
        <v>1000</v>
      </c>
      <c r="B708" s="1">
        <f>IFERROR(__xludf.DUMMYFUNCTION("""COMPUTED_VALUE"""),183964.0)</f>
        <v>183964</v>
      </c>
      <c r="C708" s="1">
        <f>IFERROR(__xludf.DUMMYFUNCTION("""COMPUTED_VALUE"""),2026.0)</f>
        <v>2026</v>
      </c>
      <c r="D708" s="1">
        <f>IFERROR(__xludf.DUMMYFUNCTION("""COMPUTED_VALUE"""),46253.0)</f>
        <v>46253</v>
      </c>
      <c r="E708" s="1" t="str">
        <f>IFERROR(__xludf.DUMMYFUNCTION("""COMPUTED_VALUE"""),"VF")</f>
        <v>VF</v>
      </c>
      <c r="F708" s="1">
        <f>IFERROR(__xludf.DUMMYFUNCTION("""COMPUTED_VALUE"""),1.0)</f>
        <v>1</v>
      </c>
      <c r="G708" s="1" t="str">
        <f>IFERROR(__xludf.DUMMYFUNCTION("""COMPUTED_VALUE"""),"PR002")</f>
        <v>PR002</v>
      </c>
      <c r="H708" s="1" t="str">
        <f>IFERROR(__xludf.DUMMYFUNCTION("""COMPUTED_VALUE"""),"VD027")</f>
        <v>VD027</v>
      </c>
      <c r="I708" s="1">
        <f>IFERROR(__xludf.DUMMYFUNCTION("""COMPUTED_VALUE"""),6.0)</f>
        <v>6</v>
      </c>
      <c r="J708" s="1">
        <f>IFERROR(__xludf.DUMMYFUNCTION("""COMPUTED_VALUE"""),452.95)</f>
        <v>452.95</v>
      </c>
      <c r="K708" s="1">
        <f>IFERROR(__xludf.DUMMYFUNCTION("""COMPUTED_VALUE"""),452.95)</f>
        <v>452.95</v>
      </c>
    </row>
    <row r="709">
      <c r="A709" s="1">
        <f>IFERROR(__xludf.DUMMYFUNCTION("""COMPUTED_VALUE"""),1000.0)</f>
        <v>1000</v>
      </c>
      <c r="B709" s="1">
        <f>IFERROR(__xludf.DUMMYFUNCTION("""COMPUTED_VALUE"""),183965.0)</f>
        <v>183965</v>
      </c>
      <c r="C709" s="1">
        <f>IFERROR(__xludf.DUMMYFUNCTION("""COMPUTED_VALUE"""),2026.0)</f>
        <v>2026</v>
      </c>
      <c r="D709" s="1">
        <f>IFERROR(__xludf.DUMMYFUNCTION("""COMPUTED_VALUE"""),46253.0)</f>
        <v>46253</v>
      </c>
      <c r="E709" s="1" t="str">
        <f>IFERROR(__xludf.DUMMYFUNCTION("""COMPUTED_VALUE"""),"VF")</f>
        <v>VF</v>
      </c>
      <c r="F709" s="1">
        <f>IFERROR(__xludf.DUMMYFUNCTION("""COMPUTED_VALUE"""),1.0)</f>
        <v>1</v>
      </c>
      <c r="G709" s="1" t="str">
        <f>IFERROR(__xludf.DUMMYFUNCTION("""COMPUTED_VALUE"""),"PR031")</f>
        <v>PR031</v>
      </c>
      <c r="H709" s="1" t="str">
        <f>IFERROR(__xludf.DUMMYFUNCTION("""COMPUTED_VALUE"""),"VD024")</f>
        <v>VD024</v>
      </c>
      <c r="I709" s="1">
        <f>IFERROR(__xludf.DUMMYFUNCTION("""COMPUTED_VALUE"""),6.0)</f>
        <v>6</v>
      </c>
      <c r="J709" s="1">
        <f>IFERROR(__xludf.DUMMYFUNCTION("""COMPUTED_VALUE"""),1499.4)</f>
        <v>1499.4</v>
      </c>
      <c r="K709" s="1">
        <f>IFERROR(__xludf.DUMMYFUNCTION("""COMPUTED_VALUE"""),1499.4)</f>
        <v>1499.4</v>
      </c>
    </row>
    <row r="710">
      <c r="A710" s="1">
        <f>IFERROR(__xludf.DUMMYFUNCTION("""COMPUTED_VALUE"""),1000.0)</f>
        <v>1000</v>
      </c>
      <c r="B710" s="1">
        <f>IFERROR(__xludf.DUMMYFUNCTION("""COMPUTED_VALUE"""),183965.0)</f>
        <v>183965</v>
      </c>
      <c r="C710" s="1">
        <f>IFERROR(__xludf.DUMMYFUNCTION("""COMPUTED_VALUE"""),2026.0)</f>
        <v>2026</v>
      </c>
      <c r="D710" s="1">
        <f>IFERROR(__xludf.DUMMYFUNCTION("""COMPUTED_VALUE"""),46253.0)</f>
        <v>46253</v>
      </c>
      <c r="E710" s="1" t="str">
        <f>IFERROR(__xludf.DUMMYFUNCTION("""COMPUTED_VALUE"""),"VF")</f>
        <v>VF</v>
      </c>
      <c r="F710" s="1">
        <f>IFERROR(__xludf.DUMMYFUNCTION("""COMPUTED_VALUE"""),2.0)</f>
        <v>2</v>
      </c>
      <c r="G710" s="1" t="str">
        <f>IFERROR(__xludf.DUMMYFUNCTION("""COMPUTED_VALUE"""),"PR052")</f>
        <v>PR052</v>
      </c>
      <c r="H710" s="1" t="str">
        <f>IFERROR(__xludf.DUMMYFUNCTION("""COMPUTED_VALUE"""),"VD041")</f>
        <v>VD041</v>
      </c>
      <c r="I710" s="1">
        <f>IFERROR(__xludf.DUMMYFUNCTION("""COMPUTED_VALUE"""),14.0)</f>
        <v>14</v>
      </c>
      <c r="J710" s="1">
        <f>IFERROR(__xludf.DUMMYFUNCTION("""COMPUTED_VALUE"""),754.49)</f>
        <v>754.49</v>
      </c>
      <c r="K710" s="1">
        <f>IFERROR(__xludf.DUMMYFUNCTION("""COMPUTED_VALUE"""),754.49)</f>
        <v>754.49</v>
      </c>
    </row>
    <row r="711">
      <c r="A711" s="1">
        <f>IFERROR(__xludf.DUMMYFUNCTION("""COMPUTED_VALUE"""),2000.0)</f>
        <v>2000</v>
      </c>
      <c r="B711" s="1">
        <f>IFERROR(__xludf.DUMMYFUNCTION("""COMPUTED_VALUE"""),183965.0)</f>
        <v>183965</v>
      </c>
      <c r="C711" s="1">
        <f>IFERROR(__xludf.DUMMYFUNCTION("""COMPUTED_VALUE"""),2026.0)</f>
        <v>2026</v>
      </c>
      <c r="D711" s="1">
        <f>IFERROR(__xludf.DUMMYFUNCTION("""COMPUTED_VALUE"""),46253.0)</f>
        <v>46253</v>
      </c>
      <c r="E711" s="1" t="str">
        <f>IFERROR(__xludf.DUMMYFUNCTION("""COMPUTED_VALUE"""),"VF")</f>
        <v>VF</v>
      </c>
      <c r="F711" s="1">
        <f>IFERROR(__xludf.DUMMYFUNCTION("""COMPUTED_VALUE"""),3.0)</f>
        <v>3</v>
      </c>
      <c r="G711" s="1" t="str">
        <f>IFERROR(__xludf.DUMMYFUNCTION("""COMPUTED_VALUE"""),"PR058")</f>
        <v>PR058</v>
      </c>
      <c r="H711" s="1" t="str">
        <f>IFERROR(__xludf.DUMMYFUNCTION("""COMPUTED_VALUE"""),"VD030")</f>
        <v>VD030</v>
      </c>
      <c r="I711" s="1">
        <f>IFERROR(__xludf.DUMMYFUNCTION("""COMPUTED_VALUE"""),2.0)</f>
        <v>2</v>
      </c>
      <c r="J711" s="1">
        <f>IFERROR(__xludf.DUMMYFUNCTION("""COMPUTED_VALUE"""),363.6)</f>
        <v>363.6</v>
      </c>
      <c r="K711" s="1">
        <f>IFERROR(__xludf.DUMMYFUNCTION("""COMPUTED_VALUE"""),363.6)</f>
        <v>363.6</v>
      </c>
    </row>
    <row r="712">
      <c r="A712" s="1">
        <f>IFERROR(__xludf.DUMMYFUNCTION("""COMPUTED_VALUE"""),1000.0)</f>
        <v>1000</v>
      </c>
      <c r="B712" s="1">
        <f>IFERROR(__xludf.DUMMYFUNCTION("""COMPUTED_VALUE"""),183966.0)</f>
        <v>183966</v>
      </c>
      <c r="C712" s="1">
        <f>IFERROR(__xludf.DUMMYFUNCTION("""COMPUTED_VALUE"""),2026.0)</f>
        <v>2026</v>
      </c>
      <c r="D712" s="1">
        <f>IFERROR(__xludf.DUMMYFUNCTION("""COMPUTED_VALUE"""),46253.0)</f>
        <v>46253</v>
      </c>
      <c r="E712" s="1" t="str">
        <f>IFERROR(__xludf.DUMMYFUNCTION("""COMPUTED_VALUE"""),"VF")</f>
        <v>VF</v>
      </c>
      <c r="F712" s="1">
        <f>IFERROR(__xludf.DUMMYFUNCTION("""COMPUTED_VALUE"""),1.0)</f>
        <v>1</v>
      </c>
      <c r="G712" s="1" t="str">
        <f>IFERROR(__xludf.DUMMYFUNCTION("""COMPUTED_VALUE"""),"PR034")</f>
        <v>PR034</v>
      </c>
      <c r="H712" s="1" t="str">
        <f>IFERROR(__xludf.DUMMYFUNCTION("""COMPUTED_VALUE"""),"VD013")</f>
        <v>VD013</v>
      </c>
      <c r="I712" s="1">
        <f>IFERROR(__xludf.DUMMYFUNCTION("""COMPUTED_VALUE"""),7.0)</f>
        <v>7</v>
      </c>
      <c r="J712" s="1">
        <f>IFERROR(__xludf.DUMMYFUNCTION("""COMPUTED_VALUE"""),667.06)</f>
        <v>667.06</v>
      </c>
      <c r="K712" s="1">
        <f>IFERROR(__xludf.DUMMYFUNCTION("""COMPUTED_VALUE"""),667.06)</f>
        <v>667.06</v>
      </c>
    </row>
    <row r="713">
      <c r="A713" s="1">
        <f>IFERROR(__xludf.DUMMYFUNCTION("""COMPUTED_VALUE"""),2000.0)</f>
        <v>2000</v>
      </c>
      <c r="B713" s="1">
        <f>IFERROR(__xludf.DUMMYFUNCTION("""COMPUTED_VALUE"""),183967.0)</f>
        <v>183967</v>
      </c>
      <c r="C713" s="1">
        <f>IFERROR(__xludf.DUMMYFUNCTION("""COMPUTED_VALUE"""),2026.0)</f>
        <v>2026</v>
      </c>
      <c r="D713" s="1">
        <f>IFERROR(__xludf.DUMMYFUNCTION("""COMPUTED_VALUE"""),46252.0)</f>
        <v>46252</v>
      </c>
      <c r="E713" s="1" t="str">
        <f>IFERROR(__xludf.DUMMYFUNCTION("""COMPUTED_VALUE"""),"VF")</f>
        <v>VF</v>
      </c>
      <c r="F713" s="1">
        <f>IFERROR(__xludf.DUMMYFUNCTION("""COMPUTED_VALUE"""),1.0)</f>
        <v>1</v>
      </c>
      <c r="G713" s="1" t="str">
        <f>IFERROR(__xludf.DUMMYFUNCTION("""COMPUTED_VALUE"""),"PR052")</f>
        <v>PR052</v>
      </c>
      <c r="H713" s="1" t="str">
        <f>IFERROR(__xludf.DUMMYFUNCTION("""COMPUTED_VALUE"""),"VD041")</f>
        <v>VD041</v>
      </c>
      <c r="I713" s="1">
        <f>IFERROR(__xludf.DUMMYFUNCTION("""COMPUTED_VALUE"""),18.0)</f>
        <v>18</v>
      </c>
      <c r="J713" s="1">
        <f>IFERROR(__xludf.DUMMYFUNCTION("""COMPUTED_VALUE"""),970.06)</f>
        <v>970.06</v>
      </c>
      <c r="K713" s="1">
        <f>IFERROR(__xludf.DUMMYFUNCTION("""COMPUTED_VALUE"""),970.06)</f>
        <v>970.06</v>
      </c>
    </row>
    <row r="714">
      <c r="A714" s="1">
        <f>IFERROR(__xludf.DUMMYFUNCTION("""COMPUTED_VALUE"""),1000.0)</f>
        <v>1000</v>
      </c>
      <c r="B714" s="1">
        <f>IFERROR(__xludf.DUMMYFUNCTION("""COMPUTED_VALUE"""),183968.0)</f>
        <v>183968</v>
      </c>
      <c r="C714" s="1">
        <f>IFERROR(__xludf.DUMMYFUNCTION("""COMPUTED_VALUE"""),2026.0)</f>
        <v>2026</v>
      </c>
      <c r="D714" s="1">
        <f>IFERROR(__xludf.DUMMYFUNCTION("""COMPUTED_VALUE"""),46252.0)</f>
        <v>46252</v>
      </c>
      <c r="E714" s="1" t="str">
        <f>IFERROR(__xludf.DUMMYFUNCTION("""COMPUTED_VALUE"""),"VF")</f>
        <v>VF</v>
      </c>
      <c r="F714" s="1">
        <f>IFERROR(__xludf.DUMMYFUNCTION("""COMPUTED_VALUE"""),1.0)</f>
        <v>1</v>
      </c>
      <c r="G714" s="1" t="str">
        <f>IFERROR(__xludf.DUMMYFUNCTION("""COMPUTED_VALUE"""),"PR046")</f>
        <v>PR046</v>
      </c>
      <c r="H714" s="1" t="str">
        <f>IFERROR(__xludf.DUMMYFUNCTION("""COMPUTED_VALUE"""),"VD019")</f>
        <v>VD019</v>
      </c>
      <c r="I714" s="1">
        <f>IFERROR(__xludf.DUMMYFUNCTION("""COMPUTED_VALUE"""),4.0)</f>
        <v>4</v>
      </c>
      <c r="J714" s="1">
        <f>IFERROR(__xludf.DUMMYFUNCTION("""COMPUTED_VALUE"""),1240.77)</f>
        <v>1240.77</v>
      </c>
      <c r="K714" s="1">
        <f>IFERROR(__xludf.DUMMYFUNCTION("""COMPUTED_VALUE"""),1240.77)</f>
        <v>1240.77</v>
      </c>
    </row>
    <row r="715">
      <c r="A715" s="1">
        <f>IFERROR(__xludf.DUMMYFUNCTION("""COMPUTED_VALUE"""),1000.0)</f>
        <v>1000</v>
      </c>
      <c r="B715" s="1">
        <f>IFERROR(__xludf.DUMMYFUNCTION("""COMPUTED_VALUE"""),183969.0)</f>
        <v>183969</v>
      </c>
      <c r="C715" s="1">
        <f>IFERROR(__xludf.DUMMYFUNCTION("""COMPUTED_VALUE"""),2026.0)</f>
        <v>2026</v>
      </c>
      <c r="D715" s="1">
        <f>IFERROR(__xludf.DUMMYFUNCTION("""COMPUTED_VALUE"""),46251.0)</f>
        <v>46251</v>
      </c>
      <c r="E715" s="1" t="str">
        <f>IFERROR(__xludf.DUMMYFUNCTION("""COMPUTED_VALUE"""),"VF")</f>
        <v>VF</v>
      </c>
      <c r="F715" s="1">
        <f>IFERROR(__xludf.DUMMYFUNCTION("""COMPUTED_VALUE"""),1.0)</f>
        <v>1</v>
      </c>
      <c r="G715" s="1" t="str">
        <f>IFERROR(__xludf.DUMMYFUNCTION("""COMPUTED_VALUE"""),"PR056")</f>
        <v>PR056</v>
      </c>
      <c r="H715" s="1" t="str">
        <f>IFERROR(__xludf.DUMMYFUNCTION("""COMPUTED_VALUE"""),"VD039")</f>
        <v>VD039</v>
      </c>
      <c r="I715" s="1">
        <f>IFERROR(__xludf.DUMMYFUNCTION("""COMPUTED_VALUE"""),14.0)</f>
        <v>14</v>
      </c>
      <c r="J715" s="1">
        <f>IFERROR(__xludf.DUMMYFUNCTION("""COMPUTED_VALUE"""),1334.12)</f>
        <v>1334.12</v>
      </c>
      <c r="K715" s="1">
        <f>IFERROR(__xludf.DUMMYFUNCTION("""COMPUTED_VALUE"""),1334.12)</f>
        <v>1334.12</v>
      </c>
    </row>
    <row r="716">
      <c r="A716" s="1">
        <f>IFERROR(__xludf.DUMMYFUNCTION("""COMPUTED_VALUE"""),1000.0)</f>
        <v>1000</v>
      </c>
      <c r="B716" s="1">
        <f>IFERROR(__xludf.DUMMYFUNCTION("""COMPUTED_VALUE"""),183970.0)</f>
        <v>183970</v>
      </c>
      <c r="C716" s="1">
        <f>IFERROR(__xludf.DUMMYFUNCTION("""COMPUTED_VALUE"""),2026.0)</f>
        <v>2026</v>
      </c>
      <c r="D716" s="1">
        <f>IFERROR(__xludf.DUMMYFUNCTION("""COMPUTED_VALUE"""),46251.0)</f>
        <v>46251</v>
      </c>
      <c r="E716" s="1" t="str">
        <f>IFERROR(__xludf.DUMMYFUNCTION("""COMPUTED_VALUE"""),"VF")</f>
        <v>VF</v>
      </c>
      <c r="F716" s="1">
        <f>IFERROR(__xludf.DUMMYFUNCTION("""COMPUTED_VALUE"""),1.0)</f>
        <v>1</v>
      </c>
      <c r="G716" s="1" t="str">
        <f>IFERROR(__xludf.DUMMYFUNCTION("""COMPUTED_VALUE"""),"PR034")</f>
        <v>PR034</v>
      </c>
      <c r="H716" s="1" t="str">
        <f>IFERROR(__xludf.DUMMYFUNCTION("""COMPUTED_VALUE"""),"VD042")</f>
        <v>VD042</v>
      </c>
      <c r="I716" s="1">
        <f>IFERROR(__xludf.DUMMYFUNCTION("""COMPUTED_VALUE"""),10.0)</f>
        <v>10</v>
      </c>
      <c r="J716" s="1">
        <f>IFERROR(__xludf.DUMMYFUNCTION("""COMPUTED_VALUE"""),988.9)</f>
        <v>988.9</v>
      </c>
      <c r="K716" s="1">
        <f>IFERROR(__xludf.DUMMYFUNCTION("""COMPUTED_VALUE"""),988.9)</f>
        <v>988.9</v>
      </c>
    </row>
    <row r="717">
      <c r="A717" s="1">
        <f>IFERROR(__xludf.DUMMYFUNCTION("""COMPUTED_VALUE"""),2000.0)</f>
        <v>2000</v>
      </c>
      <c r="B717" s="1">
        <f>IFERROR(__xludf.DUMMYFUNCTION("""COMPUTED_VALUE"""),183970.0)</f>
        <v>183970</v>
      </c>
      <c r="C717" s="1">
        <f>IFERROR(__xludf.DUMMYFUNCTION("""COMPUTED_VALUE"""),2026.0)</f>
        <v>2026</v>
      </c>
      <c r="D717" s="1">
        <f>IFERROR(__xludf.DUMMYFUNCTION("""COMPUTED_VALUE"""),46251.0)</f>
        <v>46251</v>
      </c>
      <c r="E717" s="1" t="str">
        <f>IFERROR(__xludf.DUMMYFUNCTION("""COMPUTED_VALUE"""),"VF")</f>
        <v>VF</v>
      </c>
      <c r="F717" s="1">
        <f>IFERROR(__xludf.DUMMYFUNCTION("""COMPUTED_VALUE"""),2.0)</f>
        <v>2</v>
      </c>
      <c r="G717" s="1" t="str">
        <f>IFERROR(__xludf.DUMMYFUNCTION("""COMPUTED_VALUE"""),"PR029")</f>
        <v>PR029</v>
      </c>
      <c r="H717" s="1" t="str">
        <f>IFERROR(__xludf.DUMMYFUNCTION("""COMPUTED_VALUE"""),"VD043")</f>
        <v>VD043</v>
      </c>
      <c r="I717" s="1">
        <f>IFERROR(__xludf.DUMMYFUNCTION("""COMPUTED_VALUE"""),1.0)</f>
        <v>1</v>
      </c>
      <c r="J717" s="1">
        <f>IFERROR(__xludf.DUMMYFUNCTION("""COMPUTED_VALUE"""),267.75)</f>
        <v>267.75</v>
      </c>
      <c r="K717" s="1">
        <f>IFERROR(__xludf.DUMMYFUNCTION("""COMPUTED_VALUE"""),267.75)</f>
        <v>267.75</v>
      </c>
    </row>
    <row r="718">
      <c r="A718" s="1">
        <f>IFERROR(__xludf.DUMMYFUNCTION("""COMPUTED_VALUE"""),1000.0)</f>
        <v>1000</v>
      </c>
      <c r="B718" s="1">
        <f>IFERROR(__xludf.DUMMYFUNCTION("""COMPUTED_VALUE"""),183971.0)</f>
        <v>183971</v>
      </c>
      <c r="C718" s="1">
        <f>IFERROR(__xludf.DUMMYFUNCTION("""COMPUTED_VALUE"""),2026.0)</f>
        <v>2026</v>
      </c>
      <c r="D718" s="1">
        <f>IFERROR(__xludf.DUMMYFUNCTION("""COMPUTED_VALUE"""),46250.0)</f>
        <v>46250</v>
      </c>
      <c r="E718" s="1" t="str">
        <f>IFERROR(__xludf.DUMMYFUNCTION("""COMPUTED_VALUE"""),"VF")</f>
        <v>VF</v>
      </c>
      <c r="F718" s="1">
        <f>IFERROR(__xludf.DUMMYFUNCTION("""COMPUTED_VALUE"""),1.0)</f>
        <v>1</v>
      </c>
      <c r="G718" s="1" t="str">
        <f>IFERROR(__xludf.DUMMYFUNCTION("""COMPUTED_VALUE"""),"PR043")</f>
        <v>PR043</v>
      </c>
      <c r="H718" s="1" t="str">
        <f>IFERROR(__xludf.DUMMYFUNCTION("""COMPUTED_VALUE"""),"VD023")</f>
        <v>VD023</v>
      </c>
      <c r="I718" s="1">
        <f>IFERROR(__xludf.DUMMYFUNCTION("""COMPUTED_VALUE"""),8.0)</f>
        <v>8</v>
      </c>
      <c r="J718" s="1">
        <f>IFERROR(__xludf.DUMMYFUNCTION("""COMPUTED_VALUE"""),603.2)</f>
        <v>603.2</v>
      </c>
      <c r="K718" s="1">
        <f>IFERROR(__xludf.DUMMYFUNCTION("""COMPUTED_VALUE"""),603.2)</f>
        <v>603.2</v>
      </c>
    </row>
    <row r="719">
      <c r="A719" s="1">
        <f>IFERROR(__xludf.DUMMYFUNCTION("""COMPUTED_VALUE"""),1000.0)</f>
        <v>1000</v>
      </c>
      <c r="B719" s="1">
        <f>IFERROR(__xludf.DUMMYFUNCTION("""COMPUTED_VALUE"""),183972.0)</f>
        <v>183972</v>
      </c>
      <c r="C719" s="1">
        <f>IFERROR(__xludf.DUMMYFUNCTION("""COMPUTED_VALUE"""),2026.0)</f>
        <v>2026</v>
      </c>
      <c r="D719" s="1">
        <f>IFERROR(__xludf.DUMMYFUNCTION("""COMPUTED_VALUE"""),46250.0)</f>
        <v>46250</v>
      </c>
      <c r="E719" s="1" t="str">
        <f>IFERROR(__xludf.DUMMYFUNCTION("""COMPUTED_VALUE"""),"VF")</f>
        <v>VF</v>
      </c>
      <c r="F719" s="1">
        <f>IFERROR(__xludf.DUMMYFUNCTION("""COMPUTED_VALUE"""),1.0)</f>
        <v>1</v>
      </c>
      <c r="G719" s="1" t="str">
        <f>IFERROR(__xludf.DUMMYFUNCTION("""COMPUTED_VALUE"""),"PR014")</f>
        <v>PR014</v>
      </c>
      <c r="H719" s="1" t="str">
        <f>IFERROR(__xludf.DUMMYFUNCTION("""COMPUTED_VALUE"""),"VD035")</f>
        <v>VD035</v>
      </c>
      <c r="I719" s="1">
        <f>IFERROR(__xludf.DUMMYFUNCTION("""COMPUTED_VALUE"""),5.0)</f>
        <v>5</v>
      </c>
      <c r="J719" s="1">
        <f>IFERROR(__xludf.DUMMYFUNCTION("""COMPUTED_VALUE"""),211.47)</f>
        <v>211.47</v>
      </c>
      <c r="K719" s="1">
        <f>IFERROR(__xludf.DUMMYFUNCTION("""COMPUTED_VALUE"""),211.47)</f>
        <v>211.47</v>
      </c>
    </row>
    <row r="720">
      <c r="A720" s="1">
        <f>IFERROR(__xludf.DUMMYFUNCTION("""COMPUTED_VALUE"""),1000.0)</f>
        <v>1000</v>
      </c>
      <c r="B720" s="1">
        <f>IFERROR(__xludf.DUMMYFUNCTION("""COMPUTED_VALUE"""),183973.0)</f>
        <v>183973</v>
      </c>
      <c r="C720" s="1">
        <f>IFERROR(__xludf.DUMMYFUNCTION("""COMPUTED_VALUE"""),2026.0)</f>
        <v>2026</v>
      </c>
      <c r="D720" s="1">
        <f>IFERROR(__xludf.DUMMYFUNCTION("""COMPUTED_VALUE"""),46250.0)</f>
        <v>46250</v>
      </c>
      <c r="E720" s="1" t="str">
        <f>IFERROR(__xludf.DUMMYFUNCTION("""COMPUTED_VALUE"""),"VF")</f>
        <v>VF</v>
      </c>
      <c r="F720" s="1">
        <f>IFERROR(__xludf.DUMMYFUNCTION("""COMPUTED_VALUE"""),1.0)</f>
        <v>1</v>
      </c>
      <c r="G720" s="1" t="str">
        <f>IFERROR(__xludf.DUMMYFUNCTION("""COMPUTED_VALUE"""),"PR019")</f>
        <v>PR019</v>
      </c>
      <c r="H720" s="1" t="str">
        <f>IFERROR(__xludf.DUMMYFUNCTION("""COMPUTED_VALUE"""),"VD018")</f>
        <v>VD018</v>
      </c>
      <c r="I720" s="1">
        <f>IFERROR(__xludf.DUMMYFUNCTION("""COMPUTED_VALUE"""),18.0)</f>
        <v>18</v>
      </c>
      <c r="J720" s="1">
        <f>IFERROR(__xludf.DUMMYFUNCTION("""COMPUTED_VALUE"""),925.15)</f>
        <v>925.15</v>
      </c>
      <c r="K720" s="1">
        <f>IFERROR(__xludf.DUMMYFUNCTION("""COMPUTED_VALUE"""),925.15)</f>
        <v>925.15</v>
      </c>
    </row>
    <row r="721">
      <c r="A721" s="1">
        <f>IFERROR(__xludf.DUMMYFUNCTION("""COMPUTED_VALUE"""),1000.0)</f>
        <v>1000</v>
      </c>
      <c r="B721" s="1">
        <f>IFERROR(__xludf.DUMMYFUNCTION("""COMPUTED_VALUE"""),183974.0)</f>
        <v>183974</v>
      </c>
      <c r="C721" s="1">
        <f>IFERROR(__xludf.DUMMYFUNCTION("""COMPUTED_VALUE"""),2026.0)</f>
        <v>2026</v>
      </c>
      <c r="D721" s="1">
        <f>IFERROR(__xludf.DUMMYFUNCTION("""COMPUTED_VALUE"""),46250.0)</f>
        <v>46250</v>
      </c>
      <c r="E721" s="1" t="str">
        <f>IFERROR(__xludf.DUMMYFUNCTION("""COMPUTED_VALUE"""),"VF")</f>
        <v>VF</v>
      </c>
      <c r="F721" s="1">
        <f>IFERROR(__xludf.DUMMYFUNCTION("""COMPUTED_VALUE"""),1.0)</f>
        <v>1</v>
      </c>
      <c r="G721" s="1" t="str">
        <f>IFERROR(__xludf.DUMMYFUNCTION("""COMPUTED_VALUE"""),"PR057")</f>
        <v>PR057</v>
      </c>
      <c r="H721" s="1" t="str">
        <f>IFERROR(__xludf.DUMMYFUNCTION("""COMPUTED_VALUE"""),"VD028")</f>
        <v>VD028</v>
      </c>
      <c r="I721" s="1">
        <f>IFERROR(__xludf.DUMMYFUNCTION("""COMPUTED_VALUE"""),6.0)</f>
        <v>6</v>
      </c>
      <c r="J721" s="1">
        <f>IFERROR(__xludf.DUMMYFUNCTION("""COMPUTED_VALUE"""),539.4)</f>
        <v>539.4</v>
      </c>
      <c r="K721" s="1">
        <f>IFERROR(__xludf.DUMMYFUNCTION("""COMPUTED_VALUE"""),539.4)</f>
        <v>539.4</v>
      </c>
    </row>
    <row r="722">
      <c r="A722" s="1">
        <f>IFERROR(__xludf.DUMMYFUNCTION("""COMPUTED_VALUE"""),1000.0)</f>
        <v>1000</v>
      </c>
      <c r="B722" s="1">
        <f>IFERROR(__xludf.DUMMYFUNCTION("""COMPUTED_VALUE"""),183975.0)</f>
        <v>183975</v>
      </c>
      <c r="C722" s="1">
        <f>IFERROR(__xludf.DUMMYFUNCTION("""COMPUTED_VALUE"""),2026.0)</f>
        <v>2026</v>
      </c>
      <c r="D722" s="1">
        <f>IFERROR(__xludf.DUMMYFUNCTION("""COMPUTED_VALUE"""),46249.0)</f>
        <v>46249</v>
      </c>
      <c r="E722" s="1" t="str">
        <f>IFERROR(__xludf.DUMMYFUNCTION("""COMPUTED_VALUE"""),"VF")</f>
        <v>VF</v>
      </c>
      <c r="F722" s="1">
        <f>IFERROR(__xludf.DUMMYFUNCTION("""COMPUTED_VALUE"""),1.0)</f>
        <v>1</v>
      </c>
      <c r="G722" s="1" t="str">
        <f>IFERROR(__xludf.DUMMYFUNCTION("""COMPUTED_VALUE"""),"PR047")</f>
        <v>PR047</v>
      </c>
      <c r="H722" s="1" t="str">
        <f>IFERROR(__xludf.DUMMYFUNCTION("""COMPUTED_VALUE"""),"VD047")</f>
        <v>VD047</v>
      </c>
      <c r="I722" s="1">
        <f>IFERROR(__xludf.DUMMYFUNCTION("""COMPUTED_VALUE"""),8.0)</f>
        <v>8</v>
      </c>
      <c r="J722" s="1">
        <f>IFERROR(__xludf.DUMMYFUNCTION("""COMPUTED_VALUE"""),2458.35)</f>
        <v>2458.35</v>
      </c>
      <c r="K722" s="1">
        <f>IFERROR(__xludf.DUMMYFUNCTION("""COMPUTED_VALUE"""),2458.35)</f>
        <v>2458.35</v>
      </c>
    </row>
    <row r="723">
      <c r="A723" s="1">
        <f>IFERROR(__xludf.DUMMYFUNCTION("""COMPUTED_VALUE"""),1000.0)</f>
        <v>1000</v>
      </c>
      <c r="B723" s="1">
        <f>IFERROR(__xludf.DUMMYFUNCTION("""COMPUTED_VALUE"""),183976.0)</f>
        <v>183976</v>
      </c>
      <c r="C723" s="1">
        <f>IFERROR(__xludf.DUMMYFUNCTION("""COMPUTED_VALUE"""),2026.0)</f>
        <v>2026</v>
      </c>
      <c r="D723" s="1">
        <f>IFERROR(__xludf.DUMMYFUNCTION("""COMPUTED_VALUE"""),46249.0)</f>
        <v>46249</v>
      </c>
      <c r="E723" s="1" t="str">
        <f>IFERROR(__xludf.DUMMYFUNCTION("""COMPUTED_VALUE"""),"VF")</f>
        <v>VF</v>
      </c>
      <c r="F723" s="1">
        <f>IFERROR(__xludf.DUMMYFUNCTION("""COMPUTED_VALUE"""),1.0)</f>
        <v>1</v>
      </c>
      <c r="G723" s="1" t="str">
        <f>IFERROR(__xludf.DUMMYFUNCTION("""COMPUTED_VALUE"""),"PR012")</f>
        <v>PR012</v>
      </c>
      <c r="H723" s="1" t="str">
        <f>IFERROR(__xludf.DUMMYFUNCTION("""COMPUTED_VALUE"""),"VD042")</f>
        <v>VD042</v>
      </c>
      <c r="I723" s="1">
        <f>IFERROR(__xludf.DUMMYFUNCTION("""COMPUTED_VALUE"""),16.0)</f>
        <v>16</v>
      </c>
      <c r="J723" s="1">
        <f>IFERROR(__xludf.DUMMYFUNCTION("""COMPUTED_VALUE"""),837.17)</f>
        <v>837.17</v>
      </c>
      <c r="K723" s="1">
        <f>IFERROR(__xludf.DUMMYFUNCTION("""COMPUTED_VALUE"""),837.17)</f>
        <v>837.17</v>
      </c>
    </row>
    <row r="724">
      <c r="A724" s="1">
        <f>IFERROR(__xludf.DUMMYFUNCTION("""COMPUTED_VALUE"""),1000.0)</f>
        <v>1000</v>
      </c>
      <c r="B724" s="1">
        <f>IFERROR(__xludf.DUMMYFUNCTION("""COMPUTED_VALUE"""),183976.0)</f>
        <v>183976</v>
      </c>
      <c r="C724" s="1">
        <f>IFERROR(__xludf.DUMMYFUNCTION("""COMPUTED_VALUE"""),2026.0)</f>
        <v>2026</v>
      </c>
      <c r="D724" s="1">
        <f>IFERROR(__xludf.DUMMYFUNCTION("""COMPUTED_VALUE"""),46249.0)</f>
        <v>46249</v>
      </c>
      <c r="E724" s="1" t="str">
        <f>IFERROR(__xludf.DUMMYFUNCTION("""COMPUTED_VALUE"""),"VF")</f>
        <v>VF</v>
      </c>
      <c r="F724" s="1">
        <f>IFERROR(__xludf.DUMMYFUNCTION("""COMPUTED_VALUE"""),2.0)</f>
        <v>2</v>
      </c>
      <c r="G724" s="1" t="str">
        <f>IFERROR(__xludf.DUMMYFUNCTION("""COMPUTED_VALUE"""),"PR016")</f>
        <v>PR016</v>
      </c>
      <c r="H724" s="1" t="str">
        <f>IFERROR(__xludf.DUMMYFUNCTION("""COMPUTED_VALUE"""),"VD048")</f>
        <v>VD048</v>
      </c>
      <c r="I724" s="1">
        <f>IFERROR(__xludf.DUMMYFUNCTION("""COMPUTED_VALUE"""),14.0)</f>
        <v>14</v>
      </c>
      <c r="J724" s="1">
        <f>IFERROR(__xludf.DUMMYFUNCTION("""COMPUTED_VALUE"""),391.61)</f>
        <v>391.61</v>
      </c>
      <c r="K724" s="1">
        <f>IFERROR(__xludf.DUMMYFUNCTION("""COMPUTED_VALUE"""),391.61)</f>
        <v>391.61</v>
      </c>
    </row>
    <row r="725">
      <c r="A725" s="1">
        <f>IFERROR(__xludf.DUMMYFUNCTION("""COMPUTED_VALUE"""),1000.0)</f>
        <v>1000</v>
      </c>
      <c r="B725" s="1">
        <f>IFERROR(__xludf.DUMMYFUNCTION("""COMPUTED_VALUE"""),183976.0)</f>
        <v>183976</v>
      </c>
      <c r="C725" s="1">
        <f>IFERROR(__xludf.DUMMYFUNCTION("""COMPUTED_VALUE"""),2026.0)</f>
        <v>2026</v>
      </c>
      <c r="D725" s="1">
        <f>IFERROR(__xludf.DUMMYFUNCTION("""COMPUTED_VALUE"""),46249.0)</f>
        <v>46249</v>
      </c>
      <c r="E725" s="1" t="str">
        <f>IFERROR(__xludf.DUMMYFUNCTION("""COMPUTED_VALUE"""),"VF")</f>
        <v>VF</v>
      </c>
      <c r="F725" s="1">
        <f>IFERROR(__xludf.DUMMYFUNCTION("""COMPUTED_VALUE"""),3.0)</f>
        <v>3</v>
      </c>
      <c r="G725" s="1" t="str">
        <f>IFERROR(__xludf.DUMMYFUNCTION("""COMPUTED_VALUE"""),"PR047")</f>
        <v>PR047</v>
      </c>
      <c r="H725" s="1" t="str">
        <f>IFERROR(__xludf.DUMMYFUNCTION("""COMPUTED_VALUE"""),"VD049")</f>
        <v>VD049</v>
      </c>
      <c r="I725" s="1">
        <f>IFERROR(__xludf.DUMMYFUNCTION("""COMPUTED_VALUE"""),2.0)</f>
        <v>2</v>
      </c>
      <c r="J725" s="1">
        <f>IFERROR(__xludf.DUMMYFUNCTION("""COMPUTED_VALUE"""),620.39)</f>
        <v>620.39</v>
      </c>
      <c r="K725" s="1">
        <f>IFERROR(__xludf.DUMMYFUNCTION("""COMPUTED_VALUE"""),620.39)</f>
        <v>620.39</v>
      </c>
    </row>
    <row r="726">
      <c r="A726" s="1">
        <f>IFERROR(__xludf.DUMMYFUNCTION("""COMPUTED_VALUE"""),1000.0)</f>
        <v>1000</v>
      </c>
      <c r="B726" s="1">
        <f>IFERROR(__xludf.DUMMYFUNCTION("""COMPUTED_VALUE"""),183977.0)</f>
        <v>183977</v>
      </c>
      <c r="C726" s="1">
        <f>IFERROR(__xludf.DUMMYFUNCTION("""COMPUTED_VALUE"""),2026.0)</f>
        <v>2026</v>
      </c>
      <c r="D726" s="1">
        <f>IFERROR(__xludf.DUMMYFUNCTION("""COMPUTED_VALUE"""),46248.0)</f>
        <v>46248</v>
      </c>
      <c r="E726" s="1" t="str">
        <f>IFERROR(__xludf.DUMMYFUNCTION("""COMPUTED_VALUE"""),"VF")</f>
        <v>VF</v>
      </c>
      <c r="F726" s="1">
        <f>IFERROR(__xludf.DUMMYFUNCTION("""COMPUTED_VALUE"""),1.0)</f>
        <v>1</v>
      </c>
      <c r="G726" s="1" t="str">
        <f>IFERROR(__xludf.DUMMYFUNCTION("""COMPUTED_VALUE"""),"PR048")</f>
        <v>PR048</v>
      </c>
      <c r="H726" s="1" t="str">
        <f>IFERROR(__xludf.DUMMYFUNCTION("""COMPUTED_VALUE"""),"VD036")</f>
        <v>VD036</v>
      </c>
      <c r="I726" s="1">
        <f>IFERROR(__xludf.DUMMYFUNCTION("""COMPUTED_VALUE"""),4.0)</f>
        <v>4</v>
      </c>
      <c r="J726" s="1">
        <f>IFERROR(__xludf.DUMMYFUNCTION("""COMPUTED_VALUE"""),1275.56)</f>
        <v>1275.56</v>
      </c>
      <c r="K726" s="1">
        <f>IFERROR(__xludf.DUMMYFUNCTION("""COMPUTED_VALUE"""),1275.56)</f>
        <v>1275.56</v>
      </c>
    </row>
    <row r="727">
      <c r="A727" s="1">
        <f>IFERROR(__xludf.DUMMYFUNCTION("""COMPUTED_VALUE"""),1000.0)</f>
        <v>1000</v>
      </c>
      <c r="B727" s="1">
        <f>IFERROR(__xludf.DUMMYFUNCTION("""COMPUTED_VALUE"""),183978.0)</f>
        <v>183978</v>
      </c>
      <c r="C727" s="1">
        <f>IFERROR(__xludf.DUMMYFUNCTION("""COMPUTED_VALUE"""),2026.0)</f>
        <v>2026</v>
      </c>
      <c r="D727" s="1">
        <f>IFERROR(__xludf.DUMMYFUNCTION("""COMPUTED_VALUE"""),46248.0)</f>
        <v>46248</v>
      </c>
      <c r="E727" s="1" t="str">
        <f>IFERROR(__xludf.DUMMYFUNCTION("""COMPUTED_VALUE"""),"VF")</f>
        <v>VF</v>
      </c>
      <c r="F727" s="1">
        <f>IFERROR(__xludf.DUMMYFUNCTION("""COMPUTED_VALUE"""),1.0)</f>
        <v>1</v>
      </c>
      <c r="G727" s="1" t="str">
        <f>IFERROR(__xludf.DUMMYFUNCTION("""COMPUTED_VALUE"""),"PR020")</f>
        <v>PR020</v>
      </c>
      <c r="H727" s="1" t="str">
        <f>IFERROR(__xludf.DUMMYFUNCTION("""COMPUTED_VALUE"""),"VD038")</f>
        <v>VD038</v>
      </c>
      <c r="I727" s="1">
        <f>IFERROR(__xludf.DUMMYFUNCTION("""COMPUTED_VALUE"""),4.0)</f>
        <v>4</v>
      </c>
      <c r="J727" s="1">
        <f>IFERROR(__xludf.DUMMYFUNCTION("""COMPUTED_VALUE"""),1235.59)</f>
        <v>1235.59</v>
      </c>
      <c r="K727" s="1">
        <f>IFERROR(__xludf.DUMMYFUNCTION("""COMPUTED_VALUE"""),1235.59)</f>
        <v>1235.59</v>
      </c>
    </row>
    <row r="728">
      <c r="A728" s="1">
        <f>IFERROR(__xludf.DUMMYFUNCTION("""COMPUTED_VALUE"""),2000.0)</f>
        <v>2000</v>
      </c>
      <c r="B728" s="1">
        <f>IFERROR(__xludf.DUMMYFUNCTION("""COMPUTED_VALUE"""),183979.0)</f>
        <v>183979</v>
      </c>
      <c r="C728" s="1">
        <f>IFERROR(__xludf.DUMMYFUNCTION("""COMPUTED_VALUE"""),2026.0)</f>
        <v>2026</v>
      </c>
      <c r="D728" s="1">
        <f>IFERROR(__xludf.DUMMYFUNCTION("""COMPUTED_VALUE"""),46248.0)</f>
        <v>46248</v>
      </c>
      <c r="E728" s="1" t="str">
        <f>IFERROR(__xludf.DUMMYFUNCTION("""COMPUTED_VALUE"""),"VF")</f>
        <v>VF</v>
      </c>
      <c r="F728" s="1">
        <f>IFERROR(__xludf.DUMMYFUNCTION("""COMPUTED_VALUE"""),1.0)</f>
        <v>1</v>
      </c>
      <c r="G728" s="1" t="str">
        <f>IFERROR(__xludf.DUMMYFUNCTION("""COMPUTED_VALUE"""),"PR011")</f>
        <v>PR011</v>
      </c>
      <c r="H728" s="1" t="str">
        <f>IFERROR(__xludf.DUMMYFUNCTION("""COMPUTED_VALUE"""),"VD018")</f>
        <v>VD018</v>
      </c>
      <c r="I728" s="1">
        <f>IFERROR(__xludf.DUMMYFUNCTION("""COMPUTED_VALUE"""),6.0)</f>
        <v>6</v>
      </c>
      <c r="J728" s="1">
        <f>IFERROR(__xludf.DUMMYFUNCTION("""COMPUTED_VALUE"""),309.54)</f>
        <v>309.54</v>
      </c>
      <c r="K728" s="1">
        <f>IFERROR(__xludf.DUMMYFUNCTION("""COMPUTED_VALUE"""),309.54)</f>
        <v>309.54</v>
      </c>
    </row>
    <row r="729">
      <c r="A729" s="1">
        <f>IFERROR(__xludf.DUMMYFUNCTION("""COMPUTED_VALUE"""),1000.0)</f>
        <v>1000</v>
      </c>
      <c r="B729" s="1">
        <f>IFERROR(__xludf.DUMMYFUNCTION("""COMPUTED_VALUE"""),183979.0)</f>
        <v>183979</v>
      </c>
      <c r="C729" s="1">
        <f>IFERROR(__xludf.DUMMYFUNCTION("""COMPUTED_VALUE"""),2026.0)</f>
        <v>2026</v>
      </c>
      <c r="D729" s="1">
        <f>IFERROR(__xludf.DUMMYFUNCTION("""COMPUTED_VALUE"""),46248.0)</f>
        <v>46248</v>
      </c>
      <c r="E729" s="1" t="str">
        <f>IFERROR(__xludf.DUMMYFUNCTION("""COMPUTED_VALUE"""),"VF")</f>
        <v>VF</v>
      </c>
      <c r="F729" s="1">
        <f>IFERROR(__xludf.DUMMYFUNCTION("""COMPUTED_VALUE"""),2.0)</f>
        <v>2</v>
      </c>
      <c r="G729" s="1" t="str">
        <f>IFERROR(__xludf.DUMMYFUNCTION("""COMPUTED_VALUE"""),"PR049")</f>
        <v>PR049</v>
      </c>
      <c r="H729" s="1" t="str">
        <f>IFERROR(__xludf.DUMMYFUNCTION("""COMPUTED_VALUE"""),"VD043")</f>
        <v>VD043</v>
      </c>
      <c r="I729" s="1">
        <f>IFERROR(__xludf.DUMMYFUNCTION("""COMPUTED_VALUE"""),7.0)</f>
        <v>7</v>
      </c>
      <c r="J729" s="1">
        <f>IFERROR(__xludf.DUMMYFUNCTION("""COMPUTED_VALUE"""),244.12)</f>
        <v>244.12</v>
      </c>
      <c r="K729" s="1">
        <f>IFERROR(__xludf.DUMMYFUNCTION("""COMPUTED_VALUE"""),244.12)</f>
        <v>244.12</v>
      </c>
    </row>
    <row r="730">
      <c r="A730" s="1">
        <f>IFERROR(__xludf.DUMMYFUNCTION("""COMPUTED_VALUE"""),2000.0)</f>
        <v>2000</v>
      </c>
      <c r="B730" s="1">
        <f>IFERROR(__xludf.DUMMYFUNCTION("""COMPUTED_VALUE"""),183980.0)</f>
        <v>183980</v>
      </c>
      <c r="C730" s="1">
        <f>IFERROR(__xludf.DUMMYFUNCTION("""COMPUTED_VALUE"""),2026.0)</f>
        <v>2026</v>
      </c>
      <c r="D730" s="1">
        <f>IFERROR(__xludf.DUMMYFUNCTION("""COMPUTED_VALUE"""),46248.0)</f>
        <v>46248</v>
      </c>
      <c r="E730" s="1" t="str">
        <f>IFERROR(__xludf.DUMMYFUNCTION("""COMPUTED_VALUE"""),"VF")</f>
        <v>VF</v>
      </c>
      <c r="F730" s="1">
        <f>IFERROR(__xludf.DUMMYFUNCTION("""COMPUTED_VALUE"""),1.0)</f>
        <v>1</v>
      </c>
      <c r="G730" s="1" t="str">
        <f>IFERROR(__xludf.DUMMYFUNCTION("""COMPUTED_VALUE"""),"PR018")</f>
        <v>PR018</v>
      </c>
      <c r="H730" s="1" t="str">
        <f>IFERROR(__xludf.DUMMYFUNCTION("""COMPUTED_VALUE"""),"VD033")</f>
        <v>VD033</v>
      </c>
      <c r="I730" s="1">
        <f>IFERROR(__xludf.DUMMYFUNCTION("""COMPUTED_VALUE"""),4.0)</f>
        <v>4</v>
      </c>
      <c r="J730" s="1">
        <f>IFERROR(__xludf.DUMMYFUNCTION("""COMPUTED_VALUE"""),135.55)</f>
        <v>135.55</v>
      </c>
      <c r="K730" s="1">
        <f>IFERROR(__xludf.DUMMYFUNCTION("""COMPUTED_VALUE"""),135.55)</f>
        <v>135.55</v>
      </c>
    </row>
    <row r="731">
      <c r="A731" s="1">
        <f>IFERROR(__xludf.DUMMYFUNCTION("""COMPUTED_VALUE"""),1000.0)</f>
        <v>1000</v>
      </c>
      <c r="B731" s="1">
        <f>IFERROR(__xludf.DUMMYFUNCTION("""COMPUTED_VALUE"""),183981.0)</f>
        <v>183981</v>
      </c>
      <c r="C731" s="1">
        <f>IFERROR(__xludf.DUMMYFUNCTION("""COMPUTED_VALUE"""),2026.0)</f>
        <v>2026</v>
      </c>
      <c r="D731" s="1">
        <f>IFERROR(__xludf.DUMMYFUNCTION("""COMPUTED_VALUE"""),46248.0)</f>
        <v>46248</v>
      </c>
      <c r="E731" s="1" t="str">
        <f>IFERROR(__xludf.DUMMYFUNCTION("""COMPUTED_VALUE"""),"VF")</f>
        <v>VF</v>
      </c>
      <c r="F731" s="1">
        <f>IFERROR(__xludf.DUMMYFUNCTION("""COMPUTED_VALUE"""),1.0)</f>
        <v>1</v>
      </c>
      <c r="G731" s="1" t="str">
        <f>IFERROR(__xludf.DUMMYFUNCTION("""COMPUTED_VALUE"""),"PR051")</f>
        <v>PR051</v>
      </c>
      <c r="H731" s="1" t="str">
        <f>IFERROR(__xludf.DUMMYFUNCTION("""COMPUTED_VALUE"""),"VD010")</f>
        <v>VD010</v>
      </c>
      <c r="I731" s="1">
        <f>IFERROR(__xludf.DUMMYFUNCTION("""COMPUTED_VALUE"""),9.0)</f>
        <v>9</v>
      </c>
      <c r="J731" s="1">
        <f>IFERROR(__xludf.DUMMYFUNCTION("""COMPUTED_VALUE"""),296.1)</f>
        <v>296.1</v>
      </c>
      <c r="K731" s="1">
        <f>IFERROR(__xludf.DUMMYFUNCTION("""COMPUTED_VALUE"""),296.1)</f>
        <v>296.1</v>
      </c>
    </row>
    <row r="732">
      <c r="A732" s="1">
        <f>IFERROR(__xludf.DUMMYFUNCTION("""COMPUTED_VALUE"""),1000.0)</f>
        <v>1000</v>
      </c>
      <c r="B732" s="1">
        <f>IFERROR(__xludf.DUMMYFUNCTION("""COMPUTED_VALUE"""),183981.0)</f>
        <v>183981</v>
      </c>
      <c r="C732" s="1">
        <f>IFERROR(__xludf.DUMMYFUNCTION("""COMPUTED_VALUE"""),2026.0)</f>
        <v>2026</v>
      </c>
      <c r="D732" s="1">
        <f>IFERROR(__xludf.DUMMYFUNCTION("""COMPUTED_VALUE"""),46248.0)</f>
        <v>46248</v>
      </c>
      <c r="E732" s="1" t="str">
        <f>IFERROR(__xludf.DUMMYFUNCTION("""COMPUTED_VALUE"""),"VF")</f>
        <v>VF</v>
      </c>
      <c r="F732" s="1">
        <f>IFERROR(__xludf.DUMMYFUNCTION("""COMPUTED_VALUE"""),2.0)</f>
        <v>2</v>
      </c>
      <c r="G732" s="1" t="str">
        <f>IFERROR(__xludf.DUMMYFUNCTION("""COMPUTED_VALUE"""),"PR007")</f>
        <v>PR007</v>
      </c>
      <c r="H732" s="1" t="str">
        <f>IFERROR(__xludf.DUMMYFUNCTION("""COMPUTED_VALUE"""),"VD041")</f>
        <v>VD041</v>
      </c>
      <c r="I732" s="1">
        <f>IFERROR(__xludf.DUMMYFUNCTION("""COMPUTED_VALUE"""),4.0)</f>
        <v>4</v>
      </c>
      <c r="J732" s="1">
        <f>IFERROR(__xludf.DUMMYFUNCTION("""COMPUTED_VALUE"""),353.91)</f>
        <v>353.91</v>
      </c>
      <c r="K732" s="1">
        <f>IFERROR(__xludf.DUMMYFUNCTION("""COMPUTED_VALUE"""),353.91)</f>
        <v>353.91</v>
      </c>
    </row>
    <row r="733">
      <c r="A733" s="1">
        <f>IFERROR(__xludf.DUMMYFUNCTION("""COMPUTED_VALUE"""),1000.0)</f>
        <v>1000</v>
      </c>
      <c r="B733" s="1">
        <f>IFERROR(__xludf.DUMMYFUNCTION("""COMPUTED_VALUE"""),183982.0)</f>
        <v>183982</v>
      </c>
      <c r="C733" s="1">
        <f>IFERROR(__xludf.DUMMYFUNCTION("""COMPUTED_VALUE"""),2026.0)</f>
        <v>2026</v>
      </c>
      <c r="D733" s="1">
        <f>IFERROR(__xludf.DUMMYFUNCTION("""COMPUTED_VALUE"""),46248.0)</f>
        <v>46248</v>
      </c>
      <c r="E733" s="1" t="str">
        <f>IFERROR(__xludf.DUMMYFUNCTION("""COMPUTED_VALUE"""),"VF")</f>
        <v>VF</v>
      </c>
      <c r="F733" s="1">
        <f>IFERROR(__xludf.DUMMYFUNCTION("""COMPUTED_VALUE"""),1.0)</f>
        <v>1</v>
      </c>
      <c r="G733" s="1" t="str">
        <f>IFERROR(__xludf.DUMMYFUNCTION("""COMPUTED_VALUE"""),"PR008")</f>
        <v>PR008</v>
      </c>
      <c r="H733" s="1" t="str">
        <f>IFERROR(__xludf.DUMMYFUNCTION("""COMPUTED_VALUE"""),"VD046")</f>
        <v>VD046</v>
      </c>
      <c r="I733" s="1">
        <f>IFERROR(__xludf.DUMMYFUNCTION("""COMPUTED_VALUE"""),3.0)</f>
        <v>3</v>
      </c>
      <c r="J733" s="1">
        <f>IFERROR(__xludf.DUMMYFUNCTION("""COMPUTED_VALUE"""),288.58)</f>
        <v>288.58</v>
      </c>
      <c r="K733" s="1">
        <f>IFERROR(__xludf.DUMMYFUNCTION("""COMPUTED_VALUE"""),288.58)</f>
        <v>288.58</v>
      </c>
    </row>
    <row r="734">
      <c r="A734" s="1">
        <f>IFERROR(__xludf.DUMMYFUNCTION("""COMPUTED_VALUE"""),1000.0)</f>
        <v>1000</v>
      </c>
      <c r="B734" s="1">
        <f>IFERROR(__xludf.DUMMYFUNCTION("""COMPUTED_VALUE"""),183983.0)</f>
        <v>183983</v>
      </c>
      <c r="C734" s="1">
        <f>IFERROR(__xludf.DUMMYFUNCTION("""COMPUTED_VALUE"""),2026.0)</f>
        <v>2026</v>
      </c>
      <c r="D734" s="1">
        <f>IFERROR(__xludf.DUMMYFUNCTION("""COMPUTED_VALUE"""),46248.0)</f>
        <v>46248</v>
      </c>
      <c r="E734" s="1" t="str">
        <f>IFERROR(__xludf.DUMMYFUNCTION("""COMPUTED_VALUE"""),"VF")</f>
        <v>VF</v>
      </c>
      <c r="F734" s="1">
        <f>IFERROR(__xludf.DUMMYFUNCTION("""COMPUTED_VALUE"""),1.0)</f>
        <v>1</v>
      </c>
      <c r="G734" s="1" t="str">
        <f>IFERROR(__xludf.DUMMYFUNCTION("""COMPUTED_VALUE"""),"PR053")</f>
        <v>PR053</v>
      </c>
      <c r="H734" s="1" t="str">
        <f>IFERROR(__xludf.DUMMYFUNCTION("""COMPUTED_VALUE"""),"VD029")</f>
        <v>VD029</v>
      </c>
      <c r="I734" s="1">
        <f>IFERROR(__xludf.DUMMYFUNCTION("""COMPUTED_VALUE"""),8.0)</f>
        <v>8</v>
      </c>
      <c r="J734" s="1">
        <f>IFERROR(__xludf.DUMMYFUNCTION("""COMPUTED_VALUE"""),415.17)</f>
        <v>415.17</v>
      </c>
      <c r="K734" s="1">
        <f>IFERROR(__xludf.DUMMYFUNCTION("""COMPUTED_VALUE"""),415.17)</f>
        <v>415.17</v>
      </c>
    </row>
    <row r="735">
      <c r="A735" s="1">
        <f>IFERROR(__xludf.DUMMYFUNCTION("""COMPUTED_VALUE"""),2000.0)</f>
        <v>2000</v>
      </c>
      <c r="B735" s="1">
        <f>IFERROR(__xludf.DUMMYFUNCTION("""COMPUTED_VALUE"""),183984.0)</f>
        <v>183984</v>
      </c>
      <c r="C735" s="1">
        <f>IFERROR(__xludf.DUMMYFUNCTION("""COMPUTED_VALUE"""),2026.0)</f>
        <v>2026</v>
      </c>
      <c r="D735" s="1">
        <f>IFERROR(__xludf.DUMMYFUNCTION("""COMPUTED_VALUE"""),46248.0)</f>
        <v>46248</v>
      </c>
      <c r="E735" s="1" t="str">
        <f>IFERROR(__xludf.DUMMYFUNCTION("""COMPUTED_VALUE"""),"VF")</f>
        <v>VF</v>
      </c>
      <c r="F735" s="1">
        <f>IFERROR(__xludf.DUMMYFUNCTION("""COMPUTED_VALUE"""),1.0)</f>
        <v>1</v>
      </c>
      <c r="G735" s="1" t="str">
        <f>IFERROR(__xludf.DUMMYFUNCTION("""COMPUTED_VALUE"""),"PR060")</f>
        <v>PR060</v>
      </c>
      <c r="H735" s="1" t="str">
        <f>IFERROR(__xludf.DUMMYFUNCTION("""COMPUTED_VALUE"""),"VD015")</f>
        <v>VD015</v>
      </c>
      <c r="I735" s="1">
        <f>IFERROR(__xludf.DUMMYFUNCTION("""COMPUTED_VALUE"""),20.0)</f>
        <v>20</v>
      </c>
      <c r="J735" s="1">
        <f>IFERROR(__xludf.DUMMYFUNCTION("""COMPUTED_VALUE"""),3744.0)</f>
        <v>3744</v>
      </c>
      <c r="K735" s="1">
        <f>IFERROR(__xludf.DUMMYFUNCTION("""COMPUTED_VALUE"""),3744.0)</f>
        <v>3744</v>
      </c>
    </row>
    <row r="736">
      <c r="A736" s="1">
        <f>IFERROR(__xludf.DUMMYFUNCTION("""COMPUTED_VALUE"""),1000.0)</f>
        <v>1000</v>
      </c>
      <c r="B736" s="1">
        <f>IFERROR(__xludf.DUMMYFUNCTION("""COMPUTED_VALUE"""),183985.0)</f>
        <v>183985</v>
      </c>
      <c r="C736" s="1">
        <f>IFERROR(__xludf.DUMMYFUNCTION("""COMPUTED_VALUE"""),2026.0)</f>
        <v>2026</v>
      </c>
      <c r="D736" s="1">
        <f>IFERROR(__xludf.DUMMYFUNCTION("""COMPUTED_VALUE"""),46247.0)</f>
        <v>46247</v>
      </c>
      <c r="E736" s="1" t="str">
        <f>IFERROR(__xludf.DUMMYFUNCTION("""COMPUTED_VALUE"""),"VF")</f>
        <v>VF</v>
      </c>
      <c r="F736" s="1">
        <f>IFERROR(__xludf.DUMMYFUNCTION("""COMPUTED_VALUE"""),1.0)</f>
        <v>1</v>
      </c>
      <c r="G736" s="1" t="str">
        <f>IFERROR(__xludf.DUMMYFUNCTION("""COMPUTED_VALUE"""),"PR037")</f>
        <v>PR037</v>
      </c>
      <c r="H736" s="1" t="str">
        <f>IFERROR(__xludf.DUMMYFUNCTION("""COMPUTED_VALUE"""),"VD040")</f>
        <v>VD040</v>
      </c>
      <c r="I736" s="1">
        <f>IFERROR(__xludf.DUMMYFUNCTION("""COMPUTED_VALUE"""),9.0)</f>
        <v>9</v>
      </c>
      <c r="J736" s="1">
        <f>IFERROR(__xludf.DUMMYFUNCTION("""COMPUTED_VALUE"""),1335.6)</f>
        <v>1335.6</v>
      </c>
      <c r="K736" s="1">
        <f>IFERROR(__xludf.DUMMYFUNCTION("""COMPUTED_VALUE"""),1335.6)</f>
        <v>1335.6</v>
      </c>
    </row>
    <row r="737">
      <c r="A737" s="1">
        <f>IFERROR(__xludf.DUMMYFUNCTION("""COMPUTED_VALUE"""),1000.0)</f>
        <v>1000</v>
      </c>
      <c r="B737" s="1">
        <f>IFERROR(__xludf.DUMMYFUNCTION("""COMPUTED_VALUE"""),183986.0)</f>
        <v>183986</v>
      </c>
      <c r="C737" s="1">
        <f>IFERROR(__xludf.DUMMYFUNCTION("""COMPUTED_VALUE"""),2026.0)</f>
        <v>2026</v>
      </c>
      <c r="D737" s="1">
        <f>IFERROR(__xludf.DUMMYFUNCTION("""COMPUTED_VALUE"""),46247.0)</f>
        <v>46247</v>
      </c>
      <c r="E737" s="1" t="str">
        <f>IFERROR(__xludf.DUMMYFUNCTION("""COMPUTED_VALUE"""),"VF")</f>
        <v>VF</v>
      </c>
      <c r="F737" s="1">
        <f>IFERROR(__xludf.DUMMYFUNCTION("""COMPUTED_VALUE"""),1.0)</f>
        <v>1</v>
      </c>
      <c r="G737" s="1" t="str">
        <f>IFERROR(__xludf.DUMMYFUNCTION("""COMPUTED_VALUE"""),"PR050")</f>
        <v>PR050</v>
      </c>
      <c r="H737" s="1" t="str">
        <f>IFERROR(__xludf.DUMMYFUNCTION("""COMPUTED_VALUE"""),"VD028")</f>
        <v>VD028</v>
      </c>
      <c r="I737" s="1">
        <f>IFERROR(__xludf.DUMMYFUNCTION("""COMPUTED_VALUE"""),2.0)</f>
        <v>2</v>
      </c>
      <c r="J737" s="1">
        <f>IFERROR(__xludf.DUMMYFUNCTION("""COMPUTED_VALUE"""),66.46)</f>
        <v>66.46</v>
      </c>
      <c r="K737" s="1">
        <f>IFERROR(__xludf.DUMMYFUNCTION("""COMPUTED_VALUE"""),66.46)</f>
        <v>66.46</v>
      </c>
    </row>
    <row r="738">
      <c r="A738" s="1">
        <f>IFERROR(__xludf.DUMMYFUNCTION("""COMPUTED_VALUE"""),2000.0)</f>
        <v>2000</v>
      </c>
      <c r="B738" s="1">
        <f>IFERROR(__xludf.DUMMYFUNCTION("""COMPUTED_VALUE"""),183987.0)</f>
        <v>183987</v>
      </c>
      <c r="C738" s="1">
        <f>IFERROR(__xludf.DUMMYFUNCTION("""COMPUTED_VALUE"""),2026.0)</f>
        <v>2026</v>
      </c>
      <c r="D738" s="1">
        <f>IFERROR(__xludf.DUMMYFUNCTION("""COMPUTED_VALUE"""),46246.0)</f>
        <v>46246</v>
      </c>
      <c r="E738" s="1" t="str">
        <f>IFERROR(__xludf.DUMMYFUNCTION("""COMPUTED_VALUE"""),"VF")</f>
        <v>VF</v>
      </c>
      <c r="F738" s="1">
        <f>IFERROR(__xludf.DUMMYFUNCTION("""COMPUTED_VALUE"""),1.0)</f>
        <v>1</v>
      </c>
      <c r="G738" s="1" t="str">
        <f>IFERROR(__xludf.DUMMYFUNCTION("""COMPUTED_VALUE"""),"PR013")</f>
        <v>PR013</v>
      </c>
      <c r="H738" s="1" t="str">
        <f>IFERROR(__xludf.DUMMYFUNCTION("""COMPUTED_VALUE"""),"VD017")</f>
        <v>VD017</v>
      </c>
      <c r="I738" s="1">
        <f>IFERROR(__xludf.DUMMYFUNCTION("""COMPUTED_VALUE"""),8.0)</f>
        <v>8</v>
      </c>
      <c r="J738" s="1">
        <f>IFERROR(__xludf.DUMMYFUNCTION("""COMPUTED_VALUE"""),351.12)</f>
        <v>351.12</v>
      </c>
      <c r="K738" s="1">
        <f>IFERROR(__xludf.DUMMYFUNCTION("""COMPUTED_VALUE"""),351.12)</f>
        <v>351.12</v>
      </c>
    </row>
    <row r="739">
      <c r="A739" s="1">
        <f>IFERROR(__xludf.DUMMYFUNCTION("""COMPUTED_VALUE"""),1000.0)</f>
        <v>1000</v>
      </c>
      <c r="B739" s="1">
        <f>IFERROR(__xludf.DUMMYFUNCTION("""COMPUTED_VALUE"""),183987.0)</f>
        <v>183987</v>
      </c>
      <c r="C739" s="1">
        <f>IFERROR(__xludf.DUMMYFUNCTION("""COMPUTED_VALUE"""),2026.0)</f>
        <v>2026</v>
      </c>
      <c r="D739" s="1">
        <f>IFERROR(__xludf.DUMMYFUNCTION("""COMPUTED_VALUE"""),46246.0)</f>
        <v>46246</v>
      </c>
      <c r="E739" s="1" t="str">
        <f>IFERROR(__xludf.DUMMYFUNCTION("""COMPUTED_VALUE"""),"VF")</f>
        <v>VF</v>
      </c>
      <c r="F739" s="1">
        <f>IFERROR(__xludf.DUMMYFUNCTION("""COMPUTED_VALUE"""),2.0)</f>
        <v>2</v>
      </c>
      <c r="G739" s="1" t="str">
        <f>IFERROR(__xludf.DUMMYFUNCTION("""COMPUTED_VALUE"""),"PR024")</f>
        <v>PR024</v>
      </c>
      <c r="H739" s="1" t="str">
        <f>IFERROR(__xludf.DUMMYFUNCTION("""COMPUTED_VALUE"""),"VD043")</f>
        <v>VD043</v>
      </c>
      <c r="I739" s="1">
        <f>IFERROR(__xludf.DUMMYFUNCTION("""COMPUTED_VALUE"""),10.0)</f>
        <v>10</v>
      </c>
      <c r="J739" s="1">
        <f>IFERROR(__xludf.DUMMYFUNCTION("""COMPUTED_VALUE"""),2650.98)</f>
        <v>2650.98</v>
      </c>
      <c r="K739" s="1">
        <f>IFERROR(__xludf.DUMMYFUNCTION("""COMPUTED_VALUE"""),2650.98)</f>
        <v>2650.98</v>
      </c>
    </row>
    <row r="740">
      <c r="A740" s="1">
        <f>IFERROR(__xludf.DUMMYFUNCTION("""COMPUTED_VALUE"""),1000.0)</f>
        <v>1000</v>
      </c>
      <c r="B740" s="1">
        <f>IFERROR(__xludf.DUMMYFUNCTION("""COMPUTED_VALUE"""),183988.0)</f>
        <v>183988</v>
      </c>
      <c r="C740" s="1">
        <f>IFERROR(__xludf.DUMMYFUNCTION("""COMPUTED_VALUE"""),2026.0)</f>
        <v>2026</v>
      </c>
      <c r="D740" s="1">
        <f>IFERROR(__xludf.DUMMYFUNCTION("""COMPUTED_VALUE"""),46246.0)</f>
        <v>46246</v>
      </c>
      <c r="E740" s="1" t="str">
        <f>IFERROR(__xludf.DUMMYFUNCTION("""COMPUTED_VALUE"""),"VF")</f>
        <v>VF</v>
      </c>
      <c r="F740" s="1">
        <f>IFERROR(__xludf.DUMMYFUNCTION("""COMPUTED_VALUE"""),1.0)</f>
        <v>1</v>
      </c>
      <c r="G740" s="1" t="str">
        <f>IFERROR(__xludf.DUMMYFUNCTION("""COMPUTED_VALUE"""),"PR001")</f>
        <v>PR001</v>
      </c>
      <c r="H740" s="1" t="str">
        <f>IFERROR(__xludf.DUMMYFUNCTION("""COMPUTED_VALUE"""),"VD038")</f>
        <v>VD038</v>
      </c>
      <c r="I740" s="1">
        <f>IFERROR(__xludf.DUMMYFUNCTION("""COMPUTED_VALUE"""),14.0)</f>
        <v>14</v>
      </c>
      <c r="J740" s="1">
        <f>IFERROR(__xludf.DUMMYFUNCTION("""COMPUTED_VALUE"""),987.18)</f>
        <v>987.18</v>
      </c>
      <c r="K740" s="1">
        <f>IFERROR(__xludf.DUMMYFUNCTION("""COMPUTED_VALUE"""),987.18)</f>
        <v>987.18</v>
      </c>
    </row>
    <row r="741">
      <c r="A741" s="1">
        <f>IFERROR(__xludf.DUMMYFUNCTION("""COMPUTED_VALUE"""),1000.0)</f>
        <v>1000</v>
      </c>
      <c r="B741" s="1">
        <f>IFERROR(__xludf.DUMMYFUNCTION("""COMPUTED_VALUE"""),183989.0)</f>
        <v>183989</v>
      </c>
      <c r="C741" s="1">
        <f>IFERROR(__xludf.DUMMYFUNCTION("""COMPUTED_VALUE"""),2026.0)</f>
        <v>2026</v>
      </c>
      <c r="D741" s="1">
        <f>IFERROR(__xludf.DUMMYFUNCTION("""COMPUTED_VALUE"""),46246.0)</f>
        <v>46246</v>
      </c>
      <c r="E741" s="1" t="str">
        <f>IFERROR(__xludf.DUMMYFUNCTION("""COMPUTED_VALUE"""),"VF")</f>
        <v>VF</v>
      </c>
      <c r="F741" s="1">
        <f>IFERROR(__xludf.DUMMYFUNCTION("""COMPUTED_VALUE"""),1.0)</f>
        <v>1</v>
      </c>
      <c r="G741" s="1" t="str">
        <f>IFERROR(__xludf.DUMMYFUNCTION("""COMPUTED_VALUE"""),"PR004")</f>
        <v>PR004</v>
      </c>
      <c r="H741" s="1" t="str">
        <f>IFERROR(__xludf.DUMMYFUNCTION("""COMPUTED_VALUE"""),"VD019")</f>
        <v>VD019</v>
      </c>
      <c r="I741" s="1">
        <f>IFERROR(__xludf.DUMMYFUNCTION("""COMPUTED_VALUE"""),1.0)</f>
        <v>1</v>
      </c>
      <c r="J741" s="1">
        <f>IFERROR(__xludf.DUMMYFUNCTION("""COMPUTED_VALUE"""),150.8)</f>
        <v>150.8</v>
      </c>
      <c r="K741" s="1">
        <f>IFERROR(__xludf.DUMMYFUNCTION("""COMPUTED_VALUE"""),150.8)</f>
        <v>150.8</v>
      </c>
    </row>
    <row r="742">
      <c r="A742" s="1">
        <f>IFERROR(__xludf.DUMMYFUNCTION("""COMPUTED_VALUE"""),1000.0)</f>
        <v>1000</v>
      </c>
      <c r="B742" s="1">
        <f>IFERROR(__xludf.DUMMYFUNCTION("""COMPUTED_VALUE"""),183990.0)</f>
        <v>183990</v>
      </c>
      <c r="C742" s="1">
        <f>IFERROR(__xludf.DUMMYFUNCTION("""COMPUTED_VALUE"""),2026.0)</f>
        <v>2026</v>
      </c>
      <c r="D742" s="1">
        <f>IFERROR(__xludf.DUMMYFUNCTION("""COMPUTED_VALUE"""),46245.0)</f>
        <v>46245</v>
      </c>
      <c r="E742" s="1" t="str">
        <f>IFERROR(__xludf.DUMMYFUNCTION("""COMPUTED_VALUE"""),"VF")</f>
        <v>VF</v>
      </c>
      <c r="F742" s="1">
        <f>IFERROR(__xludf.DUMMYFUNCTION("""COMPUTED_VALUE"""),1.0)</f>
        <v>1</v>
      </c>
      <c r="G742" s="1" t="str">
        <f>IFERROR(__xludf.DUMMYFUNCTION("""COMPUTED_VALUE"""),"PR041")</f>
        <v>PR041</v>
      </c>
      <c r="H742" s="1" t="str">
        <f>IFERROR(__xludf.DUMMYFUNCTION("""COMPUTED_VALUE"""),"VD017")</f>
        <v>VD017</v>
      </c>
      <c r="I742" s="1">
        <f>IFERROR(__xludf.DUMMYFUNCTION("""COMPUTED_VALUE"""),4.0)</f>
        <v>4</v>
      </c>
      <c r="J742" s="1">
        <f>IFERROR(__xludf.DUMMYFUNCTION("""COMPUTED_VALUE"""),228.38)</f>
        <v>228.38</v>
      </c>
      <c r="K742" s="1">
        <f>IFERROR(__xludf.DUMMYFUNCTION("""COMPUTED_VALUE"""),228.38)</f>
        <v>228.38</v>
      </c>
    </row>
    <row r="743">
      <c r="A743" s="1">
        <f>IFERROR(__xludf.DUMMYFUNCTION("""COMPUTED_VALUE"""),1000.0)</f>
        <v>1000</v>
      </c>
      <c r="B743" s="1">
        <f>IFERROR(__xludf.DUMMYFUNCTION("""COMPUTED_VALUE"""),183991.0)</f>
        <v>183991</v>
      </c>
      <c r="C743" s="1">
        <f>IFERROR(__xludf.DUMMYFUNCTION("""COMPUTED_VALUE"""),2026.0)</f>
        <v>2026</v>
      </c>
      <c r="D743" s="1">
        <f>IFERROR(__xludf.DUMMYFUNCTION("""COMPUTED_VALUE"""),46245.0)</f>
        <v>46245</v>
      </c>
      <c r="E743" s="1" t="str">
        <f>IFERROR(__xludf.DUMMYFUNCTION("""COMPUTED_VALUE"""),"VF")</f>
        <v>VF</v>
      </c>
      <c r="F743" s="1">
        <f>IFERROR(__xludf.DUMMYFUNCTION("""COMPUTED_VALUE"""),1.0)</f>
        <v>1</v>
      </c>
      <c r="G743" s="1" t="str">
        <f>IFERROR(__xludf.DUMMYFUNCTION("""COMPUTED_VALUE"""),"PR055")</f>
        <v>PR055</v>
      </c>
      <c r="H743" s="1" t="str">
        <f>IFERROR(__xludf.DUMMYFUNCTION("""COMPUTED_VALUE"""),"VD040")</f>
        <v>VD040</v>
      </c>
      <c r="I743" s="1">
        <f>IFERROR(__xludf.DUMMYFUNCTION("""COMPUTED_VALUE"""),16.0)</f>
        <v>16</v>
      </c>
      <c r="J743" s="1">
        <f>IFERROR(__xludf.DUMMYFUNCTION("""COMPUTED_VALUE"""),1495.94)</f>
        <v>1495.94</v>
      </c>
      <c r="K743" s="1">
        <f>IFERROR(__xludf.DUMMYFUNCTION("""COMPUTED_VALUE"""),1495.94)</f>
        <v>1495.94</v>
      </c>
    </row>
    <row r="744">
      <c r="A744" s="1">
        <f>IFERROR(__xludf.DUMMYFUNCTION("""COMPUTED_VALUE"""),1000.0)</f>
        <v>1000</v>
      </c>
      <c r="B744" s="1">
        <f>IFERROR(__xludf.DUMMYFUNCTION("""COMPUTED_VALUE"""),183992.0)</f>
        <v>183992</v>
      </c>
      <c r="C744" s="1">
        <f>IFERROR(__xludf.DUMMYFUNCTION("""COMPUTED_VALUE"""),2026.0)</f>
        <v>2026</v>
      </c>
      <c r="D744" s="1">
        <f>IFERROR(__xludf.DUMMYFUNCTION("""COMPUTED_VALUE"""),46245.0)</f>
        <v>46245</v>
      </c>
      <c r="E744" s="1" t="str">
        <f>IFERROR(__xludf.DUMMYFUNCTION("""COMPUTED_VALUE"""),"VF")</f>
        <v>VF</v>
      </c>
      <c r="F744" s="1">
        <f>IFERROR(__xludf.DUMMYFUNCTION("""COMPUTED_VALUE"""),1.0)</f>
        <v>1</v>
      </c>
      <c r="G744" s="1" t="str">
        <f>IFERROR(__xludf.DUMMYFUNCTION("""COMPUTED_VALUE"""),"PR048")</f>
        <v>PR048</v>
      </c>
      <c r="H744" s="1" t="str">
        <f>IFERROR(__xludf.DUMMYFUNCTION("""COMPUTED_VALUE"""),"VD045")</f>
        <v>VD045</v>
      </c>
      <c r="I744" s="1">
        <f>IFERROR(__xludf.DUMMYFUNCTION("""COMPUTED_VALUE"""),4.0)</f>
        <v>4</v>
      </c>
      <c r="J744" s="1">
        <f>IFERROR(__xludf.DUMMYFUNCTION("""COMPUTED_VALUE"""),1205.98)</f>
        <v>1205.98</v>
      </c>
      <c r="K744" s="1">
        <f>IFERROR(__xludf.DUMMYFUNCTION("""COMPUTED_VALUE"""),1205.98)</f>
        <v>1205.98</v>
      </c>
    </row>
    <row r="745">
      <c r="A745" s="1">
        <f>IFERROR(__xludf.DUMMYFUNCTION("""COMPUTED_VALUE"""),2000.0)</f>
        <v>2000</v>
      </c>
      <c r="B745" s="1">
        <f>IFERROR(__xludf.DUMMYFUNCTION("""COMPUTED_VALUE"""),183992.0)</f>
        <v>183992</v>
      </c>
      <c r="C745" s="1">
        <f>IFERROR(__xludf.DUMMYFUNCTION("""COMPUTED_VALUE"""),2026.0)</f>
        <v>2026</v>
      </c>
      <c r="D745" s="1">
        <f>IFERROR(__xludf.DUMMYFUNCTION("""COMPUTED_VALUE"""),46244.0)</f>
        <v>46244</v>
      </c>
      <c r="E745" s="1" t="str">
        <f>IFERROR(__xludf.DUMMYFUNCTION("""COMPUTED_VALUE"""),"VF")</f>
        <v>VF</v>
      </c>
      <c r="F745" s="1">
        <f>IFERROR(__xludf.DUMMYFUNCTION("""COMPUTED_VALUE"""),2.0)</f>
        <v>2</v>
      </c>
      <c r="G745" s="1" t="str">
        <f>IFERROR(__xludf.DUMMYFUNCTION("""COMPUTED_VALUE"""),"PR024")</f>
        <v>PR024</v>
      </c>
      <c r="H745" s="1" t="str">
        <f>IFERROR(__xludf.DUMMYFUNCTION("""COMPUTED_VALUE"""),"VD019")</f>
        <v>VD019</v>
      </c>
      <c r="I745" s="1">
        <f>IFERROR(__xludf.DUMMYFUNCTION("""COMPUTED_VALUE"""),4.0)</f>
        <v>4</v>
      </c>
      <c r="J745" s="1">
        <f>IFERROR(__xludf.DUMMYFUNCTION("""COMPUTED_VALUE"""),1112.37)</f>
        <v>1112.37</v>
      </c>
      <c r="K745" s="1">
        <f>IFERROR(__xludf.DUMMYFUNCTION("""COMPUTED_VALUE"""),1112.37)</f>
        <v>1112.37</v>
      </c>
    </row>
    <row r="746">
      <c r="A746" s="1">
        <f>IFERROR(__xludf.DUMMYFUNCTION("""COMPUTED_VALUE"""),1000.0)</f>
        <v>1000</v>
      </c>
      <c r="B746" s="1">
        <f>IFERROR(__xludf.DUMMYFUNCTION("""COMPUTED_VALUE"""),183992.0)</f>
        <v>183992</v>
      </c>
      <c r="C746" s="1">
        <f>IFERROR(__xludf.DUMMYFUNCTION("""COMPUTED_VALUE"""),2026.0)</f>
        <v>2026</v>
      </c>
      <c r="D746" s="1">
        <f>IFERROR(__xludf.DUMMYFUNCTION("""COMPUTED_VALUE"""),46244.0)</f>
        <v>46244</v>
      </c>
      <c r="E746" s="1" t="str">
        <f>IFERROR(__xludf.DUMMYFUNCTION("""COMPUTED_VALUE"""),"VF")</f>
        <v>VF</v>
      </c>
      <c r="F746" s="1">
        <f>IFERROR(__xludf.DUMMYFUNCTION("""COMPUTED_VALUE"""),3.0)</f>
        <v>3</v>
      </c>
      <c r="G746" s="1" t="str">
        <f>IFERROR(__xludf.DUMMYFUNCTION("""COMPUTED_VALUE"""),"PR006")</f>
        <v>PR006</v>
      </c>
      <c r="H746" s="1" t="str">
        <f>IFERROR(__xludf.DUMMYFUNCTION("""COMPUTED_VALUE"""),"VD023")</f>
        <v>VD023</v>
      </c>
      <c r="I746" s="1">
        <f>IFERROR(__xludf.DUMMYFUNCTION("""COMPUTED_VALUE"""),14.0)</f>
        <v>14</v>
      </c>
      <c r="J746" s="1">
        <f>IFERROR(__xludf.DUMMYFUNCTION("""COMPUTED_VALUE"""),586.53)</f>
        <v>586.53</v>
      </c>
      <c r="K746" s="1">
        <f>IFERROR(__xludf.DUMMYFUNCTION("""COMPUTED_VALUE"""),586.53)</f>
        <v>586.53</v>
      </c>
    </row>
    <row r="747">
      <c r="A747" s="1">
        <f>IFERROR(__xludf.DUMMYFUNCTION("""COMPUTED_VALUE"""),1000.0)</f>
        <v>1000</v>
      </c>
      <c r="B747" s="1">
        <f>IFERROR(__xludf.DUMMYFUNCTION("""COMPUTED_VALUE"""),183993.0)</f>
        <v>183993</v>
      </c>
      <c r="C747" s="1">
        <f>IFERROR(__xludf.DUMMYFUNCTION("""COMPUTED_VALUE"""),2026.0)</f>
        <v>2026</v>
      </c>
      <c r="D747" s="1">
        <f>IFERROR(__xludf.DUMMYFUNCTION("""COMPUTED_VALUE"""),46244.0)</f>
        <v>46244</v>
      </c>
      <c r="E747" s="1" t="str">
        <f>IFERROR(__xludf.DUMMYFUNCTION("""COMPUTED_VALUE"""),"VF")</f>
        <v>VF</v>
      </c>
      <c r="F747" s="1">
        <f>IFERROR(__xludf.DUMMYFUNCTION("""COMPUTED_VALUE"""),1.0)</f>
        <v>1</v>
      </c>
      <c r="G747" s="1" t="str">
        <f>IFERROR(__xludf.DUMMYFUNCTION("""COMPUTED_VALUE"""),"PR022")</f>
        <v>PR022</v>
      </c>
      <c r="H747" s="1" t="str">
        <f>IFERROR(__xludf.DUMMYFUNCTION("""COMPUTED_VALUE"""),"VD029")</f>
        <v>VD029</v>
      </c>
      <c r="I747" s="1">
        <f>IFERROR(__xludf.DUMMYFUNCTION("""COMPUTED_VALUE"""),7.0)</f>
        <v>7</v>
      </c>
      <c r="J747" s="1">
        <f>IFERROR(__xludf.DUMMYFUNCTION("""COMPUTED_VALUE"""),2100.0)</f>
        <v>2100</v>
      </c>
      <c r="K747" s="1">
        <f>IFERROR(__xludf.DUMMYFUNCTION("""COMPUTED_VALUE"""),2100.0)</f>
        <v>2100</v>
      </c>
    </row>
    <row r="748">
      <c r="A748" s="1">
        <f>IFERROR(__xludf.DUMMYFUNCTION("""COMPUTED_VALUE"""),1000.0)</f>
        <v>1000</v>
      </c>
      <c r="B748" s="1">
        <f>IFERROR(__xludf.DUMMYFUNCTION("""COMPUTED_VALUE"""),183994.0)</f>
        <v>183994</v>
      </c>
      <c r="C748" s="1">
        <f>IFERROR(__xludf.DUMMYFUNCTION("""COMPUTED_VALUE"""),2026.0)</f>
        <v>2026</v>
      </c>
      <c r="D748" s="1">
        <f>IFERROR(__xludf.DUMMYFUNCTION("""COMPUTED_VALUE"""),46244.0)</f>
        <v>46244</v>
      </c>
      <c r="E748" s="1" t="str">
        <f>IFERROR(__xludf.DUMMYFUNCTION("""COMPUTED_VALUE"""),"VF")</f>
        <v>VF</v>
      </c>
      <c r="F748" s="1">
        <f>IFERROR(__xludf.DUMMYFUNCTION("""COMPUTED_VALUE"""),1.0)</f>
        <v>1</v>
      </c>
      <c r="G748" s="1" t="str">
        <f>IFERROR(__xludf.DUMMYFUNCTION("""COMPUTED_VALUE"""),"PR027")</f>
        <v>PR027</v>
      </c>
      <c r="H748" s="1" t="str">
        <f>IFERROR(__xludf.DUMMYFUNCTION("""COMPUTED_VALUE"""),"VD016")</f>
        <v>VD016</v>
      </c>
      <c r="I748" s="1">
        <f>IFERROR(__xludf.DUMMYFUNCTION("""COMPUTED_VALUE"""),2.0)</f>
        <v>2</v>
      </c>
      <c r="J748" s="1">
        <f>IFERROR(__xludf.DUMMYFUNCTION("""COMPUTED_VALUE"""),242.4)</f>
        <v>242.4</v>
      </c>
      <c r="K748" s="1">
        <f>IFERROR(__xludf.DUMMYFUNCTION("""COMPUTED_VALUE"""),242.4)</f>
        <v>242.4</v>
      </c>
    </row>
    <row r="749">
      <c r="A749" s="1">
        <f>IFERROR(__xludf.DUMMYFUNCTION("""COMPUTED_VALUE"""),1000.0)</f>
        <v>1000</v>
      </c>
      <c r="B749" s="1">
        <f>IFERROR(__xludf.DUMMYFUNCTION("""COMPUTED_VALUE"""),183995.0)</f>
        <v>183995</v>
      </c>
      <c r="C749" s="1">
        <f>IFERROR(__xludf.DUMMYFUNCTION("""COMPUTED_VALUE"""),2026.0)</f>
        <v>2026</v>
      </c>
      <c r="D749" s="1">
        <f>IFERROR(__xludf.DUMMYFUNCTION("""COMPUTED_VALUE"""),46244.0)</f>
        <v>46244</v>
      </c>
      <c r="E749" s="1" t="str">
        <f>IFERROR(__xludf.DUMMYFUNCTION("""COMPUTED_VALUE"""),"VF")</f>
        <v>VF</v>
      </c>
      <c r="F749" s="1">
        <f>IFERROR(__xludf.DUMMYFUNCTION("""COMPUTED_VALUE"""),1.0)</f>
        <v>1</v>
      </c>
      <c r="G749" s="1" t="str">
        <f>IFERROR(__xludf.DUMMYFUNCTION("""COMPUTED_VALUE"""),"PR017")</f>
        <v>PR017</v>
      </c>
      <c r="H749" s="1" t="str">
        <f>IFERROR(__xludf.DUMMYFUNCTION("""COMPUTED_VALUE"""),"VD029")</f>
        <v>VD029</v>
      </c>
      <c r="I749" s="1">
        <f>IFERROR(__xludf.DUMMYFUNCTION("""COMPUTED_VALUE"""),12.0)</f>
        <v>12</v>
      </c>
      <c r="J749" s="1">
        <f>IFERROR(__xludf.DUMMYFUNCTION("""COMPUTED_VALUE"""),380.33)</f>
        <v>380.33</v>
      </c>
      <c r="K749" s="1">
        <f>IFERROR(__xludf.DUMMYFUNCTION("""COMPUTED_VALUE"""),380.33)</f>
        <v>380.33</v>
      </c>
    </row>
    <row r="750">
      <c r="A750" s="1">
        <f>IFERROR(__xludf.DUMMYFUNCTION("""COMPUTED_VALUE"""),1000.0)</f>
        <v>1000</v>
      </c>
      <c r="B750" s="1">
        <f>IFERROR(__xludf.DUMMYFUNCTION("""COMPUTED_VALUE"""),183996.0)</f>
        <v>183996</v>
      </c>
      <c r="C750" s="1">
        <f>IFERROR(__xludf.DUMMYFUNCTION("""COMPUTED_VALUE"""),2026.0)</f>
        <v>2026</v>
      </c>
      <c r="D750" s="1">
        <f>IFERROR(__xludf.DUMMYFUNCTION("""COMPUTED_VALUE"""),46243.0)</f>
        <v>46243</v>
      </c>
      <c r="E750" s="1" t="str">
        <f>IFERROR(__xludf.DUMMYFUNCTION("""COMPUTED_VALUE"""),"VF")</f>
        <v>VF</v>
      </c>
      <c r="F750" s="1">
        <f>IFERROR(__xludf.DUMMYFUNCTION("""COMPUTED_VALUE"""),1.0)</f>
        <v>1</v>
      </c>
      <c r="G750" s="1" t="str">
        <f>IFERROR(__xludf.DUMMYFUNCTION("""COMPUTED_VALUE"""),"PR018")</f>
        <v>PR018</v>
      </c>
      <c r="H750" s="1" t="str">
        <f>IFERROR(__xludf.DUMMYFUNCTION("""COMPUTED_VALUE"""),"VD049")</f>
        <v>VD049</v>
      </c>
      <c r="I750" s="1">
        <f>IFERROR(__xludf.DUMMYFUNCTION("""COMPUTED_VALUE"""),12.0)</f>
        <v>12</v>
      </c>
      <c r="J750" s="1">
        <f>IFERROR(__xludf.DUMMYFUNCTION("""COMPUTED_VALUE"""),410.59)</f>
        <v>410.59</v>
      </c>
      <c r="K750" s="1">
        <f>IFERROR(__xludf.DUMMYFUNCTION("""COMPUTED_VALUE"""),410.59)</f>
        <v>410.59</v>
      </c>
    </row>
    <row r="751">
      <c r="A751" s="1">
        <f>IFERROR(__xludf.DUMMYFUNCTION("""COMPUTED_VALUE"""),1000.0)</f>
        <v>1000</v>
      </c>
      <c r="B751" s="1">
        <f>IFERROR(__xludf.DUMMYFUNCTION("""COMPUTED_VALUE"""),183996.0)</f>
        <v>183996</v>
      </c>
      <c r="C751" s="1">
        <f>IFERROR(__xludf.DUMMYFUNCTION("""COMPUTED_VALUE"""),2026.0)</f>
        <v>2026</v>
      </c>
      <c r="D751" s="1">
        <f>IFERROR(__xludf.DUMMYFUNCTION("""COMPUTED_VALUE"""),46243.0)</f>
        <v>46243</v>
      </c>
      <c r="E751" s="1" t="str">
        <f>IFERROR(__xludf.DUMMYFUNCTION("""COMPUTED_VALUE"""),"VF")</f>
        <v>VF</v>
      </c>
      <c r="F751" s="1">
        <f>IFERROR(__xludf.DUMMYFUNCTION("""COMPUTED_VALUE"""),2.0)</f>
        <v>2</v>
      </c>
      <c r="G751" s="1" t="str">
        <f>IFERROR(__xludf.DUMMYFUNCTION("""COMPUTED_VALUE"""),"PR003")</f>
        <v>PR003</v>
      </c>
      <c r="H751" s="1" t="str">
        <f>IFERROR(__xludf.DUMMYFUNCTION("""COMPUTED_VALUE"""),"VD024")</f>
        <v>VD024</v>
      </c>
      <c r="I751" s="1">
        <f>IFERROR(__xludf.DUMMYFUNCTION("""COMPUTED_VALUE"""),9.0)</f>
        <v>9</v>
      </c>
      <c r="J751" s="1">
        <f>IFERROR(__xludf.DUMMYFUNCTION("""COMPUTED_VALUE"""),638.1)</f>
        <v>638.1</v>
      </c>
      <c r="K751" s="1">
        <f>IFERROR(__xludf.DUMMYFUNCTION("""COMPUTED_VALUE"""),638.1)</f>
        <v>638.1</v>
      </c>
    </row>
    <row r="752">
      <c r="A752" s="1">
        <f>IFERROR(__xludf.DUMMYFUNCTION("""COMPUTED_VALUE"""),1000.0)</f>
        <v>1000</v>
      </c>
      <c r="B752" s="1">
        <f>IFERROR(__xludf.DUMMYFUNCTION("""COMPUTED_VALUE"""),183997.0)</f>
        <v>183997</v>
      </c>
      <c r="C752" s="1">
        <f>IFERROR(__xludf.DUMMYFUNCTION("""COMPUTED_VALUE"""),2026.0)</f>
        <v>2026</v>
      </c>
      <c r="D752" s="1">
        <f>IFERROR(__xludf.DUMMYFUNCTION("""COMPUTED_VALUE"""),46242.0)</f>
        <v>46242</v>
      </c>
      <c r="E752" s="1" t="str">
        <f>IFERROR(__xludf.DUMMYFUNCTION("""COMPUTED_VALUE"""),"VF")</f>
        <v>VF</v>
      </c>
      <c r="F752" s="1">
        <f>IFERROR(__xludf.DUMMYFUNCTION("""COMPUTED_VALUE"""),1.0)</f>
        <v>1</v>
      </c>
      <c r="G752" s="1" t="str">
        <f>IFERROR(__xludf.DUMMYFUNCTION("""COMPUTED_VALUE"""),"PR021")</f>
        <v>PR021</v>
      </c>
      <c r="H752" s="1" t="str">
        <f>IFERROR(__xludf.DUMMYFUNCTION("""COMPUTED_VALUE"""),"VD046")</f>
        <v>VD046</v>
      </c>
      <c r="I752" s="1">
        <f>IFERROR(__xludf.DUMMYFUNCTION("""COMPUTED_VALUE"""),20.0)</f>
        <v>20</v>
      </c>
      <c r="J752" s="1">
        <f>IFERROR(__xludf.DUMMYFUNCTION("""COMPUTED_VALUE"""),6239.74)</f>
        <v>6239.74</v>
      </c>
      <c r="K752" s="1">
        <f>IFERROR(__xludf.DUMMYFUNCTION("""COMPUTED_VALUE"""),6239.74)</f>
        <v>6239.74</v>
      </c>
    </row>
    <row r="753">
      <c r="A753" s="1">
        <f>IFERROR(__xludf.DUMMYFUNCTION("""COMPUTED_VALUE"""),1000.0)</f>
        <v>1000</v>
      </c>
      <c r="B753" s="1">
        <f>IFERROR(__xludf.DUMMYFUNCTION("""COMPUTED_VALUE"""),183998.0)</f>
        <v>183998</v>
      </c>
      <c r="C753" s="1">
        <f>IFERROR(__xludf.DUMMYFUNCTION("""COMPUTED_VALUE"""),2026.0)</f>
        <v>2026</v>
      </c>
      <c r="D753" s="1">
        <f>IFERROR(__xludf.DUMMYFUNCTION("""COMPUTED_VALUE"""),46242.0)</f>
        <v>46242</v>
      </c>
      <c r="E753" s="1" t="str">
        <f>IFERROR(__xludf.DUMMYFUNCTION("""COMPUTED_VALUE"""),"VF")</f>
        <v>VF</v>
      </c>
      <c r="F753" s="1">
        <f>IFERROR(__xludf.DUMMYFUNCTION("""COMPUTED_VALUE"""),1.0)</f>
        <v>1</v>
      </c>
      <c r="G753" s="1" t="str">
        <f>IFERROR(__xludf.DUMMYFUNCTION("""COMPUTED_VALUE"""),"PR018")</f>
        <v>PR018</v>
      </c>
      <c r="H753" s="1" t="str">
        <f>IFERROR(__xludf.DUMMYFUNCTION("""COMPUTED_VALUE"""),"VD049")</f>
        <v>VD049</v>
      </c>
      <c r="I753" s="1">
        <f>IFERROR(__xludf.DUMMYFUNCTION("""COMPUTED_VALUE"""),8.0)</f>
        <v>8</v>
      </c>
      <c r="J753" s="1">
        <f>IFERROR(__xludf.DUMMYFUNCTION("""COMPUTED_VALUE"""),278.99)</f>
        <v>278.99</v>
      </c>
      <c r="K753" s="1">
        <f>IFERROR(__xludf.DUMMYFUNCTION("""COMPUTED_VALUE"""),278.99)</f>
        <v>278.99</v>
      </c>
    </row>
    <row r="754">
      <c r="A754" s="1">
        <f>IFERROR(__xludf.DUMMYFUNCTION("""COMPUTED_VALUE"""),1000.0)</f>
        <v>1000</v>
      </c>
      <c r="B754" s="1">
        <f>IFERROR(__xludf.DUMMYFUNCTION("""COMPUTED_VALUE"""),183999.0)</f>
        <v>183999</v>
      </c>
      <c r="C754" s="1">
        <f>IFERROR(__xludf.DUMMYFUNCTION("""COMPUTED_VALUE"""),2026.0)</f>
        <v>2026</v>
      </c>
      <c r="D754" s="1">
        <f>IFERROR(__xludf.DUMMYFUNCTION("""COMPUTED_VALUE"""),46242.0)</f>
        <v>46242</v>
      </c>
      <c r="E754" s="1" t="str">
        <f>IFERROR(__xludf.DUMMYFUNCTION("""COMPUTED_VALUE"""),"VF")</f>
        <v>VF</v>
      </c>
      <c r="F754" s="1">
        <f>IFERROR(__xludf.DUMMYFUNCTION("""COMPUTED_VALUE"""),1.0)</f>
        <v>1</v>
      </c>
      <c r="G754" s="1" t="str">
        <f>IFERROR(__xludf.DUMMYFUNCTION("""COMPUTED_VALUE"""),"PR047")</f>
        <v>PR047</v>
      </c>
      <c r="H754" s="1" t="str">
        <f>IFERROR(__xludf.DUMMYFUNCTION("""COMPUTED_VALUE"""),"VD019")</f>
        <v>VD019</v>
      </c>
      <c r="I754" s="1">
        <f>IFERROR(__xludf.DUMMYFUNCTION("""COMPUTED_VALUE"""),8.0)</f>
        <v>8</v>
      </c>
      <c r="J754" s="1">
        <f>IFERROR(__xludf.DUMMYFUNCTION("""COMPUTED_VALUE"""),2527.93)</f>
        <v>2527.93</v>
      </c>
      <c r="K754" s="1">
        <f>IFERROR(__xludf.DUMMYFUNCTION("""COMPUTED_VALUE"""),2527.93)</f>
        <v>2527.93</v>
      </c>
    </row>
    <row r="755">
      <c r="A755" s="1">
        <f>IFERROR(__xludf.DUMMYFUNCTION("""COMPUTED_VALUE"""),1000.0)</f>
        <v>1000</v>
      </c>
      <c r="B755" s="1">
        <f>IFERROR(__xludf.DUMMYFUNCTION("""COMPUTED_VALUE"""),184000.0)</f>
        <v>184000</v>
      </c>
      <c r="C755" s="1">
        <f>IFERROR(__xludf.DUMMYFUNCTION("""COMPUTED_VALUE"""),2026.0)</f>
        <v>2026</v>
      </c>
      <c r="D755" s="1">
        <f>IFERROR(__xludf.DUMMYFUNCTION("""COMPUTED_VALUE"""),46241.0)</f>
        <v>46241</v>
      </c>
      <c r="E755" s="1" t="str">
        <f>IFERROR(__xludf.DUMMYFUNCTION("""COMPUTED_VALUE"""),"VF")</f>
        <v>VF</v>
      </c>
      <c r="F755" s="1">
        <f>IFERROR(__xludf.DUMMYFUNCTION("""COMPUTED_VALUE"""),1.0)</f>
        <v>1</v>
      </c>
      <c r="G755" s="1" t="str">
        <f>IFERROR(__xludf.DUMMYFUNCTION("""COMPUTED_VALUE"""),"PR030")</f>
        <v>PR030</v>
      </c>
      <c r="H755" s="1" t="str">
        <f>IFERROR(__xludf.DUMMYFUNCTION("""COMPUTED_VALUE"""),"VD043")</f>
        <v>VD043</v>
      </c>
      <c r="I755" s="1">
        <f>IFERROR(__xludf.DUMMYFUNCTION("""COMPUTED_VALUE"""),16.0)</f>
        <v>16</v>
      </c>
      <c r="J755" s="1">
        <f>IFERROR(__xludf.DUMMYFUNCTION("""COMPUTED_VALUE"""),4366.32)</f>
        <v>4366.32</v>
      </c>
      <c r="K755" s="1">
        <f>IFERROR(__xludf.DUMMYFUNCTION("""COMPUTED_VALUE"""),4366.32)</f>
        <v>4366.32</v>
      </c>
    </row>
    <row r="756">
      <c r="A756" s="1">
        <f>IFERROR(__xludf.DUMMYFUNCTION("""COMPUTED_VALUE"""),1000.0)</f>
        <v>1000</v>
      </c>
      <c r="B756" s="1">
        <f>IFERROR(__xludf.DUMMYFUNCTION("""COMPUTED_VALUE"""),184001.0)</f>
        <v>184001</v>
      </c>
      <c r="C756" s="1">
        <f>IFERROR(__xludf.DUMMYFUNCTION("""COMPUTED_VALUE"""),2026.0)</f>
        <v>2026</v>
      </c>
      <c r="D756" s="1">
        <f>IFERROR(__xludf.DUMMYFUNCTION("""COMPUTED_VALUE"""),46241.0)</f>
        <v>46241</v>
      </c>
      <c r="E756" s="1" t="str">
        <f>IFERROR(__xludf.DUMMYFUNCTION("""COMPUTED_VALUE"""),"VF")</f>
        <v>VF</v>
      </c>
      <c r="F756" s="1">
        <f>IFERROR(__xludf.DUMMYFUNCTION("""COMPUTED_VALUE"""),1.0)</f>
        <v>1</v>
      </c>
      <c r="G756" s="1" t="str">
        <f>IFERROR(__xludf.DUMMYFUNCTION("""COMPUTED_VALUE"""),"PR011")</f>
        <v>PR011</v>
      </c>
      <c r="H756" s="1" t="str">
        <f>IFERROR(__xludf.DUMMYFUNCTION("""COMPUTED_VALUE"""),"VD026")</f>
        <v>VD026</v>
      </c>
      <c r="I756" s="1">
        <f>IFERROR(__xludf.DUMMYFUNCTION("""COMPUTED_VALUE"""),14.0)</f>
        <v>14</v>
      </c>
      <c r="J756" s="1">
        <f>IFERROR(__xludf.DUMMYFUNCTION("""COMPUTED_VALUE"""),709.13)</f>
        <v>709.13</v>
      </c>
      <c r="K756" s="1">
        <f>IFERROR(__xludf.DUMMYFUNCTION("""COMPUTED_VALUE"""),709.13)</f>
        <v>709.13</v>
      </c>
    </row>
    <row r="757">
      <c r="A757" s="1">
        <f>IFERROR(__xludf.DUMMYFUNCTION("""COMPUTED_VALUE"""),1000.0)</f>
        <v>1000</v>
      </c>
      <c r="B757" s="1">
        <f>IFERROR(__xludf.DUMMYFUNCTION("""COMPUTED_VALUE"""),184001.0)</f>
        <v>184001</v>
      </c>
      <c r="C757" s="1">
        <f>IFERROR(__xludf.DUMMYFUNCTION("""COMPUTED_VALUE"""),2026.0)</f>
        <v>2026</v>
      </c>
      <c r="D757" s="1">
        <f>IFERROR(__xludf.DUMMYFUNCTION("""COMPUTED_VALUE"""),46240.0)</f>
        <v>46240</v>
      </c>
      <c r="E757" s="1" t="str">
        <f>IFERROR(__xludf.DUMMYFUNCTION("""COMPUTED_VALUE"""),"VF")</f>
        <v>VF</v>
      </c>
      <c r="F757" s="1">
        <f>IFERROR(__xludf.DUMMYFUNCTION("""COMPUTED_VALUE"""),2.0)</f>
        <v>2</v>
      </c>
      <c r="G757" s="1" t="str">
        <f>IFERROR(__xludf.DUMMYFUNCTION("""COMPUTED_VALUE"""),"PR049")</f>
        <v>PR049</v>
      </c>
      <c r="H757" s="1" t="str">
        <f>IFERROR(__xludf.DUMMYFUNCTION("""COMPUTED_VALUE"""),"VD042")</f>
        <v>VD042</v>
      </c>
      <c r="I757" s="1">
        <f>IFERROR(__xludf.DUMMYFUNCTION("""COMPUTED_VALUE"""),8.0)</f>
        <v>8</v>
      </c>
      <c r="J757" s="1">
        <f>IFERROR(__xludf.DUMMYFUNCTION("""COMPUTED_VALUE"""),289.52)</f>
        <v>289.52</v>
      </c>
      <c r="K757" s="1">
        <f>IFERROR(__xludf.DUMMYFUNCTION("""COMPUTED_VALUE"""),289.52)</f>
        <v>289.52</v>
      </c>
    </row>
    <row r="758">
      <c r="A758" s="1">
        <f>IFERROR(__xludf.DUMMYFUNCTION("""COMPUTED_VALUE"""),1000.0)</f>
        <v>1000</v>
      </c>
      <c r="B758" s="1">
        <f>IFERROR(__xludf.DUMMYFUNCTION("""COMPUTED_VALUE"""),184001.0)</f>
        <v>184001</v>
      </c>
      <c r="C758" s="1">
        <f>IFERROR(__xludf.DUMMYFUNCTION("""COMPUTED_VALUE"""),2026.0)</f>
        <v>2026</v>
      </c>
      <c r="D758" s="1">
        <f>IFERROR(__xludf.DUMMYFUNCTION("""COMPUTED_VALUE"""),46240.0)</f>
        <v>46240</v>
      </c>
      <c r="E758" s="1" t="str">
        <f>IFERROR(__xludf.DUMMYFUNCTION("""COMPUTED_VALUE"""),"VF")</f>
        <v>VF</v>
      </c>
      <c r="F758" s="1">
        <f>IFERROR(__xludf.DUMMYFUNCTION("""COMPUTED_VALUE"""),3.0)</f>
        <v>3</v>
      </c>
      <c r="G758" s="1" t="str">
        <f>IFERROR(__xludf.DUMMYFUNCTION("""COMPUTED_VALUE"""),"PR057")</f>
        <v>PR057</v>
      </c>
      <c r="H758" s="1" t="str">
        <f>IFERROR(__xludf.DUMMYFUNCTION("""COMPUTED_VALUE"""),"VD034")</f>
        <v>VD034</v>
      </c>
      <c r="I758" s="1">
        <f>IFERROR(__xludf.DUMMYFUNCTION("""COMPUTED_VALUE"""),4.0)</f>
        <v>4</v>
      </c>
      <c r="J758" s="1">
        <f>IFERROR(__xludf.DUMMYFUNCTION("""COMPUTED_VALUE"""),366.79)</f>
        <v>366.79</v>
      </c>
      <c r="K758" s="1">
        <f>IFERROR(__xludf.DUMMYFUNCTION("""COMPUTED_VALUE"""),366.79)</f>
        <v>366.79</v>
      </c>
    </row>
    <row r="759">
      <c r="A759" s="1">
        <f>IFERROR(__xludf.DUMMYFUNCTION("""COMPUTED_VALUE"""),1000.0)</f>
        <v>1000</v>
      </c>
      <c r="B759" s="1">
        <f>IFERROR(__xludf.DUMMYFUNCTION("""COMPUTED_VALUE"""),184002.0)</f>
        <v>184002</v>
      </c>
      <c r="C759" s="1">
        <f>IFERROR(__xludf.DUMMYFUNCTION("""COMPUTED_VALUE"""),2026.0)</f>
        <v>2026</v>
      </c>
      <c r="D759" s="1">
        <f>IFERROR(__xludf.DUMMYFUNCTION("""COMPUTED_VALUE"""),46240.0)</f>
        <v>46240</v>
      </c>
      <c r="E759" s="1" t="str">
        <f>IFERROR(__xludf.DUMMYFUNCTION("""COMPUTED_VALUE"""),"VF")</f>
        <v>VF</v>
      </c>
      <c r="F759" s="1">
        <f>IFERROR(__xludf.DUMMYFUNCTION("""COMPUTED_VALUE"""),1.0)</f>
        <v>1</v>
      </c>
      <c r="G759" s="1" t="str">
        <f>IFERROR(__xludf.DUMMYFUNCTION("""COMPUTED_VALUE"""),"PR049")</f>
        <v>PR049</v>
      </c>
      <c r="H759" s="1" t="str">
        <f>IFERROR(__xludf.DUMMYFUNCTION("""COMPUTED_VALUE"""),"VD049")</f>
        <v>VD049</v>
      </c>
      <c r="I759" s="1">
        <f>IFERROR(__xludf.DUMMYFUNCTION("""COMPUTED_VALUE"""),10.0)</f>
        <v>10</v>
      </c>
      <c r="J759" s="1">
        <f>IFERROR(__xludf.DUMMYFUNCTION("""COMPUTED_VALUE"""),361.9)</f>
        <v>361.9</v>
      </c>
      <c r="K759" s="1">
        <f>IFERROR(__xludf.DUMMYFUNCTION("""COMPUTED_VALUE"""),361.9)</f>
        <v>361.9</v>
      </c>
    </row>
    <row r="760">
      <c r="A760" s="1">
        <f>IFERROR(__xludf.DUMMYFUNCTION("""COMPUTED_VALUE"""),1000.0)</f>
        <v>1000</v>
      </c>
      <c r="B760" s="1">
        <f>IFERROR(__xludf.DUMMYFUNCTION("""COMPUTED_VALUE"""),184002.0)</f>
        <v>184002</v>
      </c>
      <c r="C760" s="1">
        <f>IFERROR(__xludf.DUMMYFUNCTION("""COMPUTED_VALUE"""),2026.0)</f>
        <v>2026</v>
      </c>
      <c r="D760" s="1">
        <f>IFERROR(__xludf.DUMMYFUNCTION("""COMPUTED_VALUE"""),46240.0)</f>
        <v>46240</v>
      </c>
      <c r="E760" s="1" t="str">
        <f>IFERROR(__xludf.DUMMYFUNCTION("""COMPUTED_VALUE"""),"VF")</f>
        <v>VF</v>
      </c>
      <c r="F760" s="1">
        <f>IFERROR(__xludf.DUMMYFUNCTION("""COMPUTED_VALUE"""),2.0)</f>
        <v>2</v>
      </c>
      <c r="G760" s="1" t="str">
        <f>IFERROR(__xludf.DUMMYFUNCTION("""COMPUTED_VALUE"""),"PR037")</f>
        <v>PR037</v>
      </c>
      <c r="H760" s="1" t="str">
        <f>IFERROR(__xludf.DUMMYFUNCTION("""COMPUTED_VALUE"""),"VD029")</f>
        <v>VD029</v>
      </c>
      <c r="I760" s="1">
        <f>IFERROR(__xludf.DUMMYFUNCTION("""COMPUTED_VALUE"""),4.0)</f>
        <v>4</v>
      </c>
      <c r="J760" s="1">
        <f>IFERROR(__xludf.DUMMYFUNCTION("""COMPUTED_VALUE"""),588.0)</f>
        <v>588</v>
      </c>
      <c r="K760" s="1">
        <f>IFERROR(__xludf.DUMMYFUNCTION("""COMPUTED_VALUE"""),588.0)</f>
        <v>588</v>
      </c>
    </row>
    <row r="761">
      <c r="A761" s="1">
        <f>IFERROR(__xludf.DUMMYFUNCTION("""COMPUTED_VALUE"""),2000.0)</f>
        <v>2000</v>
      </c>
      <c r="B761" s="1">
        <f>IFERROR(__xludf.DUMMYFUNCTION("""COMPUTED_VALUE"""),184003.0)</f>
        <v>184003</v>
      </c>
      <c r="C761" s="1">
        <f>IFERROR(__xludf.DUMMYFUNCTION("""COMPUTED_VALUE"""),2026.0)</f>
        <v>2026</v>
      </c>
      <c r="D761" s="1">
        <f>IFERROR(__xludf.DUMMYFUNCTION("""COMPUTED_VALUE"""),46240.0)</f>
        <v>46240</v>
      </c>
      <c r="E761" s="1" t="str">
        <f>IFERROR(__xludf.DUMMYFUNCTION("""COMPUTED_VALUE"""),"VF")</f>
        <v>VF</v>
      </c>
      <c r="F761" s="1">
        <f>IFERROR(__xludf.DUMMYFUNCTION("""COMPUTED_VALUE"""),1.0)</f>
        <v>1</v>
      </c>
      <c r="G761" s="1" t="str">
        <f>IFERROR(__xludf.DUMMYFUNCTION("""COMPUTED_VALUE"""),"PR029")</f>
        <v>PR029</v>
      </c>
      <c r="H761" s="1" t="str">
        <f>IFERROR(__xludf.DUMMYFUNCTION("""COMPUTED_VALUE"""),"VD017")</f>
        <v>VD017</v>
      </c>
      <c r="I761" s="1">
        <f>IFERROR(__xludf.DUMMYFUNCTION("""COMPUTED_VALUE"""),8.0)</f>
        <v>8</v>
      </c>
      <c r="J761" s="1">
        <f>IFERROR(__xludf.DUMMYFUNCTION("""COMPUTED_VALUE"""),2223.6)</f>
        <v>2223.6</v>
      </c>
      <c r="K761" s="1">
        <f>IFERROR(__xludf.DUMMYFUNCTION("""COMPUTED_VALUE"""),2223.6)</f>
        <v>2223.6</v>
      </c>
    </row>
    <row r="762">
      <c r="A762" s="1">
        <f>IFERROR(__xludf.DUMMYFUNCTION("""COMPUTED_VALUE"""),1000.0)</f>
        <v>1000</v>
      </c>
      <c r="B762" s="1">
        <f>IFERROR(__xludf.DUMMYFUNCTION("""COMPUTED_VALUE"""),184004.0)</f>
        <v>184004</v>
      </c>
      <c r="C762" s="1">
        <f>IFERROR(__xludf.DUMMYFUNCTION("""COMPUTED_VALUE"""),2026.0)</f>
        <v>2026</v>
      </c>
      <c r="D762" s="1">
        <f>IFERROR(__xludf.DUMMYFUNCTION("""COMPUTED_VALUE"""),46240.0)</f>
        <v>46240</v>
      </c>
      <c r="E762" s="1" t="str">
        <f>IFERROR(__xludf.DUMMYFUNCTION("""COMPUTED_VALUE"""),"VF")</f>
        <v>VF</v>
      </c>
      <c r="F762" s="1">
        <f>IFERROR(__xludf.DUMMYFUNCTION("""COMPUTED_VALUE"""),1.0)</f>
        <v>1</v>
      </c>
      <c r="G762" s="1" t="str">
        <f>IFERROR(__xludf.DUMMYFUNCTION("""COMPUTED_VALUE"""),"PR007")</f>
        <v>PR007</v>
      </c>
      <c r="H762" s="1" t="str">
        <f>IFERROR(__xludf.DUMMYFUNCTION("""COMPUTED_VALUE"""),"VD027")</f>
        <v>VD027</v>
      </c>
      <c r="I762" s="1">
        <f>IFERROR(__xludf.DUMMYFUNCTION("""COMPUTED_VALUE"""),18.0)</f>
        <v>18</v>
      </c>
      <c r="J762" s="1">
        <f>IFERROR(__xludf.DUMMYFUNCTION("""COMPUTED_VALUE"""),1592.59)</f>
        <v>1592.59</v>
      </c>
      <c r="K762" s="1">
        <f>IFERROR(__xludf.DUMMYFUNCTION("""COMPUTED_VALUE"""),1592.59)</f>
        <v>1592.59</v>
      </c>
    </row>
    <row r="763">
      <c r="A763" s="1">
        <f>IFERROR(__xludf.DUMMYFUNCTION("""COMPUTED_VALUE"""),1000.0)</f>
        <v>1000</v>
      </c>
      <c r="B763" s="1">
        <f>IFERROR(__xludf.DUMMYFUNCTION("""COMPUTED_VALUE"""),184004.0)</f>
        <v>184004</v>
      </c>
      <c r="C763" s="1">
        <f>IFERROR(__xludf.DUMMYFUNCTION("""COMPUTED_VALUE"""),2026.0)</f>
        <v>2026</v>
      </c>
      <c r="D763" s="1">
        <f>IFERROR(__xludf.DUMMYFUNCTION("""COMPUTED_VALUE"""),46240.0)</f>
        <v>46240</v>
      </c>
      <c r="E763" s="1" t="str">
        <f>IFERROR(__xludf.DUMMYFUNCTION("""COMPUTED_VALUE"""),"VF")</f>
        <v>VF</v>
      </c>
      <c r="F763" s="1">
        <f>IFERROR(__xludf.DUMMYFUNCTION("""COMPUTED_VALUE"""),2.0)</f>
        <v>2</v>
      </c>
      <c r="G763" s="1" t="str">
        <f>IFERROR(__xludf.DUMMYFUNCTION("""COMPUTED_VALUE"""),"PR023")</f>
        <v>PR023</v>
      </c>
      <c r="H763" s="1" t="str">
        <f>IFERROR(__xludf.DUMMYFUNCTION("""COMPUTED_VALUE"""),"VD044")</f>
        <v>VD044</v>
      </c>
      <c r="I763" s="1">
        <f>IFERROR(__xludf.DUMMYFUNCTION("""COMPUTED_VALUE"""),7.0)</f>
        <v>7</v>
      </c>
      <c r="J763" s="1">
        <f>IFERROR(__xludf.DUMMYFUNCTION("""COMPUTED_VALUE"""),1784.29)</f>
        <v>1784.29</v>
      </c>
      <c r="K763" s="1">
        <f>IFERROR(__xludf.DUMMYFUNCTION("""COMPUTED_VALUE"""),1784.29)</f>
        <v>1784.29</v>
      </c>
    </row>
    <row r="764">
      <c r="A764" s="1">
        <f>IFERROR(__xludf.DUMMYFUNCTION("""COMPUTED_VALUE"""),1000.0)</f>
        <v>1000</v>
      </c>
      <c r="B764" s="1">
        <f>IFERROR(__xludf.DUMMYFUNCTION("""COMPUTED_VALUE"""),184005.0)</f>
        <v>184005</v>
      </c>
      <c r="C764" s="1">
        <f>IFERROR(__xludf.DUMMYFUNCTION("""COMPUTED_VALUE"""),2026.0)</f>
        <v>2026</v>
      </c>
      <c r="D764" s="1">
        <f>IFERROR(__xludf.DUMMYFUNCTION("""COMPUTED_VALUE"""),46239.0)</f>
        <v>46239</v>
      </c>
      <c r="E764" s="1" t="str">
        <f>IFERROR(__xludf.DUMMYFUNCTION("""COMPUTED_VALUE"""),"VF")</f>
        <v>VF</v>
      </c>
      <c r="F764" s="1">
        <f>IFERROR(__xludf.DUMMYFUNCTION("""COMPUTED_VALUE"""),1.0)</f>
        <v>1</v>
      </c>
      <c r="G764" s="1" t="str">
        <f>IFERROR(__xludf.DUMMYFUNCTION("""COMPUTED_VALUE"""),"PR003")</f>
        <v>PR003</v>
      </c>
      <c r="H764" s="1" t="str">
        <f>IFERROR(__xludf.DUMMYFUNCTION("""COMPUTED_VALUE"""),"VD011")</f>
        <v>VD011</v>
      </c>
      <c r="I764" s="1">
        <f>IFERROR(__xludf.DUMMYFUNCTION("""COMPUTED_VALUE"""),2.0)</f>
        <v>2</v>
      </c>
      <c r="J764" s="1">
        <f>IFERROR(__xludf.DUMMYFUNCTION("""COMPUTED_VALUE"""),143.22)</f>
        <v>143.22</v>
      </c>
      <c r="K764" s="1">
        <f>IFERROR(__xludf.DUMMYFUNCTION("""COMPUTED_VALUE"""),143.22)</f>
        <v>143.22</v>
      </c>
    </row>
    <row r="765">
      <c r="A765" s="1">
        <f>IFERROR(__xludf.DUMMYFUNCTION("""COMPUTED_VALUE"""),1000.0)</f>
        <v>1000</v>
      </c>
      <c r="B765" s="1">
        <f>IFERROR(__xludf.DUMMYFUNCTION("""COMPUTED_VALUE"""),184006.0)</f>
        <v>184006</v>
      </c>
      <c r="C765" s="1">
        <f>IFERROR(__xludf.DUMMYFUNCTION("""COMPUTED_VALUE"""),2026.0)</f>
        <v>2026</v>
      </c>
      <c r="D765" s="1">
        <f>IFERROR(__xludf.DUMMYFUNCTION("""COMPUTED_VALUE"""),46239.0)</f>
        <v>46239</v>
      </c>
      <c r="E765" s="1" t="str">
        <f>IFERROR(__xludf.DUMMYFUNCTION("""COMPUTED_VALUE"""),"VF")</f>
        <v>VF</v>
      </c>
      <c r="F765" s="1">
        <f>IFERROR(__xludf.DUMMYFUNCTION("""COMPUTED_VALUE"""),1.0)</f>
        <v>1</v>
      </c>
      <c r="G765" s="1" t="str">
        <f>IFERROR(__xludf.DUMMYFUNCTION("""COMPUTED_VALUE"""),"PR006")</f>
        <v>PR006</v>
      </c>
      <c r="H765" s="1" t="str">
        <f>IFERROR(__xludf.DUMMYFUNCTION("""COMPUTED_VALUE"""),"VD039")</f>
        <v>VD039</v>
      </c>
      <c r="I765" s="1">
        <f>IFERROR(__xludf.DUMMYFUNCTION("""COMPUTED_VALUE"""),10.0)</f>
        <v>10</v>
      </c>
      <c r="J765" s="1">
        <f>IFERROR(__xludf.DUMMYFUNCTION("""COMPUTED_VALUE"""),402.99)</f>
        <v>402.99</v>
      </c>
      <c r="K765" s="1">
        <f>IFERROR(__xludf.DUMMYFUNCTION("""COMPUTED_VALUE"""),402.99)</f>
        <v>402.99</v>
      </c>
    </row>
    <row r="766">
      <c r="A766" s="1">
        <f>IFERROR(__xludf.DUMMYFUNCTION("""COMPUTED_VALUE"""),2000.0)</f>
        <v>2000</v>
      </c>
      <c r="B766" s="1">
        <f>IFERROR(__xludf.DUMMYFUNCTION("""COMPUTED_VALUE"""),184006.0)</f>
        <v>184006</v>
      </c>
      <c r="C766" s="1">
        <f>IFERROR(__xludf.DUMMYFUNCTION("""COMPUTED_VALUE"""),2026.0)</f>
        <v>2026</v>
      </c>
      <c r="D766" s="1">
        <f>IFERROR(__xludf.DUMMYFUNCTION("""COMPUTED_VALUE"""),46239.0)</f>
        <v>46239</v>
      </c>
      <c r="E766" s="1" t="str">
        <f>IFERROR(__xludf.DUMMYFUNCTION("""COMPUTED_VALUE"""),"VF")</f>
        <v>VF</v>
      </c>
      <c r="F766" s="1">
        <f>IFERROR(__xludf.DUMMYFUNCTION("""COMPUTED_VALUE"""),2.0)</f>
        <v>2</v>
      </c>
      <c r="G766" s="1" t="str">
        <f>IFERROR(__xludf.DUMMYFUNCTION("""COMPUTED_VALUE"""),"PR014")</f>
        <v>PR014</v>
      </c>
      <c r="H766" s="1" t="str">
        <f>IFERROR(__xludf.DUMMYFUNCTION("""COMPUTED_VALUE"""),"VD039")</f>
        <v>VD039</v>
      </c>
      <c r="I766" s="1">
        <f>IFERROR(__xludf.DUMMYFUNCTION("""COMPUTED_VALUE"""),7.0)</f>
        <v>7</v>
      </c>
      <c r="J766" s="1">
        <f>IFERROR(__xludf.DUMMYFUNCTION("""COMPUTED_VALUE"""),304.44)</f>
        <v>304.44</v>
      </c>
      <c r="K766" s="1">
        <f>IFERROR(__xludf.DUMMYFUNCTION("""COMPUTED_VALUE"""),304.44)</f>
        <v>304.44</v>
      </c>
    </row>
    <row r="767">
      <c r="A767" s="1">
        <f>IFERROR(__xludf.DUMMYFUNCTION("""COMPUTED_VALUE"""),1000.0)</f>
        <v>1000</v>
      </c>
      <c r="B767" s="1">
        <f>IFERROR(__xludf.DUMMYFUNCTION("""COMPUTED_VALUE"""),184006.0)</f>
        <v>184006</v>
      </c>
      <c r="C767" s="1">
        <f>IFERROR(__xludf.DUMMYFUNCTION("""COMPUTED_VALUE"""),2026.0)</f>
        <v>2026</v>
      </c>
      <c r="D767" s="1">
        <f>IFERROR(__xludf.DUMMYFUNCTION("""COMPUTED_VALUE"""),46238.0)</f>
        <v>46238</v>
      </c>
      <c r="E767" s="1" t="str">
        <f>IFERROR(__xludf.DUMMYFUNCTION("""COMPUTED_VALUE"""),"VF")</f>
        <v>VF</v>
      </c>
      <c r="F767" s="1">
        <f>IFERROR(__xludf.DUMMYFUNCTION("""COMPUTED_VALUE"""),3.0)</f>
        <v>3</v>
      </c>
      <c r="G767" s="1" t="str">
        <f>IFERROR(__xludf.DUMMYFUNCTION("""COMPUTED_VALUE"""),"PR033")</f>
        <v>PR033</v>
      </c>
      <c r="H767" s="1" t="str">
        <f>IFERROR(__xludf.DUMMYFUNCTION("""COMPUTED_VALUE"""),"VD042")</f>
        <v>VD042</v>
      </c>
      <c r="I767" s="1">
        <f>IFERROR(__xludf.DUMMYFUNCTION("""COMPUTED_VALUE"""),9.0)</f>
        <v>9</v>
      </c>
      <c r="J767" s="1">
        <f>IFERROR(__xludf.DUMMYFUNCTION("""COMPUTED_VALUE"""),2409.27)</f>
        <v>2409.27</v>
      </c>
      <c r="K767" s="1">
        <f>IFERROR(__xludf.DUMMYFUNCTION("""COMPUTED_VALUE"""),2409.27)</f>
        <v>2409.27</v>
      </c>
    </row>
    <row r="768">
      <c r="A768" s="1">
        <f>IFERROR(__xludf.DUMMYFUNCTION("""COMPUTED_VALUE"""),1000.0)</f>
        <v>1000</v>
      </c>
      <c r="B768" s="1">
        <f>IFERROR(__xludf.DUMMYFUNCTION("""COMPUTED_VALUE"""),184006.0)</f>
        <v>184006</v>
      </c>
      <c r="C768" s="1">
        <f>IFERROR(__xludf.DUMMYFUNCTION("""COMPUTED_VALUE"""),2026.0)</f>
        <v>2026</v>
      </c>
      <c r="D768" s="1">
        <f>IFERROR(__xludf.DUMMYFUNCTION("""COMPUTED_VALUE"""),46238.0)</f>
        <v>46238</v>
      </c>
      <c r="E768" s="1" t="str">
        <f>IFERROR(__xludf.DUMMYFUNCTION("""COMPUTED_VALUE"""),"VF")</f>
        <v>VF</v>
      </c>
      <c r="F768" s="1">
        <f>IFERROR(__xludf.DUMMYFUNCTION("""COMPUTED_VALUE"""),4.0)</f>
        <v>4</v>
      </c>
      <c r="G768" s="1" t="str">
        <f>IFERROR(__xludf.DUMMYFUNCTION("""COMPUTED_VALUE"""),"PR017")</f>
        <v>PR017</v>
      </c>
      <c r="H768" s="1" t="str">
        <f>IFERROR(__xludf.DUMMYFUNCTION("""COMPUTED_VALUE"""),"VD022")</f>
        <v>VD022</v>
      </c>
      <c r="I768" s="1">
        <f>IFERROR(__xludf.DUMMYFUNCTION("""COMPUTED_VALUE"""),2.0)</f>
        <v>2</v>
      </c>
      <c r="J768" s="1">
        <f>IFERROR(__xludf.DUMMYFUNCTION("""COMPUTED_VALUE"""),63.39)</f>
        <v>63.39</v>
      </c>
      <c r="K768" s="1">
        <f>IFERROR(__xludf.DUMMYFUNCTION("""COMPUTED_VALUE"""),63.39)</f>
        <v>63.39</v>
      </c>
    </row>
    <row r="769">
      <c r="A769" s="1">
        <f>IFERROR(__xludf.DUMMYFUNCTION("""COMPUTED_VALUE"""),1000.0)</f>
        <v>1000</v>
      </c>
      <c r="B769" s="1">
        <f>IFERROR(__xludf.DUMMYFUNCTION("""COMPUTED_VALUE"""),184007.0)</f>
        <v>184007</v>
      </c>
      <c r="C769" s="1">
        <f>IFERROR(__xludf.DUMMYFUNCTION("""COMPUTED_VALUE"""),2026.0)</f>
        <v>2026</v>
      </c>
      <c r="D769" s="1">
        <f>IFERROR(__xludf.DUMMYFUNCTION("""COMPUTED_VALUE"""),46238.0)</f>
        <v>46238</v>
      </c>
      <c r="E769" s="1" t="str">
        <f>IFERROR(__xludf.DUMMYFUNCTION("""COMPUTED_VALUE"""),"VF")</f>
        <v>VF</v>
      </c>
      <c r="F769" s="1">
        <f>IFERROR(__xludf.DUMMYFUNCTION("""COMPUTED_VALUE"""),1.0)</f>
        <v>1</v>
      </c>
      <c r="G769" s="1" t="str">
        <f>IFERROR(__xludf.DUMMYFUNCTION("""COMPUTED_VALUE"""),"PR038")</f>
        <v>PR038</v>
      </c>
      <c r="H769" s="1" t="str">
        <f>IFERROR(__xludf.DUMMYFUNCTION("""COMPUTED_VALUE"""),"VD010")</f>
        <v>VD010</v>
      </c>
      <c r="I769" s="1">
        <f>IFERROR(__xludf.DUMMYFUNCTION("""COMPUTED_VALUE"""),7.0)</f>
        <v>7</v>
      </c>
      <c r="J769" s="1">
        <f>IFERROR(__xludf.DUMMYFUNCTION("""COMPUTED_VALUE"""),1070.32)</f>
        <v>1070.32</v>
      </c>
      <c r="K769" s="1">
        <f>IFERROR(__xludf.DUMMYFUNCTION("""COMPUTED_VALUE"""),1070.32)</f>
        <v>1070.32</v>
      </c>
    </row>
    <row r="770">
      <c r="A770" s="1">
        <f>IFERROR(__xludf.DUMMYFUNCTION("""COMPUTED_VALUE"""),1000.0)</f>
        <v>1000</v>
      </c>
      <c r="B770" s="1">
        <f>IFERROR(__xludf.DUMMYFUNCTION("""COMPUTED_VALUE"""),184008.0)</f>
        <v>184008</v>
      </c>
      <c r="C770" s="1">
        <f>IFERROR(__xludf.DUMMYFUNCTION("""COMPUTED_VALUE"""),2026.0)</f>
        <v>2026</v>
      </c>
      <c r="D770" s="1">
        <f>IFERROR(__xludf.DUMMYFUNCTION("""COMPUTED_VALUE"""),46238.0)</f>
        <v>46238</v>
      </c>
      <c r="E770" s="1" t="str">
        <f>IFERROR(__xludf.DUMMYFUNCTION("""COMPUTED_VALUE"""),"VF")</f>
        <v>VF</v>
      </c>
      <c r="F770" s="1">
        <f>IFERROR(__xludf.DUMMYFUNCTION("""COMPUTED_VALUE"""),1.0)</f>
        <v>1</v>
      </c>
      <c r="G770" s="1" t="str">
        <f>IFERROR(__xludf.DUMMYFUNCTION("""COMPUTED_VALUE"""),"PR020")</f>
        <v>PR020</v>
      </c>
      <c r="H770" s="1" t="str">
        <f>IFERROR(__xludf.DUMMYFUNCTION("""COMPUTED_VALUE"""),"VD038")</f>
        <v>VD038</v>
      </c>
      <c r="I770" s="1">
        <f>IFERROR(__xludf.DUMMYFUNCTION("""COMPUTED_VALUE"""),5.0)</f>
        <v>5</v>
      </c>
      <c r="J770" s="1">
        <f>IFERROR(__xludf.DUMMYFUNCTION("""COMPUTED_VALUE"""),1589.47)</f>
        <v>1589.47</v>
      </c>
      <c r="K770" s="1">
        <f>IFERROR(__xludf.DUMMYFUNCTION("""COMPUTED_VALUE"""),1589.47)</f>
        <v>1589.47</v>
      </c>
    </row>
    <row r="771">
      <c r="A771" s="1">
        <f>IFERROR(__xludf.DUMMYFUNCTION("""COMPUTED_VALUE"""),1000.0)</f>
        <v>1000</v>
      </c>
      <c r="B771" s="1">
        <f>IFERROR(__xludf.DUMMYFUNCTION("""COMPUTED_VALUE"""),184009.0)</f>
        <v>184009</v>
      </c>
      <c r="C771" s="1">
        <f>IFERROR(__xludf.DUMMYFUNCTION("""COMPUTED_VALUE"""),2026.0)</f>
        <v>2026</v>
      </c>
      <c r="D771" s="1">
        <f>IFERROR(__xludf.DUMMYFUNCTION("""COMPUTED_VALUE"""),46238.0)</f>
        <v>46238</v>
      </c>
      <c r="E771" s="1" t="str">
        <f>IFERROR(__xludf.DUMMYFUNCTION("""COMPUTED_VALUE"""),"VF")</f>
        <v>VF</v>
      </c>
      <c r="F771" s="1">
        <f>IFERROR(__xludf.DUMMYFUNCTION("""COMPUTED_VALUE"""),1.0)</f>
        <v>1</v>
      </c>
      <c r="G771" s="1" t="str">
        <f>IFERROR(__xludf.DUMMYFUNCTION("""COMPUTED_VALUE"""),"PR005")</f>
        <v>PR005</v>
      </c>
      <c r="H771" s="1" t="str">
        <f>IFERROR(__xludf.DUMMYFUNCTION("""COMPUTED_VALUE"""),"VD047")</f>
        <v>VD047</v>
      </c>
      <c r="I771" s="1">
        <f>IFERROR(__xludf.DUMMYFUNCTION("""COMPUTED_VALUE"""),3.0)</f>
        <v>3</v>
      </c>
      <c r="J771" s="1">
        <f>IFERROR(__xludf.DUMMYFUNCTION("""COMPUTED_VALUE"""),849.87)</f>
        <v>849.87</v>
      </c>
      <c r="K771" s="1">
        <f>IFERROR(__xludf.DUMMYFUNCTION("""COMPUTED_VALUE"""),849.87)</f>
        <v>849.87</v>
      </c>
    </row>
    <row r="772">
      <c r="A772" s="1">
        <f>IFERROR(__xludf.DUMMYFUNCTION("""COMPUTED_VALUE"""),1000.0)</f>
        <v>1000</v>
      </c>
      <c r="B772" s="1">
        <f>IFERROR(__xludf.DUMMYFUNCTION("""COMPUTED_VALUE"""),184010.0)</f>
        <v>184010</v>
      </c>
      <c r="C772" s="1">
        <f>IFERROR(__xludf.DUMMYFUNCTION("""COMPUTED_VALUE"""),2026.0)</f>
        <v>2026</v>
      </c>
      <c r="D772" s="1">
        <f>IFERROR(__xludf.DUMMYFUNCTION("""COMPUTED_VALUE"""),46238.0)</f>
        <v>46238</v>
      </c>
      <c r="E772" s="1" t="str">
        <f>IFERROR(__xludf.DUMMYFUNCTION("""COMPUTED_VALUE"""),"VF")</f>
        <v>VF</v>
      </c>
      <c r="F772" s="1">
        <f>IFERROR(__xludf.DUMMYFUNCTION("""COMPUTED_VALUE"""),1.0)</f>
        <v>1</v>
      </c>
      <c r="G772" s="1" t="str">
        <f>IFERROR(__xludf.DUMMYFUNCTION("""COMPUTED_VALUE"""),"PR058")</f>
        <v>PR058</v>
      </c>
      <c r="H772" s="1" t="str">
        <f>IFERROR(__xludf.DUMMYFUNCTION("""COMPUTED_VALUE"""),"VD014")</f>
        <v>VD014</v>
      </c>
      <c r="I772" s="1">
        <f>IFERROR(__xludf.DUMMYFUNCTION("""COMPUTED_VALUE"""),1.0)</f>
        <v>1</v>
      </c>
      <c r="J772" s="1">
        <f>IFERROR(__xludf.DUMMYFUNCTION("""COMPUTED_VALUE"""),190.8)</f>
        <v>190.8</v>
      </c>
      <c r="K772" s="1">
        <f>IFERROR(__xludf.DUMMYFUNCTION("""COMPUTED_VALUE"""),190.8)</f>
        <v>190.8</v>
      </c>
    </row>
    <row r="773">
      <c r="A773" s="1">
        <f>IFERROR(__xludf.DUMMYFUNCTION("""COMPUTED_VALUE"""),1000.0)</f>
        <v>1000</v>
      </c>
      <c r="B773" s="1">
        <f>IFERROR(__xludf.DUMMYFUNCTION("""COMPUTED_VALUE"""),184011.0)</f>
        <v>184011</v>
      </c>
      <c r="C773" s="1">
        <f>IFERROR(__xludf.DUMMYFUNCTION("""COMPUTED_VALUE"""),2026.0)</f>
        <v>2026</v>
      </c>
      <c r="D773" s="1">
        <f>IFERROR(__xludf.DUMMYFUNCTION("""COMPUTED_VALUE"""),46237.0)</f>
        <v>46237</v>
      </c>
      <c r="E773" s="1" t="str">
        <f>IFERROR(__xludf.DUMMYFUNCTION("""COMPUTED_VALUE"""),"VF")</f>
        <v>VF</v>
      </c>
      <c r="F773" s="1">
        <f>IFERROR(__xludf.DUMMYFUNCTION("""COMPUTED_VALUE"""),1.0)</f>
        <v>1</v>
      </c>
      <c r="G773" s="1" t="str">
        <f>IFERROR(__xludf.DUMMYFUNCTION("""COMPUTED_VALUE"""),"PR033")</f>
        <v>PR033</v>
      </c>
      <c r="H773" s="1" t="str">
        <f>IFERROR(__xludf.DUMMYFUNCTION("""COMPUTED_VALUE"""),"VD049")</f>
        <v>VD049</v>
      </c>
      <c r="I773" s="1">
        <f>IFERROR(__xludf.DUMMYFUNCTION("""COMPUTED_VALUE"""),2.0)</f>
        <v>2</v>
      </c>
      <c r="J773" s="1">
        <f>IFERROR(__xludf.DUMMYFUNCTION("""COMPUTED_VALUE"""),571.78)</f>
        <v>571.78</v>
      </c>
      <c r="K773" s="1">
        <f>IFERROR(__xludf.DUMMYFUNCTION("""COMPUTED_VALUE"""),571.78)</f>
        <v>571.78</v>
      </c>
    </row>
    <row r="774">
      <c r="A774" s="1">
        <f>IFERROR(__xludf.DUMMYFUNCTION("""COMPUTED_VALUE"""),1000.0)</f>
        <v>1000</v>
      </c>
      <c r="B774" s="1">
        <f>IFERROR(__xludf.DUMMYFUNCTION("""COMPUTED_VALUE"""),184012.0)</f>
        <v>184012</v>
      </c>
      <c r="C774" s="1">
        <f>IFERROR(__xludf.DUMMYFUNCTION("""COMPUTED_VALUE"""),2026.0)</f>
        <v>2026</v>
      </c>
      <c r="D774" s="1">
        <f>IFERROR(__xludf.DUMMYFUNCTION("""COMPUTED_VALUE"""),46237.0)</f>
        <v>46237</v>
      </c>
      <c r="E774" s="1" t="str">
        <f>IFERROR(__xludf.DUMMYFUNCTION("""COMPUTED_VALUE"""),"VF")</f>
        <v>VF</v>
      </c>
      <c r="F774" s="1">
        <f>IFERROR(__xludf.DUMMYFUNCTION("""COMPUTED_VALUE"""),1.0)</f>
        <v>1</v>
      </c>
      <c r="G774" s="1" t="str">
        <f>IFERROR(__xludf.DUMMYFUNCTION("""COMPUTED_VALUE"""),"PR049")</f>
        <v>PR049</v>
      </c>
      <c r="H774" s="1" t="str">
        <f>IFERROR(__xludf.DUMMYFUNCTION("""COMPUTED_VALUE"""),"VD047")</f>
        <v>VD047</v>
      </c>
      <c r="I774" s="1">
        <f>IFERROR(__xludf.DUMMYFUNCTION("""COMPUTED_VALUE"""),1.0)</f>
        <v>1</v>
      </c>
      <c r="J774" s="1">
        <f>IFERROR(__xludf.DUMMYFUNCTION("""COMPUTED_VALUE"""),34.55)</f>
        <v>34.55</v>
      </c>
      <c r="K774" s="1">
        <f>IFERROR(__xludf.DUMMYFUNCTION("""COMPUTED_VALUE"""),34.55)</f>
        <v>34.55</v>
      </c>
    </row>
    <row r="775">
      <c r="A775" s="1">
        <f>IFERROR(__xludf.DUMMYFUNCTION("""COMPUTED_VALUE"""),1000.0)</f>
        <v>1000</v>
      </c>
      <c r="B775" s="1">
        <f>IFERROR(__xludf.DUMMYFUNCTION("""COMPUTED_VALUE"""),184012.0)</f>
        <v>184012</v>
      </c>
      <c r="C775" s="1">
        <f>IFERROR(__xludf.DUMMYFUNCTION("""COMPUTED_VALUE"""),2026.0)</f>
        <v>2026</v>
      </c>
      <c r="D775" s="1">
        <f>IFERROR(__xludf.DUMMYFUNCTION("""COMPUTED_VALUE"""),46236.0)</f>
        <v>46236</v>
      </c>
      <c r="E775" s="1" t="str">
        <f>IFERROR(__xludf.DUMMYFUNCTION("""COMPUTED_VALUE"""),"VF")</f>
        <v>VF</v>
      </c>
      <c r="F775" s="1">
        <f>IFERROR(__xludf.DUMMYFUNCTION("""COMPUTED_VALUE"""),2.0)</f>
        <v>2</v>
      </c>
      <c r="G775" s="1" t="str">
        <f>IFERROR(__xludf.DUMMYFUNCTION("""COMPUTED_VALUE"""),"PR028")</f>
        <v>PR028</v>
      </c>
      <c r="H775" s="1" t="str">
        <f>IFERROR(__xludf.DUMMYFUNCTION("""COMPUTED_VALUE"""),"VD024")</f>
        <v>VD024</v>
      </c>
      <c r="I775" s="1">
        <f>IFERROR(__xludf.DUMMYFUNCTION("""COMPUTED_VALUE"""),9.0)</f>
        <v>9</v>
      </c>
      <c r="J775" s="1">
        <f>IFERROR(__xludf.DUMMYFUNCTION("""COMPUTED_VALUE"""),2474.01)</f>
        <v>2474.01</v>
      </c>
      <c r="K775" s="1">
        <f>IFERROR(__xludf.DUMMYFUNCTION("""COMPUTED_VALUE"""),2474.01)</f>
        <v>2474.01</v>
      </c>
    </row>
    <row r="776">
      <c r="A776" s="1">
        <f>IFERROR(__xludf.DUMMYFUNCTION("""COMPUTED_VALUE"""),1000.0)</f>
        <v>1000</v>
      </c>
      <c r="B776" s="1">
        <f>IFERROR(__xludf.DUMMYFUNCTION("""COMPUTED_VALUE"""),184012.0)</f>
        <v>184012</v>
      </c>
      <c r="C776" s="1">
        <f>IFERROR(__xludf.DUMMYFUNCTION("""COMPUTED_VALUE"""),2026.0)</f>
        <v>2026</v>
      </c>
      <c r="D776" s="1">
        <f>IFERROR(__xludf.DUMMYFUNCTION("""COMPUTED_VALUE"""),46236.0)</f>
        <v>46236</v>
      </c>
      <c r="E776" s="1" t="str">
        <f>IFERROR(__xludf.DUMMYFUNCTION("""COMPUTED_VALUE"""),"VF")</f>
        <v>VF</v>
      </c>
      <c r="F776" s="1">
        <f>IFERROR(__xludf.DUMMYFUNCTION("""COMPUTED_VALUE"""),3.0)</f>
        <v>3</v>
      </c>
      <c r="G776" s="1" t="str">
        <f>IFERROR(__xludf.DUMMYFUNCTION("""COMPUTED_VALUE"""),"PR034")</f>
        <v>PR034</v>
      </c>
      <c r="H776" s="1" t="str">
        <f>IFERROR(__xludf.DUMMYFUNCTION("""COMPUTED_VALUE"""),"VD029")</f>
        <v>VD029</v>
      </c>
      <c r="I776" s="1">
        <f>IFERROR(__xludf.DUMMYFUNCTION("""COMPUTED_VALUE"""),8.0)</f>
        <v>8</v>
      </c>
      <c r="J776" s="1">
        <f>IFERROR(__xludf.DUMMYFUNCTION("""COMPUTED_VALUE"""),769.54)</f>
        <v>769.54</v>
      </c>
      <c r="K776" s="1">
        <f>IFERROR(__xludf.DUMMYFUNCTION("""COMPUTED_VALUE"""),769.54)</f>
        <v>769.54</v>
      </c>
    </row>
    <row r="777">
      <c r="A777" s="1">
        <f>IFERROR(__xludf.DUMMYFUNCTION("""COMPUTED_VALUE"""),1000.0)</f>
        <v>1000</v>
      </c>
      <c r="B777" s="1">
        <f>IFERROR(__xludf.DUMMYFUNCTION("""COMPUTED_VALUE"""),184013.0)</f>
        <v>184013</v>
      </c>
      <c r="C777" s="1">
        <f>IFERROR(__xludf.DUMMYFUNCTION("""COMPUTED_VALUE"""),2026.0)</f>
        <v>2026</v>
      </c>
      <c r="D777" s="1">
        <f>IFERROR(__xludf.DUMMYFUNCTION("""COMPUTED_VALUE"""),46236.0)</f>
        <v>46236</v>
      </c>
      <c r="E777" s="1" t="str">
        <f>IFERROR(__xludf.DUMMYFUNCTION("""COMPUTED_VALUE"""),"VF")</f>
        <v>VF</v>
      </c>
      <c r="F777" s="1">
        <f>IFERROR(__xludf.DUMMYFUNCTION("""COMPUTED_VALUE"""),1.0)</f>
        <v>1</v>
      </c>
      <c r="G777" s="1" t="str">
        <f>IFERROR(__xludf.DUMMYFUNCTION("""COMPUTED_VALUE"""),"PR057")</f>
        <v>PR057</v>
      </c>
      <c r="H777" s="1" t="str">
        <f>IFERROR(__xludf.DUMMYFUNCTION("""COMPUTED_VALUE"""),"VD024")</f>
        <v>VD024</v>
      </c>
      <c r="I777" s="1">
        <f>IFERROR(__xludf.DUMMYFUNCTION("""COMPUTED_VALUE"""),8.0)</f>
        <v>8</v>
      </c>
      <c r="J777" s="1">
        <f>IFERROR(__xludf.DUMMYFUNCTION("""COMPUTED_VALUE"""),726.39)</f>
        <v>726.39</v>
      </c>
      <c r="K777" s="1">
        <f>IFERROR(__xludf.DUMMYFUNCTION("""COMPUTED_VALUE"""),726.39)</f>
        <v>726.39</v>
      </c>
    </row>
    <row r="778">
      <c r="A778" s="1">
        <f>IFERROR(__xludf.DUMMYFUNCTION("""COMPUTED_VALUE"""),1000.0)</f>
        <v>1000</v>
      </c>
      <c r="B778" s="1">
        <f>IFERROR(__xludf.DUMMYFUNCTION("""COMPUTED_VALUE"""),184014.0)</f>
        <v>184014</v>
      </c>
      <c r="C778" s="1">
        <f>IFERROR(__xludf.DUMMYFUNCTION("""COMPUTED_VALUE"""),2026.0)</f>
        <v>2026</v>
      </c>
      <c r="D778" s="1">
        <f>IFERROR(__xludf.DUMMYFUNCTION("""COMPUTED_VALUE"""),46236.0)</f>
        <v>46236</v>
      </c>
      <c r="E778" s="1" t="str">
        <f>IFERROR(__xludf.DUMMYFUNCTION("""COMPUTED_VALUE"""),"VF")</f>
        <v>VF</v>
      </c>
      <c r="F778" s="1">
        <f>IFERROR(__xludf.DUMMYFUNCTION("""COMPUTED_VALUE"""),1.0)</f>
        <v>1</v>
      </c>
      <c r="G778" s="1" t="str">
        <f>IFERROR(__xludf.DUMMYFUNCTION("""COMPUTED_VALUE"""),"PR007")</f>
        <v>PR007</v>
      </c>
      <c r="H778" s="1" t="str">
        <f>IFERROR(__xludf.DUMMYFUNCTION("""COMPUTED_VALUE"""),"VD048")</f>
        <v>VD048</v>
      </c>
      <c r="I778" s="1">
        <f>IFERROR(__xludf.DUMMYFUNCTION("""COMPUTED_VALUE"""),14.0)</f>
        <v>14</v>
      </c>
      <c r="J778" s="1">
        <f>IFERROR(__xludf.DUMMYFUNCTION("""COMPUTED_VALUE"""),1322.86)</f>
        <v>1322.86</v>
      </c>
      <c r="K778" s="1">
        <f>IFERROR(__xludf.DUMMYFUNCTION("""COMPUTED_VALUE"""),1322.86)</f>
        <v>1322.86</v>
      </c>
    </row>
    <row r="779">
      <c r="A779" s="1">
        <f>IFERROR(__xludf.DUMMYFUNCTION("""COMPUTED_VALUE"""),2000.0)</f>
        <v>2000</v>
      </c>
      <c r="B779" s="1">
        <f>IFERROR(__xludf.DUMMYFUNCTION("""COMPUTED_VALUE"""),184015.0)</f>
        <v>184015</v>
      </c>
      <c r="C779" s="1">
        <f>IFERROR(__xludf.DUMMYFUNCTION("""COMPUTED_VALUE"""),2026.0)</f>
        <v>2026</v>
      </c>
      <c r="D779" s="1">
        <f>IFERROR(__xludf.DUMMYFUNCTION("""COMPUTED_VALUE"""),46236.0)</f>
        <v>46236</v>
      </c>
      <c r="E779" s="1" t="str">
        <f>IFERROR(__xludf.DUMMYFUNCTION("""COMPUTED_VALUE"""),"VF")</f>
        <v>VF</v>
      </c>
      <c r="F779" s="1">
        <f>IFERROR(__xludf.DUMMYFUNCTION("""COMPUTED_VALUE"""),1.0)</f>
        <v>1</v>
      </c>
      <c r="G779" s="1" t="str">
        <f>IFERROR(__xludf.DUMMYFUNCTION("""COMPUTED_VALUE"""),"PR054")</f>
        <v>PR054</v>
      </c>
      <c r="H779" s="1" t="str">
        <f>IFERROR(__xludf.DUMMYFUNCTION("""COMPUTED_VALUE"""),"VD036")</f>
        <v>VD036</v>
      </c>
      <c r="I779" s="1">
        <f>IFERROR(__xludf.DUMMYFUNCTION("""COMPUTED_VALUE"""),6.0)</f>
        <v>6</v>
      </c>
      <c r="J779" s="1">
        <f>IFERROR(__xludf.DUMMYFUNCTION("""COMPUTED_VALUE"""),317.36)</f>
        <v>317.36</v>
      </c>
      <c r="K779" s="1">
        <f>IFERROR(__xludf.DUMMYFUNCTION("""COMPUTED_VALUE"""),317.36)</f>
        <v>317.36</v>
      </c>
    </row>
    <row r="780">
      <c r="A780" s="1">
        <f>IFERROR(__xludf.DUMMYFUNCTION("""COMPUTED_VALUE"""),1000.0)</f>
        <v>1000</v>
      </c>
      <c r="B780" s="1">
        <f>IFERROR(__xludf.DUMMYFUNCTION("""COMPUTED_VALUE"""),184016.0)</f>
        <v>184016</v>
      </c>
      <c r="C780" s="1">
        <f>IFERROR(__xludf.DUMMYFUNCTION("""COMPUTED_VALUE"""),2026.0)</f>
        <v>2026</v>
      </c>
      <c r="D780" s="1">
        <f>IFERROR(__xludf.DUMMYFUNCTION("""COMPUTED_VALUE"""),46236.0)</f>
        <v>46236</v>
      </c>
      <c r="E780" s="1" t="str">
        <f>IFERROR(__xludf.DUMMYFUNCTION("""COMPUTED_VALUE"""),"VF")</f>
        <v>VF</v>
      </c>
      <c r="F780" s="1">
        <f>IFERROR(__xludf.DUMMYFUNCTION("""COMPUTED_VALUE"""),1.0)</f>
        <v>1</v>
      </c>
      <c r="G780" s="1" t="str">
        <f>IFERROR(__xludf.DUMMYFUNCTION("""COMPUTED_VALUE"""),"PR026")</f>
        <v>PR026</v>
      </c>
      <c r="H780" s="1" t="str">
        <f>IFERROR(__xludf.DUMMYFUNCTION("""COMPUTED_VALUE"""),"VD016")</f>
        <v>VD016</v>
      </c>
      <c r="I780" s="1">
        <f>IFERROR(__xludf.DUMMYFUNCTION("""COMPUTED_VALUE"""),6.0)</f>
        <v>6</v>
      </c>
      <c r="J780" s="1">
        <f>IFERROR(__xludf.DUMMYFUNCTION("""COMPUTED_VALUE"""),2183.38)</f>
        <v>2183.38</v>
      </c>
      <c r="K780" s="1">
        <f>IFERROR(__xludf.DUMMYFUNCTION("""COMPUTED_VALUE"""),2183.38)</f>
        <v>2183.38</v>
      </c>
    </row>
    <row r="781">
      <c r="A781" s="1">
        <f>IFERROR(__xludf.DUMMYFUNCTION("""COMPUTED_VALUE"""),2000.0)</f>
        <v>2000</v>
      </c>
      <c r="B781" s="1">
        <f>IFERROR(__xludf.DUMMYFUNCTION("""COMPUTED_VALUE"""),184017.0)</f>
        <v>184017</v>
      </c>
      <c r="C781" s="1">
        <f>IFERROR(__xludf.DUMMYFUNCTION("""COMPUTED_VALUE"""),2026.0)</f>
        <v>2026</v>
      </c>
      <c r="D781" s="1">
        <f>IFERROR(__xludf.DUMMYFUNCTION("""COMPUTED_VALUE"""),46236.0)</f>
        <v>46236</v>
      </c>
      <c r="E781" s="1" t="str">
        <f>IFERROR(__xludf.DUMMYFUNCTION("""COMPUTED_VALUE"""),"VF")</f>
        <v>VF</v>
      </c>
      <c r="F781" s="1">
        <f>IFERROR(__xludf.DUMMYFUNCTION("""COMPUTED_VALUE"""),1.0)</f>
        <v>1</v>
      </c>
      <c r="G781" s="1" t="str">
        <f>IFERROR(__xludf.DUMMYFUNCTION("""COMPUTED_VALUE"""),"PR024")</f>
        <v>PR024</v>
      </c>
      <c r="H781" s="1" t="str">
        <f>IFERROR(__xludf.DUMMYFUNCTION("""COMPUTED_VALUE"""),"VD037")</f>
        <v>VD037</v>
      </c>
      <c r="I781" s="1">
        <f>IFERROR(__xludf.DUMMYFUNCTION("""COMPUTED_VALUE"""),5.0)</f>
        <v>5</v>
      </c>
      <c r="J781" s="1">
        <f>IFERROR(__xludf.DUMMYFUNCTION("""COMPUTED_VALUE"""),1429.45)</f>
        <v>1429.45</v>
      </c>
      <c r="K781" s="1">
        <f>IFERROR(__xludf.DUMMYFUNCTION("""COMPUTED_VALUE"""),1429.45)</f>
        <v>1429.45</v>
      </c>
    </row>
    <row r="782">
      <c r="A782" s="1">
        <f>IFERROR(__xludf.DUMMYFUNCTION("""COMPUTED_VALUE"""),2000.0)</f>
        <v>2000</v>
      </c>
      <c r="B782" s="1">
        <f>IFERROR(__xludf.DUMMYFUNCTION("""COMPUTED_VALUE"""),184017.0)</f>
        <v>184017</v>
      </c>
      <c r="C782" s="1">
        <f>IFERROR(__xludf.DUMMYFUNCTION("""COMPUTED_VALUE"""),2026.0)</f>
        <v>2026</v>
      </c>
      <c r="D782" s="1">
        <f>IFERROR(__xludf.DUMMYFUNCTION("""COMPUTED_VALUE"""),46236.0)</f>
        <v>46236</v>
      </c>
      <c r="E782" s="1" t="str">
        <f>IFERROR(__xludf.DUMMYFUNCTION("""COMPUTED_VALUE"""),"VF")</f>
        <v>VF</v>
      </c>
      <c r="F782" s="1">
        <f>IFERROR(__xludf.DUMMYFUNCTION("""COMPUTED_VALUE"""),2.0)</f>
        <v>2</v>
      </c>
      <c r="G782" s="1" t="str">
        <f>IFERROR(__xludf.DUMMYFUNCTION("""COMPUTED_VALUE"""),"PR044")</f>
        <v>PR044</v>
      </c>
      <c r="H782" s="1" t="str">
        <f>IFERROR(__xludf.DUMMYFUNCTION("""COMPUTED_VALUE"""),"VD045")</f>
        <v>VD045</v>
      </c>
      <c r="I782" s="1">
        <f>IFERROR(__xludf.DUMMYFUNCTION("""COMPUTED_VALUE"""),8.0)</f>
        <v>8</v>
      </c>
      <c r="J782" s="1">
        <f>IFERROR(__xludf.DUMMYFUNCTION("""COMPUTED_VALUE"""),620.6)</f>
        <v>620.6</v>
      </c>
      <c r="K782" s="1">
        <f>IFERROR(__xludf.DUMMYFUNCTION("""COMPUTED_VALUE"""),620.6)</f>
        <v>620.6</v>
      </c>
    </row>
    <row r="783">
      <c r="A783" s="1">
        <f>IFERROR(__xludf.DUMMYFUNCTION("""COMPUTED_VALUE"""),1000.0)</f>
        <v>1000</v>
      </c>
      <c r="B783" s="1">
        <f>IFERROR(__xludf.DUMMYFUNCTION("""COMPUTED_VALUE"""),184017.0)</f>
        <v>184017</v>
      </c>
      <c r="C783" s="1">
        <f>IFERROR(__xludf.DUMMYFUNCTION("""COMPUTED_VALUE"""),2026.0)</f>
        <v>2026</v>
      </c>
      <c r="D783" s="1">
        <f>IFERROR(__xludf.DUMMYFUNCTION("""COMPUTED_VALUE"""),46235.0)</f>
        <v>46235</v>
      </c>
      <c r="E783" s="1" t="str">
        <f>IFERROR(__xludf.DUMMYFUNCTION("""COMPUTED_VALUE"""),"VF")</f>
        <v>VF</v>
      </c>
      <c r="F783" s="1">
        <f>IFERROR(__xludf.DUMMYFUNCTION("""COMPUTED_VALUE"""),3.0)</f>
        <v>3</v>
      </c>
      <c r="G783" s="1" t="str">
        <f>IFERROR(__xludf.DUMMYFUNCTION("""COMPUTED_VALUE"""),"PR045")</f>
        <v>PR045</v>
      </c>
      <c r="H783" s="1" t="str">
        <f>IFERROR(__xludf.DUMMYFUNCTION("""COMPUTED_VALUE"""),"VD011")</f>
        <v>VD011</v>
      </c>
      <c r="I783" s="1">
        <f>IFERROR(__xludf.DUMMYFUNCTION("""COMPUTED_VALUE"""),12.0)</f>
        <v>12</v>
      </c>
      <c r="J783" s="1">
        <f>IFERROR(__xludf.DUMMYFUNCTION("""COMPUTED_VALUE"""),887.4)</f>
        <v>887.4</v>
      </c>
      <c r="K783" s="1">
        <f>IFERROR(__xludf.DUMMYFUNCTION("""COMPUTED_VALUE"""),887.4)</f>
        <v>887.4</v>
      </c>
    </row>
    <row r="784">
      <c r="A784" s="1">
        <f>IFERROR(__xludf.DUMMYFUNCTION("""COMPUTED_VALUE"""),1000.0)</f>
        <v>1000</v>
      </c>
      <c r="B784" s="1">
        <f>IFERROR(__xludf.DUMMYFUNCTION("""COMPUTED_VALUE"""),184017.0)</f>
        <v>184017</v>
      </c>
      <c r="C784" s="1">
        <f>IFERROR(__xludf.DUMMYFUNCTION("""COMPUTED_VALUE"""),2026.0)</f>
        <v>2026</v>
      </c>
      <c r="D784" s="1">
        <f>IFERROR(__xludf.DUMMYFUNCTION("""COMPUTED_VALUE"""),46235.0)</f>
        <v>46235</v>
      </c>
      <c r="E784" s="1" t="str">
        <f>IFERROR(__xludf.DUMMYFUNCTION("""COMPUTED_VALUE"""),"VF")</f>
        <v>VF</v>
      </c>
      <c r="F784" s="1">
        <f>IFERROR(__xludf.DUMMYFUNCTION("""COMPUTED_VALUE"""),4.0)</f>
        <v>4</v>
      </c>
      <c r="G784" s="1" t="str">
        <f>IFERROR(__xludf.DUMMYFUNCTION("""COMPUTED_VALUE"""),"PR060")</f>
        <v>PR060</v>
      </c>
      <c r="H784" s="1" t="str">
        <f>IFERROR(__xludf.DUMMYFUNCTION("""COMPUTED_VALUE"""),"VD037")</f>
        <v>VD037</v>
      </c>
      <c r="I784" s="1">
        <f>IFERROR(__xludf.DUMMYFUNCTION("""COMPUTED_VALUE"""),8.0)</f>
        <v>8</v>
      </c>
      <c r="J784" s="1">
        <f>IFERROR(__xludf.DUMMYFUNCTION("""COMPUTED_VALUE"""),1483.2)</f>
        <v>1483.2</v>
      </c>
      <c r="K784" s="1">
        <f>IFERROR(__xludf.DUMMYFUNCTION("""COMPUTED_VALUE"""),1483.2)</f>
        <v>1483.2</v>
      </c>
    </row>
    <row r="785">
      <c r="A785" s="1">
        <f>IFERROR(__xludf.DUMMYFUNCTION("""COMPUTED_VALUE"""),1000.0)</f>
        <v>1000</v>
      </c>
      <c r="B785" s="1">
        <f>IFERROR(__xludf.DUMMYFUNCTION("""COMPUTED_VALUE"""),184018.0)</f>
        <v>184018</v>
      </c>
      <c r="C785" s="1">
        <f>IFERROR(__xludf.DUMMYFUNCTION("""COMPUTED_VALUE"""),2026.0)</f>
        <v>2026</v>
      </c>
      <c r="D785" s="1">
        <f>IFERROR(__xludf.DUMMYFUNCTION("""COMPUTED_VALUE"""),46234.0)</f>
        <v>46234</v>
      </c>
      <c r="E785" s="1" t="str">
        <f>IFERROR(__xludf.DUMMYFUNCTION("""COMPUTED_VALUE"""),"VF")</f>
        <v>VF</v>
      </c>
      <c r="F785" s="1">
        <f>IFERROR(__xludf.DUMMYFUNCTION("""COMPUTED_VALUE"""),1.0)</f>
        <v>1</v>
      </c>
      <c r="G785" s="1" t="str">
        <f>IFERROR(__xludf.DUMMYFUNCTION("""COMPUTED_VALUE"""),"PR024")</f>
        <v>PR024</v>
      </c>
      <c r="H785" s="1" t="str">
        <f>IFERROR(__xludf.DUMMYFUNCTION("""COMPUTED_VALUE"""),"VD048")</f>
        <v>VD048</v>
      </c>
      <c r="I785" s="1">
        <f>IFERROR(__xludf.DUMMYFUNCTION("""COMPUTED_VALUE"""),2.0)</f>
        <v>2</v>
      </c>
      <c r="J785" s="1">
        <f>IFERROR(__xludf.DUMMYFUNCTION("""COMPUTED_VALUE"""),525.0)</f>
        <v>525</v>
      </c>
      <c r="K785" s="1">
        <f>IFERROR(__xludf.DUMMYFUNCTION("""COMPUTED_VALUE"""),525.0)</f>
        <v>525</v>
      </c>
    </row>
    <row r="786">
      <c r="A786" s="1">
        <f>IFERROR(__xludf.DUMMYFUNCTION("""COMPUTED_VALUE"""),1000.0)</f>
        <v>1000</v>
      </c>
      <c r="B786" s="1">
        <f>IFERROR(__xludf.DUMMYFUNCTION("""COMPUTED_VALUE"""),184018.0)</f>
        <v>184018</v>
      </c>
      <c r="C786" s="1">
        <f>IFERROR(__xludf.DUMMYFUNCTION("""COMPUTED_VALUE"""),2026.0)</f>
        <v>2026</v>
      </c>
      <c r="D786" s="1">
        <f>IFERROR(__xludf.DUMMYFUNCTION("""COMPUTED_VALUE"""),46234.0)</f>
        <v>46234</v>
      </c>
      <c r="E786" s="1" t="str">
        <f>IFERROR(__xludf.DUMMYFUNCTION("""COMPUTED_VALUE"""),"VF")</f>
        <v>VF</v>
      </c>
      <c r="F786" s="1">
        <f>IFERROR(__xludf.DUMMYFUNCTION("""COMPUTED_VALUE"""),2.0)</f>
        <v>2</v>
      </c>
      <c r="G786" s="1" t="str">
        <f>IFERROR(__xludf.DUMMYFUNCTION("""COMPUTED_VALUE"""),"PR056")</f>
        <v>PR056</v>
      </c>
      <c r="H786" s="1" t="str">
        <f>IFERROR(__xludf.DUMMYFUNCTION("""COMPUTED_VALUE"""),"VD038")</f>
        <v>VD038</v>
      </c>
      <c r="I786" s="1">
        <f>IFERROR(__xludf.DUMMYFUNCTION("""COMPUTED_VALUE"""),9.0)</f>
        <v>9</v>
      </c>
      <c r="J786" s="1">
        <f>IFERROR(__xludf.DUMMYFUNCTION("""COMPUTED_VALUE"""),825.28)</f>
        <v>825.28</v>
      </c>
      <c r="K786" s="1">
        <f>IFERROR(__xludf.DUMMYFUNCTION("""COMPUTED_VALUE"""),825.28)</f>
        <v>825.28</v>
      </c>
    </row>
    <row r="787">
      <c r="A787" s="1">
        <f>IFERROR(__xludf.DUMMYFUNCTION("""COMPUTED_VALUE"""),1000.0)</f>
        <v>1000</v>
      </c>
      <c r="B787" s="1">
        <f>IFERROR(__xludf.DUMMYFUNCTION("""COMPUTED_VALUE"""),184019.0)</f>
        <v>184019</v>
      </c>
      <c r="C787" s="1">
        <f>IFERROR(__xludf.DUMMYFUNCTION("""COMPUTED_VALUE"""),2026.0)</f>
        <v>2026</v>
      </c>
      <c r="D787" s="1">
        <f>IFERROR(__xludf.DUMMYFUNCTION("""COMPUTED_VALUE"""),46233.0)</f>
        <v>46233</v>
      </c>
      <c r="E787" s="1" t="str">
        <f>IFERROR(__xludf.DUMMYFUNCTION("""COMPUTED_VALUE"""),"VF")</f>
        <v>VF</v>
      </c>
      <c r="F787" s="1">
        <f>IFERROR(__xludf.DUMMYFUNCTION("""COMPUTED_VALUE"""),1.0)</f>
        <v>1</v>
      </c>
      <c r="G787" s="1" t="str">
        <f>IFERROR(__xludf.DUMMYFUNCTION("""COMPUTED_VALUE"""),"PR005")</f>
        <v>PR005</v>
      </c>
      <c r="H787" s="1" t="str">
        <f>IFERROR(__xludf.DUMMYFUNCTION("""COMPUTED_VALUE"""),"VD029")</f>
        <v>VD029</v>
      </c>
      <c r="I787" s="1">
        <f>IFERROR(__xludf.DUMMYFUNCTION("""COMPUTED_VALUE"""),2.0)</f>
        <v>2</v>
      </c>
      <c r="J787" s="1">
        <f>IFERROR(__xludf.DUMMYFUNCTION("""COMPUTED_VALUE"""),525.0)</f>
        <v>525</v>
      </c>
      <c r="K787" s="1">
        <f>IFERROR(__xludf.DUMMYFUNCTION("""COMPUTED_VALUE"""),525.0)</f>
        <v>525</v>
      </c>
    </row>
    <row r="788">
      <c r="A788" s="1">
        <f>IFERROR(__xludf.DUMMYFUNCTION("""COMPUTED_VALUE"""),2000.0)</f>
        <v>2000</v>
      </c>
      <c r="B788" s="1">
        <f>IFERROR(__xludf.DUMMYFUNCTION("""COMPUTED_VALUE"""),184020.0)</f>
        <v>184020</v>
      </c>
      <c r="C788" s="1">
        <f>IFERROR(__xludf.DUMMYFUNCTION("""COMPUTED_VALUE"""),2026.0)</f>
        <v>2026</v>
      </c>
      <c r="D788" s="1">
        <f>IFERROR(__xludf.DUMMYFUNCTION("""COMPUTED_VALUE"""),46233.0)</f>
        <v>46233</v>
      </c>
      <c r="E788" s="1" t="str">
        <f>IFERROR(__xludf.DUMMYFUNCTION("""COMPUTED_VALUE"""),"VF")</f>
        <v>VF</v>
      </c>
      <c r="F788" s="1">
        <f>IFERROR(__xludf.DUMMYFUNCTION("""COMPUTED_VALUE"""),1.0)</f>
        <v>1</v>
      </c>
      <c r="G788" s="1" t="str">
        <f>IFERROR(__xludf.DUMMYFUNCTION("""COMPUTED_VALUE"""),"PR042")</f>
        <v>PR042</v>
      </c>
      <c r="H788" s="1" t="str">
        <f>IFERROR(__xludf.DUMMYFUNCTION("""COMPUTED_VALUE"""),"VD036")</f>
        <v>VD036</v>
      </c>
      <c r="I788" s="1">
        <f>IFERROR(__xludf.DUMMYFUNCTION("""COMPUTED_VALUE"""),9.0)</f>
        <v>9</v>
      </c>
      <c r="J788" s="1">
        <f>IFERROR(__xludf.DUMMYFUNCTION("""COMPUTED_VALUE"""),533.63)</f>
        <v>533.63</v>
      </c>
      <c r="K788" s="1">
        <f>IFERROR(__xludf.DUMMYFUNCTION("""COMPUTED_VALUE"""),533.63)</f>
        <v>533.63</v>
      </c>
    </row>
    <row r="789">
      <c r="A789" s="1">
        <f>IFERROR(__xludf.DUMMYFUNCTION("""COMPUTED_VALUE"""),1000.0)</f>
        <v>1000</v>
      </c>
      <c r="B789" s="1">
        <f>IFERROR(__xludf.DUMMYFUNCTION("""COMPUTED_VALUE"""),184021.0)</f>
        <v>184021</v>
      </c>
      <c r="C789" s="1">
        <f>IFERROR(__xludf.DUMMYFUNCTION("""COMPUTED_VALUE"""),2026.0)</f>
        <v>2026</v>
      </c>
      <c r="D789" s="1">
        <f>IFERROR(__xludf.DUMMYFUNCTION("""COMPUTED_VALUE"""),46232.0)</f>
        <v>46232</v>
      </c>
      <c r="E789" s="1" t="str">
        <f>IFERROR(__xludf.DUMMYFUNCTION("""COMPUTED_VALUE"""),"VF")</f>
        <v>VF</v>
      </c>
      <c r="F789" s="1">
        <f>IFERROR(__xludf.DUMMYFUNCTION("""COMPUTED_VALUE"""),1.0)</f>
        <v>1</v>
      </c>
      <c r="G789" s="1" t="str">
        <f>IFERROR(__xludf.DUMMYFUNCTION("""COMPUTED_VALUE"""),"PR039")</f>
        <v>PR039</v>
      </c>
      <c r="H789" s="1" t="str">
        <f>IFERROR(__xludf.DUMMYFUNCTION("""COMPUTED_VALUE"""),"VD013")</f>
        <v>VD013</v>
      </c>
      <c r="I789" s="1">
        <f>IFERROR(__xludf.DUMMYFUNCTION("""COMPUTED_VALUE"""),9.0)</f>
        <v>9</v>
      </c>
      <c r="J789" s="1">
        <f>IFERROR(__xludf.DUMMYFUNCTION("""COMPUTED_VALUE"""),1379.7)</f>
        <v>1379.7</v>
      </c>
      <c r="K789" s="1">
        <f>IFERROR(__xludf.DUMMYFUNCTION("""COMPUTED_VALUE"""),1379.7)</f>
        <v>1379.7</v>
      </c>
    </row>
    <row r="790">
      <c r="A790" s="1">
        <f>IFERROR(__xludf.DUMMYFUNCTION("""COMPUTED_VALUE"""),1000.0)</f>
        <v>1000</v>
      </c>
      <c r="B790" s="1">
        <f>IFERROR(__xludf.DUMMYFUNCTION("""COMPUTED_VALUE"""),184022.0)</f>
        <v>184022</v>
      </c>
      <c r="C790" s="1">
        <f>IFERROR(__xludf.DUMMYFUNCTION("""COMPUTED_VALUE"""),2026.0)</f>
        <v>2026</v>
      </c>
      <c r="D790" s="1">
        <f>IFERROR(__xludf.DUMMYFUNCTION("""COMPUTED_VALUE"""),46232.0)</f>
        <v>46232</v>
      </c>
      <c r="E790" s="1" t="str">
        <f>IFERROR(__xludf.DUMMYFUNCTION("""COMPUTED_VALUE"""),"VF")</f>
        <v>VF</v>
      </c>
      <c r="F790" s="1">
        <f>IFERROR(__xludf.DUMMYFUNCTION("""COMPUTED_VALUE"""),1.0)</f>
        <v>1</v>
      </c>
      <c r="G790" s="1" t="str">
        <f>IFERROR(__xludf.DUMMYFUNCTION("""COMPUTED_VALUE"""),"PR021")</f>
        <v>PR021</v>
      </c>
      <c r="H790" s="1" t="str">
        <f>IFERROR(__xludf.DUMMYFUNCTION("""COMPUTED_VALUE"""),"VD027")</f>
        <v>VD027</v>
      </c>
      <c r="I790" s="1">
        <f>IFERROR(__xludf.DUMMYFUNCTION("""COMPUTED_VALUE"""),4.0)</f>
        <v>4</v>
      </c>
      <c r="J790" s="1">
        <f>IFERROR(__xludf.DUMMYFUNCTION("""COMPUTED_VALUE"""),1260.06)</f>
        <v>1260.06</v>
      </c>
      <c r="K790" s="1">
        <f>IFERROR(__xludf.DUMMYFUNCTION("""COMPUTED_VALUE"""),1260.06)</f>
        <v>1260.06</v>
      </c>
    </row>
    <row r="791">
      <c r="A791" s="1">
        <f>IFERROR(__xludf.DUMMYFUNCTION("""COMPUTED_VALUE"""),1000.0)</f>
        <v>1000</v>
      </c>
      <c r="B791" s="1">
        <f>IFERROR(__xludf.DUMMYFUNCTION("""COMPUTED_VALUE"""),184023.0)</f>
        <v>184023</v>
      </c>
      <c r="C791" s="1">
        <f>IFERROR(__xludf.DUMMYFUNCTION("""COMPUTED_VALUE"""),2026.0)</f>
        <v>2026</v>
      </c>
      <c r="D791" s="1">
        <f>IFERROR(__xludf.DUMMYFUNCTION("""COMPUTED_VALUE"""),46232.0)</f>
        <v>46232</v>
      </c>
      <c r="E791" s="1" t="str">
        <f>IFERROR(__xludf.DUMMYFUNCTION("""COMPUTED_VALUE"""),"VF")</f>
        <v>VF</v>
      </c>
      <c r="F791" s="1">
        <f>IFERROR(__xludf.DUMMYFUNCTION("""COMPUTED_VALUE"""),1.0)</f>
        <v>1</v>
      </c>
      <c r="G791" s="1" t="str">
        <f>IFERROR(__xludf.DUMMYFUNCTION("""COMPUTED_VALUE"""),"PR047")</f>
        <v>PR047</v>
      </c>
      <c r="H791" s="1" t="str">
        <f>IFERROR(__xludf.DUMMYFUNCTION("""COMPUTED_VALUE"""),"VD030")</f>
        <v>VD030</v>
      </c>
      <c r="I791" s="1">
        <f>IFERROR(__xludf.DUMMYFUNCTION("""COMPUTED_VALUE"""),10.0)</f>
        <v>10</v>
      </c>
      <c r="J791" s="1">
        <f>IFERROR(__xludf.DUMMYFUNCTION("""COMPUTED_VALUE"""),3043.95)</f>
        <v>3043.95</v>
      </c>
      <c r="K791" s="1">
        <f>IFERROR(__xludf.DUMMYFUNCTION("""COMPUTED_VALUE"""),3043.95)</f>
        <v>3043.95</v>
      </c>
    </row>
    <row r="792">
      <c r="A792" s="1">
        <f>IFERROR(__xludf.DUMMYFUNCTION("""COMPUTED_VALUE"""),1000.0)</f>
        <v>1000</v>
      </c>
      <c r="B792" s="1">
        <f>IFERROR(__xludf.DUMMYFUNCTION("""COMPUTED_VALUE"""),184024.0)</f>
        <v>184024</v>
      </c>
      <c r="C792" s="1">
        <f>IFERROR(__xludf.DUMMYFUNCTION("""COMPUTED_VALUE"""),2026.0)</f>
        <v>2026</v>
      </c>
      <c r="D792" s="1">
        <f>IFERROR(__xludf.DUMMYFUNCTION("""COMPUTED_VALUE"""),46231.0)</f>
        <v>46231</v>
      </c>
      <c r="E792" s="1" t="str">
        <f>IFERROR(__xludf.DUMMYFUNCTION("""COMPUTED_VALUE"""),"VF")</f>
        <v>VF</v>
      </c>
      <c r="F792" s="1">
        <f>IFERROR(__xludf.DUMMYFUNCTION("""COMPUTED_VALUE"""),1.0)</f>
        <v>1</v>
      </c>
      <c r="G792" s="1" t="str">
        <f>IFERROR(__xludf.DUMMYFUNCTION("""COMPUTED_VALUE"""),"PR056")</f>
        <v>PR056</v>
      </c>
      <c r="H792" s="1" t="str">
        <f>IFERROR(__xludf.DUMMYFUNCTION("""COMPUTED_VALUE"""),"VD015")</f>
        <v>VD015</v>
      </c>
      <c r="I792" s="1">
        <f>IFERROR(__xludf.DUMMYFUNCTION("""COMPUTED_VALUE"""),7.0)</f>
        <v>7</v>
      </c>
      <c r="J792" s="1">
        <f>IFERROR(__xludf.DUMMYFUNCTION("""COMPUTED_VALUE"""),635.59)</f>
        <v>635.59</v>
      </c>
      <c r="K792" s="1">
        <f>IFERROR(__xludf.DUMMYFUNCTION("""COMPUTED_VALUE"""),635.59)</f>
        <v>635.59</v>
      </c>
    </row>
    <row r="793">
      <c r="A793" s="1">
        <f>IFERROR(__xludf.DUMMYFUNCTION("""COMPUTED_VALUE"""),1000.0)</f>
        <v>1000</v>
      </c>
      <c r="B793" s="1">
        <f>IFERROR(__xludf.DUMMYFUNCTION("""COMPUTED_VALUE"""),184025.0)</f>
        <v>184025</v>
      </c>
      <c r="C793" s="1">
        <f>IFERROR(__xludf.DUMMYFUNCTION("""COMPUTED_VALUE"""),2026.0)</f>
        <v>2026</v>
      </c>
      <c r="D793" s="1">
        <f>IFERROR(__xludf.DUMMYFUNCTION("""COMPUTED_VALUE"""),46231.0)</f>
        <v>46231</v>
      </c>
      <c r="E793" s="1" t="str">
        <f>IFERROR(__xludf.DUMMYFUNCTION("""COMPUTED_VALUE"""),"VF")</f>
        <v>VF</v>
      </c>
      <c r="F793" s="1">
        <f>IFERROR(__xludf.DUMMYFUNCTION("""COMPUTED_VALUE"""),1.0)</f>
        <v>1</v>
      </c>
      <c r="G793" s="1" t="str">
        <f>IFERROR(__xludf.DUMMYFUNCTION("""COMPUTED_VALUE"""),"PR057")</f>
        <v>PR057</v>
      </c>
      <c r="H793" s="1" t="str">
        <f>IFERROR(__xludf.DUMMYFUNCTION("""COMPUTED_VALUE"""),"VD010")</f>
        <v>VD010</v>
      </c>
      <c r="I793" s="1">
        <f>IFERROR(__xludf.DUMMYFUNCTION("""COMPUTED_VALUE"""),4.0)</f>
        <v>4</v>
      </c>
      <c r="J793" s="1">
        <f>IFERROR(__xludf.DUMMYFUNCTION("""COMPUTED_VALUE"""),381.18)</f>
        <v>381.18</v>
      </c>
      <c r="K793" s="1">
        <f>IFERROR(__xludf.DUMMYFUNCTION("""COMPUTED_VALUE"""),381.18)</f>
        <v>381.18</v>
      </c>
    </row>
    <row r="794">
      <c r="A794" s="1">
        <f>IFERROR(__xludf.DUMMYFUNCTION("""COMPUTED_VALUE"""),1000.0)</f>
        <v>1000</v>
      </c>
      <c r="B794" s="1">
        <f>IFERROR(__xludf.DUMMYFUNCTION("""COMPUTED_VALUE"""),184026.0)</f>
        <v>184026</v>
      </c>
      <c r="C794" s="1">
        <f>IFERROR(__xludf.DUMMYFUNCTION("""COMPUTED_VALUE"""),2026.0)</f>
        <v>2026</v>
      </c>
      <c r="D794" s="1">
        <f>IFERROR(__xludf.DUMMYFUNCTION("""COMPUTED_VALUE"""),46231.0)</f>
        <v>46231</v>
      </c>
      <c r="E794" s="1" t="str">
        <f>IFERROR(__xludf.DUMMYFUNCTION("""COMPUTED_VALUE"""),"VF")</f>
        <v>VF</v>
      </c>
      <c r="F794" s="1">
        <f>IFERROR(__xludf.DUMMYFUNCTION("""COMPUTED_VALUE"""),1.0)</f>
        <v>1</v>
      </c>
      <c r="G794" s="1" t="str">
        <f>IFERROR(__xludf.DUMMYFUNCTION("""COMPUTED_VALUE"""),"PR023")</f>
        <v>PR023</v>
      </c>
      <c r="H794" s="1" t="str">
        <f>IFERROR(__xludf.DUMMYFUNCTION("""COMPUTED_VALUE"""),"VD021")</f>
        <v>VD021</v>
      </c>
      <c r="I794" s="1">
        <f>IFERROR(__xludf.DUMMYFUNCTION("""COMPUTED_VALUE"""),6.0)</f>
        <v>6</v>
      </c>
      <c r="J794" s="1">
        <f>IFERROR(__xludf.DUMMYFUNCTION("""COMPUTED_VALUE"""),1604.36)</f>
        <v>1604.36</v>
      </c>
      <c r="K794" s="1">
        <f>IFERROR(__xludf.DUMMYFUNCTION("""COMPUTED_VALUE"""),1604.36)</f>
        <v>1604.36</v>
      </c>
    </row>
    <row r="795">
      <c r="A795" s="1">
        <f>IFERROR(__xludf.DUMMYFUNCTION("""COMPUTED_VALUE"""),1000.0)</f>
        <v>1000</v>
      </c>
      <c r="B795" s="1">
        <f>IFERROR(__xludf.DUMMYFUNCTION("""COMPUTED_VALUE"""),184027.0)</f>
        <v>184027</v>
      </c>
      <c r="C795" s="1">
        <f>IFERROR(__xludf.DUMMYFUNCTION("""COMPUTED_VALUE"""),2026.0)</f>
        <v>2026</v>
      </c>
      <c r="D795" s="1">
        <f>IFERROR(__xludf.DUMMYFUNCTION("""COMPUTED_VALUE"""),46230.0)</f>
        <v>46230</v>
      </c>
      <c r="E795" s="1" t="str">
        <f>IFERROR(__xludf.DUMMYFUNCTION("""COMPUTED_VALUE"""),"VF")</f>
        <v>VF</v>
      </c>
      <c r="F795" s="1">
        <f>IFERROR(__xludf.DUMMYFUNCTION("""COMPUTED_VALUE"""),1.0)</f>
        <v>1</v>
      </c>
      <c r="G795" s="1" t="str">
        <f>IFERROR(__xludf.DUMMYFUNCTION("""COMPUTED_VALUE"""),"PR001")</f>
        <v>PR001</v>
      </c>
      <c r="H795" s="1" t="str">
        <f>IFERROR(__xludf.DUMMYFUNCTION("""COMPUTED_VALUE"""),"VD036")</f>
        <v>VD036</v>
      </c>
      <c r="I795" s="1">
        <f>IFERROR(__xludf.DUMMYFUNCTION("""COMPUTED_VALUE"""),8.0)</f>
        <v>8</v>
      </c>
      <c r="J795" s="1">
        <f>IFERROR(__xludf.DUMMYFUNCTION("""COMPUTED_VALUE"""),574.65)</f>
        <v>574.65</v>
      </c>
      <c r="K795" s="1">
        <f>IFERROR(__xludf.DUMMYFUNCTION("""COMPUTED_VALUE"""),574.65)</f>
        <v>574.65</v>
      </c>
    </row>
    <row r="796">
      <c r="A796" s="1">
        <f>IFERROR(__xludf.DUMMYFUNCTION("""COMPUTED_VALUE"""),1000.0)</f>
        <v>1000</v>
      </c>
      <c r="B796" s="1">
        <f>IFERROR(__xludf.DUMMYFUNCTION("""COMPUTED_VALUE"""),184028.0)</f>
        <v>184028</v>
      </c>
      <c r="C796" s="1">
        <f>IFERROR(__xludf.DUMMYFUNCTION("""COMPUTED_VALUE"""),2026.0)</f>
        <v>2026</v>
      </c>
      <c r="D796" s="1">
        <f>IFERROR(__xludf.DUMMYFUNCTION("""COMPUTED_VALUE"""),46230.0)</f>
        <v>46230</v>
      </c>
      <c r="E796" s="1" t="str">
        <f>IFERROR(__xludf.DUMMYFUNCTION("""COMPUTED_VALUE"""),"VF")</f>
        <v>VF</v>
      </c>
      <c r="F796" s="1">
        <f>IFERROR(__xludf.DUMMYFUNCTION("""COMPUTED_VALUE"""),1.0)</f>
        <v>1</v>
      </c>
      <c r="G796" s="1" t="str">
        <f>IFERROR(__xludf.DUMMYFUNCTION("""COMPUTED_VALUE"""),"PR043")</f>
        <v>PR043</v>
      </c>
      <c r="H796" s="1" t="str">
        <f>IFERROR(__xludf.DUMMYFUNCTION("""COMPUTED_VALUE"""),"VD040")</f>
        <v>VD040</v>
      </c>
      <c r="I796" s="1">
        <f>IFERROR(__xludf.DUMMYFUNCTION("""COMPUTED_VALUE"""),2.0)</f>
        <v>2</v>
      </c>
      <c r="J796" s="1">
        <f>IFERROR(__xludf.DUMMYFUNCTION("""COMPUTED_VALUE"""),155.15)</f>
        <v>155.15</v>
      </c>
      <c r="K796" s="1">
        <f>IFERROR(__xludf.DUMMYFUNCTION("""COMPUTED_VALUE"""),155.15)</f>
        <v>155.15</v>
      </c>
    </row>
    <row r="797">
      <c r="A797" s="1">
        <f>IFERROR(__xludf.DUMMYFUNCTION("""COMPUTED_VALUE"""),1000.0)</f>
        <v>1000</v>
      </c>
      <c r="B797" s="1">
        <f>IFERROR(__xludf.DUMMYFUNCTION("""COMPUTED_VALUE"""),184029.0)</f>
        <v>184029</v>
      </c>
      <c r="C797" s="1">
        <f>IFERROR(__xludf.DUMMYFUNCTION("""COMPUTED_VALUE"""),2026.0)</f>
        <v>2026</v>
      </c>
      <c r="D797" s="1">
        <f>IFERROR(__xludf.DUMMYFUNCTION("""COMPUTED_VALUE"""),46230.0)</f>
        <v>46230</v>
      </c>
      <c r="E797" s="1" t="str">
        <f>IFERROR(__xludf.DUMMYFUNCTION("""COMPUTED_VALUE"""),"VF")</f>
        <v>VF</v>
      </c>
      <c r="F797" s="1">
        <f>IFERROR(__xludf.DUMMYFUNCTION("""COMPUTED_VALUE"""),1.0)</f>
        <v>1</v>
      </c>
      <c r="G797" s="1" t="str">
        <f>IFERROR(__xludf.DUMMYFUNCTION("""COMPUTED_VALUE"""),"PR058")</f>
        <v>PR058</v>
      </c>
      <c r="H797" s="1" t="str">
        <f>IFERROR(__xludf.DUMMYFUNCTION("""COMPUTED_VALUE"""),"VD030")</f>
        <v>VD030</v>
      </c>
      <c r="I797" s="1">
        <f>IFERROR(__xludf.DUMMYFUNCTION("""COMPUTED_VALUE"""),4.0)</f>
        <v>4</v>
      </c>
      <c r="J797" s="1">
        <f>IFERROR(__xludf.DUMMYFUNCTION("""COMPUTED_VALUE"""),720.0)</f>
        <v>720</v>
      </c>
      <c r="K797" s="1">
        <f>IFERROR(__xludf.DUMMYFUNCTION("""COMPUTED_VALUE"""),720.0)</f>
        <v>720</v>
      </c>
    </row>
    <row r="798">
      <c r="A798" s="1">
        <f>IFERROR(__xludf.DUMMYFUNCTION("""COMPUTED_VALUE"""),1000.0)</f>
        <v>1000</v>
      </c>
      <c r="B798" s="1">
        <f>IFERROR(__xludf.DUMMYFUNCTION("""COMPUTED_VALUE"""),184030.0)</f>
        <v>184030</v>
      </c>
      <c r="C798" s="1">
        <f>IFERROR(__xludf.DUMMYFUNCTION("""COMPUTED_VALUE"""),2026.0)</f>
        <v>2026</v>
      </c>
      <c r="D798" s="1">
        <f>IFERROR(__xludf.DUMMYFUNCTION("""COMPUTED_VALUE"""),46229.0)</f>
        <v>46229</v>
      </c>
      <c r="E798" s="1" t="str">
        <f>IFERROR(__xludf.DUMMYFUNCTION("""COMPUTED_VALUE"""),"VF")</f>
        <v>VF</v>
      </c>
      <c r="F798" s="1">
        <f>IFERROR(__xludf.DUMMYFUNCTION("""COMPUTED_VALUE"""),1.0)</f>
        <v>1</v>
      </c>
      <c r="G798" s="1" t="str">
        <f>IFERROR(__xludf.DUMMYFUNCTION("""COMPUTED_VALUE"""),"PR023")</f>
        <v>PR023</v>
      </c>
      <c r="H798" s="1" t="str">
        <f>IFERROR(__xludf.DUMMYFUNCTION("""COMPUTED_VALUE"""),"VD039")</f>
        <v>VD039</v>
      </c>
      <c r="I798" s="1">
        <f>IFERROR(__xludf.DUMMYFUNCTION("""COMPUTED_VALUE"""),9.0)</f>
        <v>9</v>
      </c>
      <c r="J798" s="1">
        <f>IFERROR(__xludf.DUMMYFUNCTION("""COMPUTED_VALUE"""),2474.01)</f>
        <v>2474.01</v>
      </c>
      <c r="K798" s="1">
        <f>IFERROR(__xludf.DUMMYFUNCTION("""COMPUTED_VALUE"""),2474.01)</f>
        <v>2474.01</v>
      </c>
    </row>
    <row r="799">
      <c r="A799" s="1">
        <f>IFERROR(__xludf.DUMMYFUNCTION("""COMPUTED_VALUE"""),1000.0)</f>
        <v>1000</v>
      </c>
      <c r="B799" s="1">
        <f>IFERROR(__xludf.DUMMYFUNCTION("""COMPUTED_VALUE"""),184031.0)</f>
        <v>184031</v>
      </c>
      <c r="C799" s="1">
        <f>IFERROR(__xludf.DUMMYFUNCTION("""COMPUTED_VALUE"""),2026.0)</f>
        <v>2026</v>
      </c>
      <c r="D799" s="1">
        <f>IFERROR(__xludf.DUMMYFUNCTION("""COMPUTED_VALUE"""),46229.0)</f>
        <v>46229</v>
      </c>
      <c r="E799" s="1" t="str">
        <f>IFERROR(__xludf.DUMMYFUNCTION("""COMPUTED_VALUE"""),"VF")</f>
        <v>VF</v>
      </c>
      <c r="F799" s="1">
        <f>IFERROR(__xludf.DUMMYFUNCTION("""COMPUTED_VALUE"""),1.0)</f>
        <v>1</v>
      </c>
      <c r="G799" s="1" t="str">
        <f>IFERROR(__xludf.DUMMYFUNCTION("""COMPUTED_VALUE"""),"PR012")</f>
        <v>PR012</v>
      </c>
      <c r="H799" s="1" t="str">
        <f>IFERROR(__xludf.DUMMYFUNCTION("""COMPUTED_VALUE"""),"VD032")</f>
        <v>VD032</v>
      </c>
      <c r="I799" s="1">
        <f>IFERROR(__xludf.DUMMYFUNCTION("""COMPUTED_VALUE"""),12.0)</f>
        <v>12</v>
      </c>
      <c r="J799" s="1">
        <f>IFERROR(__xludf.DUMMYFUNCTION("""COMPUTED_VALUE"""),610.27)</f>
        <v>610.27</v>
      </c>
      <c r="K799" s="1">
        <f>IFERROR(__xludf.DUMMYFUNCTION("""COMPUTED_VALUE"""),610.27)</f>
        <v>610.27</v>
      </c>
    </row>
    <row r="800">
      <c r="A800" s="1">
        <f>IFERROR(__xludf.DUMMYFUNCTION("""COMPUTED_VALUE"""),1000.0)</f>
        <v>1000</v>
      </c>
      <c r="B800" s="1">
        <f>IFERROR(__xludf.DUMMYFUNCTION("""COMPUTED_VALUE"""),184032.0)</f>
        <v>184032</v>
      </c>
      <c r="C800" s="1">
        <f>IFERROR(__xludf.DUMMYFUNCTION("""COMPUTED_VALUE"""),2026.0)</f>
        <v>2026</v>
      </c>
      <c r="D800" s="1">
        <f>IFERROR(__xludf.DUMMYFUNCTION("""COMPUTED_VALUE"""),46229.0)</f>
        <v>46229</v>
      </c>
      <c r="E800" s="1" t="str">
        <f>IFERROR(__xludf.DUMMYFUNCTION("""COMPUTED_VALUE"""),"VF")</f>
        <v>VF</v>
      </c>
      <c r="F800" s="1">
        <f>IFERROR(__xludf.DUMMYFUNCTION("""COMPUTED_VALUE"""),1.0)</f>
        <v>1</v>
      </c>
      <c r="G800" s="1" t="str">
        <f>IFERROR(__xludf.DUMMYFUNCTION("""COMPUTED_VALUE"""),"PR026")</f>
        <v>PR026</v>
      </c>
      <c r="H800" s="1" t="str">
        <f>IFERROR(__xludf.DUMMYFUNCTION("""COMPUTED_VALUE"""),"VD043")</f>
        <v>VD043</v>
      </c>
      <c r="I800" s="1">
        <f>IFERROR(__xludf.DUMMYFUNCTION("""COMPUTED_VALUE"""),2.0)</f>
        <v>2</v>
      </c>
      <c r="J800" s="1">
        <f>IFERROR(__xludf.DUMMYFUNCTION("""COMPUTED_VALUE"""),769.78)</f>
        <v>769.78</v>
      </c>
      <c r="K800" s="1">
        <f>IFERROR(__xludf.DUMMYFUNCTION("""COMPUTED_VALUE"""),769.78)</f>
        <v>769.78</v>
      </c>
    </row>
    <row r="801">
      <c r="A801" s="1">
        <f>IFERROR(__xludf.DUMMYFUNCTION("""COMPUTED_VALUE"""),1000.0)</f>
        <v>1000</v>
      </c>
      <c r="B801" s="1">
        <f>IFERROR(__xludf.DUMMYFUNCTION("""COMPUTED_VALUE"""),184033.0)</f>
        <v>184033</v>
      </c>
      <c r="C801" s="1">
        <f>IFERROR(__xludf.DUMMYFUNCTION("""COMPUTED_VALUE"""),2026.0)</f>
        <v>2026</v>
      </c>
      <c r="D801" s="1">
        <f>IFERROR(__xludf.DUMMYFUNCTION("""COMPUTED_VALUE"""),46229.0)</f>
        <v>46229</v>
      </c>
      <c r="E801" s="1" t="str">
        <f>IFERROR(__xludf.DUMMYFUNCTION("""COMPUTED_VALUE"""),"VF")</f>
        <v>VF</v>
      </c>
      <c r="F801" s="1">
        <f>IFERROR(__xludf.DUMMYFUNCTION("""COMPUTED_VALUE"""),1.0)</f>
        <v>1</v>
      </c>
      <c r="G801" s="1" t="str">
        <f>IFERROR(__xludf.DUMMYFUNCTION("""COMPUTED_VALUE"""),"PR002")</f>
        <v>PR002</v>
      </c>
      <c r="H801" s="1" t="str">
        <f>IFERROR(__xludf.DUMMYFUNCTION("""COMPUTED_VALUE"""),"VD036")</f>
        <v>VD036</v>
      </c>
      <c r="I801" s="1">
        <f>IFERROR(__xludf.DUMMYFUNCTION("""COMPUTED_VALUE"""),8.0)</f>
        <v>8</v>
      </c>
      <c r="J801" s="1">
        <f>IFERROR(__xludf.DUMMYFUNCTION("""COMPUTED_VALUE"""),587.16)</f>
        <v>587.16</v>
      </c>
      <c r="K801" s="1">
        <f>IFERROR(__xludf.DUMMYFUNCTION("""COMPUTED_VALUE"""),587.16)</f>
        <v>587.16</v>
      </c>
    </row>
    <row r="802">
      <c r="A802" s="1">
        <f>IFERROR(__xludf.DUMMYFUNCTION("""COMPUTED_VALUE"""),1000.0)</f>
        <v>1000</v>
      </c>
      <c r="B802" s="1">
        <f>IFERROR(__xludf.DUMMYFUNCTION("""COMPUTED_VALUE"""),184034.0)</f>
        <v>184034</v>
      </c>
      <c r="C802" s="1">
        <f>IFERROR(__xludf.DUMMYFUNCTION("""COMPUTED_VALUE"""),2026.0)</f>
        <v>2026</v>
      </c>
      <c r="D802" s="1">
        <f>IFERROR(__xludf.DUMMYFUNCTION("""COMPUTED_VALUE"""),46228.0)</f>
        <v>46228</v>
      </c>
      <c r="E802" s="1" t="str">
        <f>IFERROR(__xludf.DUMMYFUNCTION("""COMPUTED_VALUE"""),"VF")</f>
        <v>VF</v>
      </c>
      <c r="F802" s="1">
        <f>IFERROR(__xludf.DUMMYFUNCTION("""COMPUTED_VALUE"""),1.0)</f>
        <v>1</v>
      </c>
      <c r="G802" s="1" t="str">
        <f>IFERROR(__xludf.DUMMYFUNCTION("""COMPUTED_VALUE"""),"PR028")</f>
        <v>PR028</v>
      </c>
      <c r="H802" s="1" t="str">
        <f>IFERROR(__xludf.DUMMYFUNCTION("""COMPUTED_VALUE"""),"VD043")</f>
        <v>VD043</v>
      </c>
      <c r="I802" s="1">
        <f>IFERROR(__xludf.DUMMYFUNCTION("""COMPUTED_VALUE"""),4.0)</f>
        <v>4</v>
      </c>
      <c r="J802" s="1">
        <f>IFERROR(__xludf.DUMMYFUNCTION("""COMPUTED_VALUE"""),1049.58)</f>
        <v>1049.58</v>
      </c>
      <c r="K802" s="1">
        <f>IFERROR(__xludf.DUMMYFUNCTION("""COMPUTED_VALUE"""),1049.58)</f>
        <v>1049.58</v>
      </c>
    </row>
    <row r="803">
      <c r="A803" s="1">
        <f>IFERROR(__xludf.DUMMYFUNCTION("""COMPUTED_VALUE"""),1000.0)</f>
        <v>1000</v>
      </c>
      <c r="B803" s="1">
        <f>IFERROR(__xludf.DUMMYFUNCTION("""COMPUTED_VALUE"""),184034.0)</f>
        <v>184034</v>
      </c>
      <c r="C803" s="1">
        <f>IFERROR(__xludf.DUMMYFUNCTION("""COMPUTED_VALUE"""),2026.0)</f>
        <v>2026</v>
      </c>
      <c r="D803" s="1">
        <f>IFERROR(__xludf.DUMMYFUNCTION("""COMPUTED_VALUE"""),46228.0)</f>
        <v>46228</v>
      </c>
      <c r="E803" s="1" t="str">
        <f>IFERROR(__xludf.DUMMYFUNCTION("""COMPUTED_VALUE"""),"VF")</f>
        <v>VF</v>
      </c>
      <c r="F803" s="1">
        <f>IFERROR(__xludf.DUMMYFUNCTION("""COMPUTED_VALUE"""),2.0)</f>
        <v>2</v>
      </c>
      <c r="G803" s="1" t="str">
        <f>IFERROR(__xludf.DUMMYFUNCTION("""COMPUTED_VALUE"""),"PR044")</f>
        <v>PR044</v>
      </c>
      <c r="H803" s="1" t="str">
        <f>IFERROR(__xludf.DUMMYFUNCTION("""COMPUTED_VALUE"""),"VD021")</f>
        <v>VD021</v>
      </c>
      <c r="I803" s="1">
        <f>IFERROR(__xludf.DUMMYFUNCTION("""COMPUTED_VALUE"""),6.0)</f>
        <v>6</v>
      </c>
      <c r="J803" s="1">
        <f>IFERROR(__xludf.DUMMYFUNCTION("""COMPUTED_VALUE"""),439.35)</f>
        <v>439.35</v>
      </c>
      <c r="K803" s="1">
        <f>IFERROR(__xludf.DUMMYFUNCTION("""COMPUTED_VALUE"""),439.35)</f>
        <v>439.35</v>
      </c>
    </row>
    <row r="804">
      <c r="A804" s="1">
        <f>IFERROR(__xludf.DUMMYFUNCTION("""COMPUTED_VALUE"""),1000.0)</f>
        <v>1000</v>
      </c>
      <c r="B804" s="1">
        <f>IFERROR(__xludf.DUMMYFUNCTION("""COMPUTED_VALUE"""),184034.0)</f>
        <v>184034</v>
      </c>
      <c r="C804" s="1">
        <f>IFERROR(__xludf.DUMMYFUNCTION("""COMPUTED_VALUE"""),2026.0)</f>
        <v>2026</v>
      </c>
      <c r="D804" s="1">
        <f>IFERROR(__xludf.DUMMYFUNCTION("""COMPUTED_VALUE"""),46227.0)</f>
        <v>46227</v>
      </c>
      <c r="E804" s="1" t="str">
        <f>IFERROR(__xludf.DUMMYFUNCTION("""COMPUTED_VALUE"""),"VF")</f>
        <v>VF</v>
      </c>
      <c r="F804" s="1">
        <f>IFERROR(__xludf.DUMMYFUNCTION("""COMPUTED_VALUE"""),3.0)</f>
        <v>3</v>
      </c>
      <c r="G804" s="1" t="str">
        <f>IFERROR(__xludf.DUMMYFUNCTION("""COMPUTED_VALUE"""),"PR017")</f>
        <v>PR017</v>
      </c>
      <c r="H804" s="1" t="str">
        <f>IFERROR(__xludf.DUMMYFUNCTION("""COMPUTED_VALUE"""),"VD026")</f>
        <v>VD026</v>
      </c>
      <c r="I804" s="1">
        <f>IFERROR(__xludf.DUMMYFUNCTION("""COMPUTED_VALUE"""),2.0)</f>
        <v>2</v>
      </c>
      <c r="J804" s="1">
        <f>IFERROR(__xludf.DUMMYFUNCTION("""COMPUTED_VALUE"""),65.18)</f>
        <v>65.18</v>
      </c>
      <c r="K804" s="1">
        <f>IFERROR(__xludf.DUMMYFUNCTION("""COMPUTED_VALUE"""),65.18)</f>
        <v>65.18</v>
      </c>
    </row>
    <row r="805">
      <c r="A805" s="1">
        <f>IFERROR(__xludf.DUMMYFUNCTION("""COMPUTED_VALUE"""),1000.0)</f>
        <v>1000</v>
      </c>
      <c r="B805" s="1">
        <f>IFERROR(__xludf.DUMMYFUNCTION("""COMPUTED_VALUE"""),184035.0)</f>
        <v>184035</v>
      </c>
      <c r="C805" s="1">
        <f>IFERROR(__xludf.DUMMYFUNCTION("""COMPUTED_VALUE"""),2026.0)</f>
        <v>2026</v>
      </c>
      <c r="D805" s="1">
        <f>IFERROR(__xludf.DUMMYFUNCTION("""COMPUTED_VALUE"""),46227.0)</f>
        <v>46227</v>
      </c>
      <c r="E805" s="1" t="str">
        <f>IFERROR(__xludf.DUMMYFUNCTION("""COMPUTED_VALUE"""),"VF")</f>
        <v>VF</v>
      </c>
      <c r="F805" s="1">
        <f>IFERROR(__xludf.DUMMYFUNCTION("""COMPUTED_VALUE"""),1.0)</f>
        <v>1</v>
      </c>
      <c r="G805" s="1" t="str">
        <f>IFERROR(__xludf.DUMMYFUNCTION("""COMPUTED_VALUE"""),"PR008")</f>
        <v>PR008</v>
      </c>
      <c r="H805" s="1" t="str">
        <f>IFERROR(__xludf.DUMMYFUNCTION("""COMPUTED_VALUE"""),"VD027")</f>
        <v>VD027</v>
      </c>
      <c r="I805" s="1">
        <f>IFERROR(__xludf.DUMMYFUNCTION("""COMPUTED_VALUE"""),6.0)</f>
        <v>6</v>
      </c>
      <c r="J805" s="1">
        <f>IFERROR(__xludf.DUMMYFUNCTION("""COMPUTED_VALUE"""),593.34)</f>
        <v>593.34</v>
      </c>
      <c r="K805" s="1">
        <f>IFERROR(__xludf.DUMMYFUNCTION("""COMPUTED_VALUE"""),593.34)</f>
        <v>593.34</v>
      </c>
    </row>
    <row r="806">
      <c r="A806" s="1">
        <f>IFERROR(__xludf.DUMMYFUNCTION("""COMPUTED_VALUE"""),1000.0)</f>
        <v>1000</v>
      </c>
      <c r="B806" s="1">
        <f>IFERROR(__xludf.DUMMYFUNCTION("""COMPUTED_VALUE"""),184036.0)</f>
        <v>184036</v>
      </c>
      <c r="C806" s="1">
        <f>IFERROR(__xludf.DUMMYFUNCTION("""COMPUTED_VALUE"""),2026.0)</f>
        <v>2026</v>
      </c>
      <c r="D806" s="1">
        <f>IFERROR(__xludf.DUMMYFUNCTION("""COMPUTED_VALUE"""),46227.0)</f>
        <v>46227</v>
      </c>
      <c r="E806" s="1" t="str">
        <f>IFERROR(__xludf.DUMMYFUNCTION("""COMPUTED_VALUE"""),"VF")</f>
        <v>VF</v>
      </c>
      <c r="F806" s="1">
        <f>IFERROR(__xludf.DUMMYFUNCTION("""COMPUTED_VALUE"""),1.0)</f>
        <v>1</v>
      </c>
      <c r="G806" s="1" t="str">
        <f>IFERROR(__xludf.DUMMYFUNCTION("""COMPUTED_VALUE"""),"PR041")</f>
        <v>PR041</v>
      </c>
      <c r="H806" s="1" t="str">
        <f>IFERROR(__xludf.DUMMYFUNCTION("""COMPUTED_VALUE"""),"VD018")</f>
        <v>VD018</v>
      </c>
      <c r="I806" s="1">
        <f>IFERROR(__xludf.DUMMYFUNCTION("""COMPUTED_VALUE"""),3.0)</f>
        <v>3</v>
      </c>
      <c r="J806" s="1">
        <f>IFERROR(__xludf.DUMMYFUNCTION("""COMPUTED_VALUE"""),176.23)</f>
        <v>176.23</v>
      </c>
      <c r="K806" s="1">
        <f>IFERROR(__xludf.DUMMYFUNCTION("""COMPUTED_VALUE"""),176.23)</f>
        <v>176.23</v>
      </c>
    </row>
    <row r="807">
      <c r="A807" s="1">
        <f>IFERROR(__xludf.DUMMYFUNCTION("""COMPUTED_VALUE"""),1000.0)</f>
        <v>1000</v>
      </c>
      <c r="B807" s="1">
        <f>IFERROR(__xludf.DUMMYFUNCTION("""COMPUTED_VALUE"""),184036.0)</f>
        <v>184036</v>
      </c>
      <c r="C807" s="1">
        <f>IFERROR(__xludf.DUMMYFUNCTION("""COMPUTED_VALUE"""),2026.0)</f>
        <v>2026</v>
      </c>
      <c r="D807" s="1">
        <f>IFERROR(__xludf.DUMMYFUNCTION("""COMPUTED_VALUE"""),46227.0)</f>
        <v>46227</v>
      </c>
      <c r="E807" s="1" t="str">
        <f>IFERROR(__xludf.DUMMYFUNCTION("""COMPUTED_VALUE"""),"VF")</f>
        <v>VF</v>
      </c>
      <c r="F807" s="1">
        <f>IFERROR(__xludf.DUMMYFUNCTION("""COMPUTED_VALUE"""),2.0)</f>
        <v>2</v>
      </c>
      <c r="G807" s="1" t="str">
        <f>IFERROR(__xludf.DUMMYFUNCTION("""COMPUTED_VALUE"""),"PR012")</f>
        <v>PR012</v>
      </c>
      <c r="H807" s="1" t="str">
        <f>IFERROR(__xludf.DUMMYFUNCTION("""COMPUTED_VALUE"""),"VD013")</f>
        <v>VD013</v>
      </c>
      <c r="I807" s="1">
        <f>IFERROR(__xludf.DUMMYFUNCTION("""COMPUTED_VALUE"""),8.0)</f>
        <v>8</v>
      </c>
      <c r="J807" s="1">
        <f>IFERROR(__xludf.DUMMYFUNCTION("""COMPUTED_VALUE"""),402.94)</f>
        <v>402.94</v>
      </c>
      <c r="K807" s="1">
        <f>IFERROR(__xludf.DUMMYFUNCTION("""COMPUTED_VALUE"""),402.94)</f>
        <v>402.94</v>
      </c>
    </row>
    <row r="808">
      <c r="A808" s="1">
        <f>IFERROR(__xludf.DUMMYFUNCTION("""COMPUTED_VALUE"""),1000.0)</f>
        <v>1000</v>
      </c>
      <c r="B808" s="1">
        <f>IFERROR(__xludf.DUMMYFUNCTION("""COMPUTED_VALUE"""),184037.0)</f>
        <v>184037</v>
      </c>
      <c r="C808" s="1">
        <f>IFERROR(__xludf.DUMMYFUNCTION("""COMPUTED_VALUE"""),2026.0)</f>
        <v>2026</v>
      </c>
      <c r="D808" s="1">
        <f>IFERROR(__xludf.DUMMYFUNCTION("""COMPUTED_VALUE"""),46227.0)</f>
        <v>46227</v>
      </c>
      <c r="E808" s="1" t="str">
        <f>IFERROR(__xludf.DUMMYFUNCTION("""COMPUTED_VALUE"""),"VF")</f>
        <v>VF</v>
      </c>
      <c r="F808" s="1">
        <f>IFERROR(__xludf.DUMMYFUNCTION("""COMPUTED_VALUE"""),1.0)</f>
        <v>1</v>
      </c>
      <c r="G808" s="1" t="str">
        <f>IFERROR(__xludf.DUMMYFUNCTION("""COMPUTED_VALUE"""),"PR039")</f>
        <v>PR039</v>
      </c>
      <c r="H808" s="1" t="str">
        <f>IFERROR(__xludf.DUMMYFUNCTION("""COMPUTED_VALUE"""),"VD027")</f>
        <v>VD027</v>
      </c>
      <c r="I808" s="1">
        <f>IFERROR(__xludf.DUMMYFUNCTION("""COMPUTED_VALUE"""),2.0)</f>
        <v>2</v>
      </c>
      <c r="J808" s="1">
        <f>IFERROR(__xludf.DUMMYFUNCTION("""COMPUTED_VALUE"""),312.44)</f>
        <v>312.44</v>
      </c>
      <c r="K808" s="1">
        <f>IFERROR(__xludf.DUMMYFUNCTION("""COMPUTED_VALUE"""),312.44)</f>
        <v>312.44</v>
      </c>
    </row>
    <row r="809">
      <c r="A809" s="1">
        <f>IFERROR(__xludf.DUMMYFUNCTION("""COMPUTED_VALUE"""),1000.0)</f>
        <v>1000</v>
      </c>
      <c r="B809" s="1">
        <f>IFERROR(__xludf.DUMMYFUNCTION("""COMPUTED_VALUE"""),184037.0)</f>
        <v>184037</v>
      </c>
      <c r="C809" s="1">
        <f>IFERROR(__xludf.DUMMYFUNCTION("""COMPUTED_VALUE"""),2026.0)</f>
        <v>2026</v>
      </c>
      <c r="D809" s="1">
        <f>IFERROR(__xludf.DUMMYFUNCTION("""COMPUTED_VALUE"""),46227.0)</f>
        <v>46227</v>
      </c>
      <c r="E809" s="1" t="str">
        <f>IFERROR(__xludf.DUMMYFUNCTION("""COMPUTED_VALUE"""),"VF")</f>
        <v>VF</v>
      </c>
      <c r="F809" s="1">
        <f>IFERROR(__xludf.DUMMYFUNCTION("""COMPUTED_VALUE"""),2.0)</f>
        <v>2</v>
      </c>
      <c r="G809" s="1" t="str">
        <f>IFERROR(__xludf.DUMMYFUNCTION("""COMPUTED_VALUE"""),"PR054")</f>
        <v>PR054</v>
      </c>
      <c r="H809" s="1" t="str">
        <f>IFERROR(__xludf.DUMMYFUNCTION("""COMPUTED_VALUE"""),"VD036")</f>
        <v>VD036</v>
      </c>
      <c r="I809" s="1">
        <f>IFERROR(__xludf.DUMMYFUNCTION("""COMPUTED_VALUE"""),4.0)</f>
        <v>4</v>
      </c>
      <c r="J809" s="1">
        <f>IFERROR(__xludf.DUMMYFUNCTION("""COMPUTED_VALUE"""),205.59)</f>
        <v>205.59</v>
      </c>
      <c r="K809" s="1">
        <f>IFERROR(__xludf.DUMMYFUNCTION("""COMPUTED_VALUE"""),205.59)</f>
        <v>205.59</v>
      </c>
    </row>
    <row r="810">
      <c r="A810" s="1">
        <f>IFERROR(__xludf.DUMMYFUNCTION("""COMPUTED_VALUE"""),1000.0)</f>
        <v>1000</v>
      </c>
      <c r="B810" s="1">
        <f>IFERROR(__xludf.DUMMYFUNCTION("""COMPUTED_VALUE"""),184038.0)</f>
        <v>184038</v>
      </c>
      <c r="C810" s="1">
        <f>IFERROR(__xludf.DUMMYFUNCTION("""COMPUTED_VALUE"""),2026.0)</f>
        <v>2026</v>
      </c>
      <c r="D810" s="1">
        <f>IFERROR(__xludf.DUMMYFUNCTION("""COMPUTED_VALUE"""),46227.0)</f>
        <v>46227</v>
      </c>
      <c r="E810" s="1" t="str">
        <f>IFERROR(__xludf.DUMMYFUNCTION("""COMPUTED_VALUE"""),"VF")</f>
        <v>VF</v>
      </c>
      <c r="F810" s="1">
        <f>IFERROR(__xludf.DUMMYFUNCTION("""COMPUTED_VALUE"""),1.0)</f>
        <v>1</v>
      </c>
      <c r="G810" s="1" t="str">
        <f>IFERROR(__xludf.DUMMYFUNCTION("""COMPUTED_VALUE"""),"PR057")</f>
        <v>PR057</v>
      </c>
      <c r="H810" s="1" t="str">
        <f>IFERROR(__xludf.DUMMYFUNCTION("""COMPUTED_VALUE"""),"VD021")</f>
        <v>VD021</v>
      </c>
      <c r="I810" s="1">
        <f>IFERROR(__xludf.DUMMYFUNCTION("""COMPUTED_VALUE"""),6.0)</f>
        <v>6</v>
      </c>
      <c r="J810" s="1">
        <f>IFERROR(__xludf.DUMMYFUNCTION("""COMPUTED_VALUE"""),539.4)</f>
        <v>539.4</v>
      </c>
      <c r="K810" s="1">
        <f>IFERROR(__xludf.DUMMYFUNCTION("""COMPUTED_VALUE"""),539.4)</f>
        <v>539.4</v>
      </c>
    </row>
    <row r="811">
      <c r="A811" s="1">
        <f>IFERROR(__xludf.DUMMYFUNCTION("""COMPUTED_VALUE"""),1000.0)</f>
        <v>1000</v>
      </c>
      <c r="B811" s="1">
        <f>IFERROR(__xludf.DUMMYFUNCTION("""COMPUTED_VALUE"""),184038.0)</f>
        <v>184038</v>
      </c>
      <c r="C811" s="1">
        <f>IFERROR(__xludf.DUMMYFUNCTION("""COMPUTED_VALUE"""),2026.0)</f>
        <v>2026</v>
      </c>
      <c r="D811" s="1">
        <f>IFERROR(__xludf.DUMMYFUNCTION("""COMPUTED_VALUE"""),46227.0)</f>
        <v>46227</v>
      </c>
      <c r="E811" s="1" t="str">
        <f>IFERROR(__xludf.DUMMYFUNCTION("""COMPUTED_VALUE"""),"VF")</f>
        <v>VF</v>
      </c>
      <c r="F811" s="1">
        <f>IFERROR(__xludf.DUMMYFUNCTION("""COMPUTED_VALUE"""),2.0)</f>
        <v>2</v>
      </c>
      <c r="G811" s="1" t="str">
        <f>IFERROR(__xludf.DUMMYFUNCTION("""COMPUTED_VALUE"""),"PR013")</f>
        <v>PR013</v>
      </c>
      <c r="H811" s="1" t="str">
        <f>IFERROR(__xludf.DUMMYFUNCTION("""COMPUTED_VALUE"""),"VD010")</f>
        <v>VD010</v>
      </c>
      <c r="I811" s="1">
        <f>IFERROR(__xludf.DUMMYFUNCTION("""COMPUTED_VALUE"""),14.0)</f>
        <v>14</v>
      </c>
      <c r="J811" s="1">
        <f>IFERROR(__xludf.DUMMYFUNCTION("""COMPUTED_VALUE"""),558.6)</f>
        <v>558.6</v>
      </c>
      <c r="K811" s="1">
        <f>IFERROR(__xludf.DUMMYFUNCTION("""COMPUTED_VALUE"""),558.6)</f>
        <v>558.6</v>
      </c>
    </row>
    <row r="812">
      <c r="A812" s="1">
        <f>IFERROR(__xludf.DUMMYFUNCTION("""COMPUTED_VALUE"""),1000.0)</f>
        <v>1000</v>
      </c>
      <c r="B812" s="1">
        <f>IFERROR(__xludf.DUMMYFUNCTION("""COMPUTED_VALUE"""),184039.0)</f>
        <v>184039</v>
      </c>
      <c r="C812" s="1">
        <f>IFERROR(__xludf.DUMMYFUNCTION("""COMPUTED_VALUE"""),2026.0)</f>
        <v>2026</v>
      </c>
      <c r="D812" s="1">
        <f>IFERROR(__xludf.DUMMYFUNCTION("""COMPUTED_VALUE"""),46226.0)</f>
        <v>46226</v>
      </c>
      <c r="E812" s="1" t="str">
        <f>IFERROR(__xludf.DUMMYFUNCTION("""COMPUTED_VALUE"""),"VF")</f>
        <v>VF</v>
      </c>
      <c r="F812" s="1">
        <f>IFERROR(__xludf.DUMMYFUNCTION("""COMPUTED_VALUE"""),1.0)</f>
        <v>1</v>
      </c>
      <c r="G812" s="1" t="str">
        <f>IFERROR(__xludf.DUMMYFUNCTION("""COMPUTED_VALUE"""),"PR033")</f>
        <v>PR033</v>
      </c>
      <c r="H812" s="1" t="str">
        <f>IFERROR(__xludf.DUMMYFUNCTION("""COMPUTED_VALUE"""),"VD038")</f>
        <v>VD038</v>
      </c>
      <c r="I812" s="1">
        <f>IFERROR(__xludf.DUMMYFUNCTION("""COMPUTED_VALUE"""),4.0)</f>
        <v>4</v>
      </c>
      <c r="J812" s="1">
        <f>IFERROR(__xludf.DUMMYFUNCTION("""COMPUTED_VALUE"""),1050.0)</f>
        <v>1050</v>
      </c>
      <c r="K812" s="1">
        <f>IFERROR(__xludf.DUMMYFUNCTION("""COMPUTED_VALUE"""),1050.0)</f>
        <v>1050</v>
      </c>
    </row>
    <row r="813">
      <c r="A813" s="1">
        <f>IFERROR(__xludf.DUMMYFUNCTION("""COMPUTED_VALUE"""),1000.0)</f>
        <v>1000</v>
      </c>
      <c r="B813" s="1">
        <f>IFERROR(__xludf.DUMMYFUNCTION("""COMPUTED_VALUE"""),184040.0)</f>
        <v>184040</v>
      </c>
      <c r="C813" s="1">
        <f>IFERROR(__xludf.DUMMYFUNCTION("""COMPUTED_VALUE"""),2026.0)</f>
        <v>2026</v>
      </c>
      <c r="D813" s="1">
        <f>IFERROR(__xludf.DUMMYFUNCTION("""COMPUTED_VALUE"""),46226.0)</f>
        <v>46226</v>
      </c>
      <c r="E813" s="1" t="str">
        <f>IFERROR(__xludf.DUMMYFUNCTION("""COMPUTED_VALUE"""),"VF")</f>
        <v>VF</v>
      </c>
      <c r="F813" s="1">
        <f>IFERROR(__xludf.DUMMYFUNCTION("""COMPUTED_VALUE"""),1.0)</f>
        <v>1</v>
      </c>
      <c r="G813" s="1" t="str">
        <f>IFERROR(__xludf.DUMMYFUNCTION("""COMPUTED_VALUE"""),"PR009")</f>
        <v>PR009</v>
      </c>
      <c r="H813" s="1" t="str">
        <f>IFERROR(__xludf.DUMMYFUNCTION("""COMPUTED_VALUE"""),"VD012")</f>
        <v>VD012</v>
      </c>
      <c r="I813" s="1">
        <f>IFERROR(__xludf.DUMMYFUNCTION("""COMPUTED_VALUE"""),2.0)</f>
        <v>2</v>
      </c>
      <c r="J813" s="1">
        <f>IFERROR(__xludf.DUMMYFUNCTION("""COMPUTED_VALUE"""),187.66)</f>
        <v>187.66</v>
      </c>
      <c r="K813" s="1">
        <f>IFERROR(__xludf.DUMMYFUNCTION("""COMPUTED_VALUE"""),187.66)</f>
        <v>187.66</v>
      </c>
    </row>
    <row r="814">
      <c r="A814" s="1">
        <f>IFERROR(__xludf.DUMMYFUNCTION("""COMPUTED_VALUE"""),1000.0)</f>
        <v>1000</v>
      </c>
      <c r="B814" s="1">
        <f>IFERROR(__xludf.DUMMYFUNCTION("""COMPUTED_VALUE"""),184041.0)</f>
        <v>184041</v>
      </c>
      <c r="C814" s="1">
        <f>IFERROR(__xludf.DUMMYFUNCTION("""COMPUTED_VALUE"""),2026.0)</f>
        <v>2026</v>
      </c>
      <c r="D814" s="1">
        <f>IFERROR(__xludf.DUMMYFUNCTION("""COMPUTED_VALUE"""),46226.0)</f>
        <v>46226</v>
      </c>
      <c r="E814" s="1" t="str">
        <f>IFERROR(__xludf.DUMMYFUNCTION("""COMPUTED_VALUE"""),"VF")</f>
        <v>VF</v>
      </c>
      <c r="F814" s="1">
        <f>IFERROR(__xludf.DUMMYFUNCTION("""COMPUTED_VALUE"""),1.0)</f>
        <v>1</v>
      </c>
      <c r="G814" s="1" t="str">
        <f>IFERROR(__xludf.DUMMYFUNCTION("""COMPUTED_VALUE"""),"PR016")</f>
        <v>PR016</v>
      </c>
      <c r="H814" s="1" t="str">
        <f>IFERROR(__xludf.DUMMYFUNCTION("""COMPUTED_VALUE"""),"VD010")</f>
        <v>VD010</v>
      </c>
      <c r="I814" s="1">
        <f>IFERROR(__xludf.DUMMYFUNCTION("""COMPUTED_VALUE"""),4.0)</f>
        <v>4</v>
      </c>
      <c r="J814" s="1">
        <f>IFERROR(__xludf.DUMMYFUNCTION("""COMPUTED_VALUE"""),106.71)</f>
        <v>106.71</v>
      </c>
      <c r="K814" s="1">
        <f>IFERROR(__xludf.DUMMYFUNCTION("""COMPUTED_VALUE"""),106.71)</f>
        <v>106.71</v>
      </c>
    </row>
    <row r="815">
      <c r="A815" s="1">
        <f>IFERROR(__xludf.DUMMYFUNCTION("""COMPUTED_VALUE"""),2000.0)</f>
        <v>2000</v>
      </c>
      <c r="B815" s="1">
        <f>IFERROR(__xludf.DUMMYFUNCTION("""COMPUTED_VALUE"""),184041.0)</f>
        <v>184041</v>
      </c>
      <c r="C815" s="1">
        <f>IFERROR(__xludf.DUMMYFUNCTION("""COMPUTED_VALUE"""),2026.0)</f>
        <v>2026</v>
      </c>
      <c r="D815" s="1">
        <f>IFERROR(__xludf.DUMMYFUNCTION("""COMPUTED_VALUE"""),46225.0)</f>
        <v>46225</v>
      </c>
      <c r="E815" s="1" t="str">
        <f>IFERROR(__xludf.DUMMYFUNCTION("""COMPUTED_VALUE"""),"VF")</f>
        <v>VF</v>
      </c>
      <c r="F815" s="1">
        <f>IFERROR(__xludf.DUMMYFUNCTION("""COMPUTED_VALUE"""),2.0)</f>
        <v>2</v>
      </c>
      <c r="G815" s="1" t="str">
        <f>IFERROR(__xludf.DUMMYFUNCTION("""COMPUTED_VALUE"""),"PR023")</f>
        <v>PR023</v>
      </c>
      <c r="H815" s="1" t="str">
        <f>IFERROR(__xludf.DUMMYFUNCTION("""COMPUTED_VALUE"""),"VD018")</f>
        <v>VD018</v>
      </c>
      <c r="I815" s="1">
        <f>IFERROR(__xludf.DUMMYFUNCTION("""COMPUTED_VALUE"""),10.0)</f>
        <v>10</v>
      </c>
      <c r="J815" s="1">
        <f>IFERROR(__xludf.DUMMYFUNCTION("""COMPUTED_VALUE"""),2623.95)</f>
        <v>2623.95</v>
      </c>
      <c r="K815" s="1">
        <f>IFERROR(__xludf.DUMMYFUNCTION("""COMPUTED_VALUE"""),2623.95)</f>
        <v>2623.95</v>
      </c>
    </row>
    <row r="816">
      <c r="A816" s="1">
        <f>IFERROR(__xludf.DUMMYFUNCTION("""COMPUTED_VALUE"""),1000.0)</f>
        <v>1000</v>
      </c>
      <c r="B816" s="1">
        <f>IFERROR(__xludf.DUMMYFUNCTION("""COMPUTED_VALUE"""),184042.0)</f>
        <v>184042</v>
      </c>
      <c r="C816" s="1">
        <f>IFERROR(__xludf.DUMMYFUNCTION("""COMPUTED_VALUE"""),2026.0)</f>
        <v>2026</v>
      </c>
      <c r="D816" s="1">
        <f>IFERROR(__xludf.DUMMYFUNCTION("""COMPUTED_VALUE"""),46225.0)</f>
        <v>46225</v>
      </c>
      <c r="E816" s="1" t="str">
        <f>IFERROR(__xludf.DUMMYFUNCTION("""COMPUTED_VALUE"""),"VF")</f>
        <v>VF</v>
      </c>
      <c r="F816" s="1">
        <f>IFERROR(__xludf.DUMMYFUNCTION("""COMPUTED_VALUE"""),1.0)</f>
        <v>1</v>
      </c>
      <c r="G816" s="1" t="str">
        <f>IFERROR(__xludf.DUMMYFUNCTION("""COMPUTED_VALUE"""),"PR031")</f>
        <v>PR031</v>
      </c>
      <c r="H816" s="1" t="str">
        <f>IFERROR(__xludf.DUMMYFUNCTION("""COMPUTED_VALUE"""),"VD035")</f>
        <v>VD035</v>
      </c>
      <c r="I816" s="1">
        <f>IFERROR(__xludf.DUMMYFUNCTION("""COMPUTED_VALUE"""),10.0)</f>
        <v>10</v>
      </c>
      <c r="J816" s="1">
        <f>IFERROR(__xludf.DUMMYFUNCTION("""COMPUTED_VALUE"""),2646.0)</f>
        <v>2646</v>
      </c>
      <c r="K816" s="1">
        <f>IFERROR(__xludf.DUMMYFUNCTION("""COMPUTED_VALUE"""),2646.0)</f>
        <v>2646</v>
      </c>
    </row>
    <row r="817">
      <c r="A817" s="1">
        <f>IFERROR(__xludf.DUMMYFUNCTION("""COMPUTED_VALUE"""),1000.0)</f>
        <v>1000</v>
      </c>
      <c r="B817" s="1">
        <f>IFERROR(__xludf.DUMMYFUNCTION("""COMPUTED_VALUE"""),184043.0)</f>
        <v>184043</v>
      </c>
      <c r="C817" s="1">
        <f>IFERROR(__xludf.DUMMYFUNCTION("""COMPUTED_VALUE"""),2026.0)</f>
        <v>2026</v>
      </c>
      <c r="D817" s="1">
        <f>IFERROR(__xludf.DUMMYFUNCTION("""COMPUTED_VALUE"""),46224.0)</f>
        <v>46224</v>
      </c>
      <c r="E817" s="1" t="str">
        <f>IFERROR(__xludf.DUMMYFUNCTION("""COMPUTED_VALUE"""),"VF")</f>
        <v>VF</v>
      </c>
      <c r="F817" s="1">
        <f>IFERROR(__xludf.DUMMYFUNCTION("""COMPUTED_VALUE"""),1.0)</f>
        <v>1</v>
      </c>
      <c r="G817" s="1" t="str">
        <f>IFERROR(__xludf.DUMMYFUNCTION("""COMPUTED_VALUE"""),"PR024")</f>
        <v>PR024</v>
      </c>
      <c r="H817" s="1" t="str">
        <f>IFERROR(__xludf.DUMMYFUNCTION("""COMPUTED_VALUE"""),"VD031")</f>
        <v>VD031</v>
      </c>
      <c r="I817" s="1">
        <f>IFERROR(__xludf.DUMMYFUNCTION("""COMPUTED_VALUE"""),4.0)</f>
        <v>4</v>
      </c>
      <c r="J817" s="1">
        <f>IFERROR(__xludf.DUMMYFUNCTION("""COMPUTED_VALUE"""),1060.39)</f>
        <v>1060.39</v>
      </c>
      <c r="K817" s="1">
        <f>IFERROR(__xludf.DUMMYFUNCTION("""COMPUTED_VALUE"""),1060.39)</f>
        <v>1060.39</v>
      </c>
    </row>
    <row r="818">
      <c r="A818" s="1">
        <f>IFERROR(__xludf.DUMMYFUNCTION("""COMPUTED_VALUE"""),1000.0)</f>
        <v>1000</v>
      </c>
      <c r="B818" s="1">
        <f>IFERROR(__xludf.DUMMYFUNCTION("""COMPUTED_VALUE"""),184044.0)</f>
        <v>184044</v>
      </c>
      <c r="C818" s="1">
        <f>IFERROR(__xludf.DUMMYFUNCTION("""COMPUTED_VALUE"""),2026.0)</f>
        <v>2026</v>
      </c>
      <c r="D818" s="1">
        <f>IFERROR(__xludf.DUMMYFUNCTION("""COMPUTED_VALUE"""),46224.0)</f>
        <v>46224</v>
      </c>
      <c r="E818" s="1" t="str">
        <f>IFERROR(__xludf.DUMMYFUNCTION("""COMPUTED_VALUE"""),"VF")</f>
        <v>VF</v>
      </c>
      <c r="F818" s="1">
        <f>IFERROR(__xludf.DUMMYFUNCTION("""COMPUTED_VALUE"""),1.0)</f>
        <v>1</v>
      </c>
      <c r="G818" s="1" t="str">
        <f>IFERROR(__xludf.DUMMYFUNCTION("""COMPUTED_VALUE"""),"PR014")</f>
        <v>PR014</v>
      </c>
      <c r="H818" s="1" t="str">
        <f>IFERROR(__xludf.DUMMYFUNCTION("""COMPUTED_VALUE"""),"VD023")</f>
        <v>VD023</v>
      </c>
      <c r="I818" s="1">
        <f>IFERROR(__xludf.DUMMYFUNCTION("""COMPUTED_VALUE"""),4.0)</f>
        <v>4</v>
      </c>
      <c r="J818" s="1">
        <f>IFERROR(__xludf.DUMMYFUNCTION("""COMPUTED_VALUE"""),172.37)</f>
        <v>172.37</v>
      </c>
      <c r="K818" s="1">
        <f>IFERROR(__xludf.DUMMYFUNCTION("""COMPUTED_VALUE"""),172.37)</f>
        <v>172.37</v>
      </c>
    </row>
    <row r="819">
      <c r="A819" s="1">
        <f>IFERROR(__xludf.DUMMYFUNCTION("""COMPUTED_VALUE"""),2000.0)</f>
        <v>2000</v>
      </c>
      <c r="B819" s="1">
        <f>IFERROR(__xludf.DUMMYFUNCTION("""COMPUTED_VALUE"""),184045.0)</f>
        <v>184045</v>
      </c>
      <c r="C819" s="1">
        <f>IFERROR(__xludf.DUMMYFUNCTION("""COMPUTED_VALUE"""),2026.0)</f>
        <v>2026</v>
      </c>
      <c r="D819" s="1">
        <f>IFERROR(__xludf.DUMMYFUNCTION("""COMPUTED_VALUE"""),46224.0)</f>
        <v>46224</v>
      </c>
      <c r="E819" s="1" t="str">
        <f>IFERROR(__xludf.DUMMYFUNCTION("""COMPUTED_VALUE"""),"VF")</f>
        <v>VF</v>
      </c>
      <c r="F819" s="1">
        <f>IFERROR(__xludf.DUMMYFUNCTION("""COMPUTED_VALUE"""),1.0)</f>
        <v>1</v>
      </c>
      <c r="G819" s="1" t="str">
        <f>IFERROR(__xludf.DUMMYFUNCTION("""COMPUTED_VALUE"""),"PR055")</f>
        <v>PR055</v>
      </c>
      <c r="H819" s="1" t="str">
        <f>IFERROR(__xludf.DUMMYFUNCTION("""COMPUTED_VALUE"""),"VD018")</f>
        <v>VD018</v>
      </c>
      <c r="I819" s="1">
        <f>IFERROR(__xludf.DUMMYFUNCTION("""COMPUTED_VALUE"""),4.0)</f>
        <v>4</v>
      </c>
      <c r="J819" s="1">
        <f>IFERROR(__xludf.DUMMYFUNCTION("""COMPUTED_VALUE"""),366.79)</f>
        <v>366.79</v>
      </c>
      <c r="K819" s="1">
        <f>IFERROR(__xludf.DUMMYFUNCTION("""COMPUTED_VALUE"""),366.79)</f>
        <v>366.79</v>
      </c>
    </row>
    <row r="820">
      <c r="A820" s="1">
        <f>IFERROR(__xludf.DUMMYFUNCTION("""COMPUTED_VALUE"""),1000.0)</f>
        <v>1000</v>
      </c>
      <c r="B820" s="1">
        <f>IFERROR(__xludf.DUMMYFUNCTION("""COMPUTED_VALUE"""),184046.0)</f>
        <v>184046</v>
      </c>
      <c r="C820" s="1">
        <f>IFERROR(__xludf.DUMMYFUNCTION("""COMPUTED_VALUE"""),2026.0)</f>
        <v>2026</v>
      </c>
      <c r="D820" s="1">
        <f>IFERROR(__xludf.DUMMYFUNCTION("""COMPUTED_VALUE"""),46224.0)</f>
        <v>46224</v>
      </c>
      <c r="E820" s="1" t="str">
        <f>IFERROR(__xludf.DUMMYFUNCTION("""COMPUTED_VALUE"""),"VF")</f>
        <v>VF</v>
      </c>
      <c r="F820" s="1">
        <f>IFERROR(__xludf.DUMMYFUNCTION("""COMPUTED_VALUE"""),1.0)</f>
        <v>1</v>
      </c>
      <c r="G820" s="1" t="str">
        <f>IFERROR(__xludf.DUMMYFUNCTION("""COMPUTED_VALUE"""),"PR007")</f>
        <v>PR007</v>
      </c>
      <c r="H820" s="1" t="str">
        <f>IFERROR(__xludf.DUMMYFUNCTION("""COMPUTED_VALUE"""),"VD010")</f>
        <v>VD010</v>
      </c>
      <c r="I820" s="1">
        <f>IFERROR(__xludf.DUMMYFUNCTION("""COMPUTED_VALUE"""),10.0)</f>
        <v>10</v>
      </c>
      <c r="J820" s="1">
        <f>IFERROR(__xludf.DUMMYFUNCTION("""COMPUTED_VALUE"""),910.54)</f>
        <v>910.54</v>
      </c>
      <c r="K820" s="1">
        <f>IFERROR(__xludf.DUMMYFUNCTION("""COMPUTED_VALUE"""),910.54)</f>
        <v>910.54</v>
      </c>
    </row>
    <row r="821">
      <c r="A821" s="1">
        <f>IFERROR(__xludf.DUMMYFUNCTION("""COMPUTED_VALUE"""),1000.0)</f>
        <v>1000</v>
      </c>
      <c r="B821" s="1">
        <f>IFERROR(__xludf.DUMMYFUNCTION("""COMPUTED_VALUE"""),184047.0)</f>
        <v>184047</v>
      </c>
      <c r="C821" s="1">
        <f>IFERROR(__xludf.DUMMYFUNCTION("""COMPUTED_VALUE"""),2026.0)</f>
        <v>2026</v>
      </c>
      <c r="D821" s="1">
        <f>IFERROR(__xludf.DUMMYFUNCTION("""COMPUTED_VALUE"""),46224.0)</f>
        <v>46224</v>
      </c>
      <c r="E821" s="1" t="str">
        <f>IFERROR(__xludf.DUMMYFUNCTION("""COMPUTED_VALUE"""),"VF")</f>
        <v>VF</v>
      </c>
      <c r="F821" s="1">
        <f>IFERROR(__xludf.DUMMYFUNCTION("""COMPUTED_VALUE"""),1.0)</f>
        <v>1</v>
      </c>
      <c r="G821" s="1" t="str">
        <f>IFERROR(__xludf.DUMMYFUNCTION("""COMPUTED_VALUE"""),"PR043")</f>
        <v>PR043</v>
      </c>
      <c r="H821" s="1" t="str">
        <f>IFERROR(__xludf.DUMMYFUNCTION("""COMPUTED_VALUE"""),"VD035")</f>
        <v>VD035</v>
      </c>
      <c r="I821" s="1">
        <f>IFERROR(__xludf.DUMMYFUNCTION("""COMPUTED_VALUE"""),2.0)</f>
        <v>2</v>
      </c>
      <c r="J821" s="1">
        <f>IFERROR(__xludf.DUMMYFUNCTION("""COMPUTED_VALUE"""),150.8)</f>
        <v>150.8</v>
      </c>
      <c r="K821" s="1">
        <f>IFERROR(__xludf.DUMMYFUNCTION("""COMPUTED_VALUE"""),150.8)</f>
        <v>150.8</v>
      </c>
    </row>
    <row r="822">
      <c r="A822" s="1">
        <f>IFERROR(__xludf.DUMMYFUNCTION("""COMPUTED_VALUE"""),1000.0)</f>
        <v>1000</v>
      </c>
      <c r="B822" s="1">
        <f>IFERROR(__xludf.DUMMYFUNCTION("""COMPUTED_VALUE"""),184047.0)</f>
        <v>184047</v>
      </c>
      <c r="C822" s="1">
        <f>IFERROR(__xludf.DUMMYFUNCTION("""COMPUTED_VALUE"""),2026.0)</f>
        <v>2026</v>
      </c>
      <c r="D822" s="1">
        <f>IFERROR(__xludf.DUMMYFUNCTION("""COMPUTED_VALUE"""),46224.0)</f>
        <v>46224</v>
      </c>
      <c r="E822" s="1" t="str">
        <f>IFERROR(__xludf.DUMMYFUNCTION("""COMPUTED_VALUE"""),"VF")</f>
        <v>VF</v>
      </c>
      <c r="F822" s="1">
        <f>IFERROR(__xludf.DUMMYFUNCTION("""COMPUTED_VALUE"""),2.0)</f>
        <v>2</v>
      </c>
      <c r="G822" s="1" t="str">
        <f>IFERROR(__xludf.DUMMYFUNCTION("""COMPUTED_VALUE"""),"PR005")</f>
        <v>PR005</v>
      </c>
      <c r="H822" s="1" t="str">
        <f>IFERROR(__xludf.DUMMYFUNCTION("""COMPUTED_VALUE"""),"VD049")</f>
        <v>VD049</v>
      </c>
      <c r="I822" s="1">
        <f>IFERROR(__xludf.DUMMYFUNCTION("""COMPUTED_VALUE"""),8.0)</f>
        <v>8</v>
      </c>
      <c r="J822" s="1">
        <f>IFERROR(__xludf.DUMMYFUNCTION("""COMPUTED_VALUE"""),2287.12)</f>
        <v>2287.12</v>
      </c>
      <c r="K822" s="1">
        <f>IFERROR(__xludf.DUMMYFUNCTION("""COMPUTED_VALUE"""),2287.12)</f>
        <v>2287.12</v>
      </c>
    </row>
    <row r="823">
      <c r="A823" s="1">
        <f>IFERROR(__xludf.DUMMYFUNCTION("""COMPUTED_VALUE"""),1000.0)</f>
        <v>1000</v>
      </c>
      <c r="B823" s="1">
        <f>IFERROR(__xludf.DUMMYFUNCTION("""COMPUTED_VALUE"""),184048.0)</f>
        <v>184048</v>
      </c>
      <c r="C823" s="1">
        <f>IFERROR(__xludf.DUMMYFUNCTION("""COMPUTED_VALUE"""),2026.0)</f>
        <v>2026</v>
      </c>
      <c r="D823" s="1">
        <f>IFERROR(__xludf.DUMMYFUNCTION("""COMPUTED_VALUE"""),46224.0)</f>
        <v>46224</v>
      </c>
      <c r="E823" s="1" t="str">
        <f>IFERROR(__xludf.DUMMYFUNCTION("""COMPUTED_VALUE"""),"VF")</f>
        <v>VF</v>
      </c>
      <c r="F823" s="1">
        <f>IFERROR(__xludf.DUMMYFUNCTION("""COMPUTED_VALUE"""),1.0)</f>
        <v>1</v>
      </c>
      <c r="G823" s="1" t="str">
        <f>IFERROR(__xludf.DUMMYFUNCTION("""COMPUTED_VALUE"""),"PR006")</f>
        <v>PR006</v>
      </c>
      <c r="H823" s="1" t="str">
        <f>IFERROR(__xludf.DUMMYFUNCTION("""COMPUTED_VALUE"""),"VD011")</f>
        <v>VD011</v>
      </c>
      <c r="I823" s="1">
        <f>IFERROR(__xludf.DUMMYFUNCTION("""COMPUTED_VALUE"""),2.0)</f>
        <v>2</v>
      </c>
      <c r="J823" s="1">
        <f>IFERROR(__xludf.DUMMYFUNCTION("""COMPUTED_VALUE"""),87.78)</f>
        <v>87.78</v>
      </c>
      <c r="K823" s="1">
        <f>IFERROR(__xludf.DUMMYFUNCTION("""COMPUTED_VALUE"""),87.78)</f>
        <v>87.78</v>
      </c>
    </row>
    <row r="824">
      <c r="A824" s="1">
        <f>IFERROR(__xludf.DUMMYFUNCTION("""COMPUTED_VALUE"""),1000.0)</f>
        <v>1000</v>
      </c>
      <c r="B824" s="1">
        <f>IFERROR(__xludf.DUMMYFUNCTION("""COMPUTED_VALUE"""),184049.0)</f>
        <v>184049</v>
      </c>
      <c r="C824" s="1">
        <f>IFERROR(__xludf.DUMMYFUNCTION("""COMPUTED_VALUE"""),2026.0)</f>
        <v>2026</v>
      </c>
      <c r="D824" s="1">
        <f>IFERROR(__xludf.DUMMYFUNCTION("""COMPUTED_VALUE"""),46224.0)</f>
        <v>46224</v>
      </c>
      <c r="E824" s="1" t="str">
        <f>IFERROR(__xludf.DUMMYFUNCTION("""COMPUTED_VALUE"""),"VF")</f>
        <v>VF</v>
      </c>
      <c r="F824" s="1">
        <f>IFERROR(__xludf.DUMMYFUNCTION("""COMPUTED_VALUE"""),1.0)</f>
        <v>1</v>
      </c>
      <c r="G824" s="1" t="str">
        <f>IFERROR(__xludf.DUMMYFUNCTION("""COMPUTED_VALUE"""),"PR053")</f>
        <v>PR053</v>
      </c>
      <c r="H824" s="1" t="str">
        <f>IFERROR(__xludf.DUMMYFUNCTION("""COMPUTED_VALUE"""),"VD012")</f>
        <v>VD012</v>
      </c>
      <c r="I824" s="1">
        <f>IFERROR(__xludf.DUMMYFUNCTION("""COMPUTED_VALUE"""),2.0)</f>
        <v>2</v>
      </c>
      <c r="J824" s="1">
        <f>IFERROR(__xludf.DUMMYFUNCTION("""COMPUTED_VALUE"""),99.8)</f>
        <v>99.8</v>
      </c>
      <c r="K824" s="1">
        <f>IFERROR(__xludf.DUMMYFUNCTION("""COMPUTED_VALUE"""),99.8)</f>
        <v>99.8</v>
      </c>
    </row>
    <row r="825">
      <c r="A825" s="1">
        <f>IFERROR(__xludf.DUMMYFUNCTION("""COMPUTED_VALUE"""),1000.0)</f>
        <v>1000</v>
      </c>
      <c r="B825" s="1">
        <f>IFERROR(__xludf.DUMMYFUNCTION("""COMPUTED_VALUE"""),184049.0)</f>
        <v>184049</v>
      </c>
      <c r="C825" s="1">
        <f>IFERROR(__xludf.DUMMYFUNCTION("""COMPUTED_VALUE"""),2026.0)</f>
        <v>2026</v>
      </c>
      <c r="D825" s="1">
        <f>IFERROR(__xludf.DUMMYFUNCTION("""COMPUTED_VALUE"""),46224.0)</f>
        <v>46224</v>
      </c>
      <c r="E825" s="1" t="str">
        <f>IFERROR(__xludf.DUMMYFUNCTION("""COMPUTED_VALUE"""),"VF")</f>
        <v>VF</v>
      </c>
      <c r="F825" s="1">
        <f>IFERROR(__xludf.DUMMYFUNCTION("""COMPUTED_VALUE"""),2.0)</f>
        <v>2</v>
      </c>
      <c r="G825" s="1" t="str">
        <f>IFERROR(__xludf.DUMMYFUNCTION("""COMPUTED_VALUE"""),"PR042")</f>
        <v>PR042</v>
      </c>
      <c r="H825" s="1" t="str">
        <f>IFERROR(__xludf.DUMMYFUNCTION("""COMPUTED_VALUE"""),"VD018")</f>
        <v>VD018</v>
      </c>
      <c r="I825" s="1">
        <f>IFERROR(__xludf.DUMMYFUNCTION("""COMPUTED_VALUE"""),10.0)</f>
        <v>10</v>
      </c>
      <c r="J825" s="1">
        <f>IFERROR(__xludf.DUMMYFUNCTION("""COMPUTED_VALUE"""),587.43)</f>
        <v>587.43</v>
      </c>
      <c r="K825" s="1">
        <f>IFERROR(__xludf.DUMMYFUNCTION("""COMPUTED_VALUE"""),587.43)</f>
        <v>587.43</v>
      </c>
    </row>
    <row r="826">
      <c r="A826" s="1">
        <f>IFERROR(__xludf.DUMMYFUNCTION("""COMPUTED_VALUE"""),1000.0)</f>
        <v>1000</v>
      </c>
      <c r="B826" s="1">
        <f>IFERROR(__xludf.DUMMYFUNCTION("""COMPUTED_VALUE"""),184050.0)</f>
        <v>184050</v>
      </c>
      <c r="C826" s="1">
        <f>IFERROR(__xludf.DUMMYFUNCTION("""COMPUTED_VALUE"""),2026.0)</f>
        <v>2026</v>
      </c>
      <c r="D826" s="1">
        <f>IFERROR(__xludf.DUMMYFUNCTION("""COMPUTED_VALUE"""),46224.0)</f>
        <v>46224</v>
      </c>
      <c r="E826" s="1" t="str">
        <f>IFERROR(__xludf.DUMMYFUNCTION("""COMPUTED_VALUE"""),"VF")</f>
        <v>VF</v>
      </c>
      <c r="F826" s="1">
        <f>IFERROR(__xludf.DUMMYFUNCTION("""COMPUTED_VALUE"""),1.0)</f>
        <v>1</v>
      </c>
      <c r="G826" s="1" t="str">
        <f>IFERROR(__xludf.DUMMYFUNCTION("""COMPUTED_VALUE"""),"PR060")</f>
        <v>PR060</v>
      </c>
      <c r="H826" s="1" t="str">
        <f>IFERROR(__xludf.DUMMYFUNCTION("""COMPUTED_VALUE"""),"VD047")</f>
        <v>VD047</v>
      </c>
      <c r="I826" s="1">
        <f>IFERROR(__xludf.DUMMYFUNCTION("""COMPUTED_VALUE"""),16.0)</f>
        <v>16</v>
      </c>
      <c r="J826" s="1">
        <f>IFERROR(__xludf.DUMMYFUNCTION("""COMPUTED_VALUE"""),2937.6)</f>
        <v>2937.6</v>
      </c>
      <c r="K826" s="1">
        <f>IFERROR(__xludf.DUMMYFUNCTION("""COMPUTED_VALUE"""),2937.6)</f>
        <v>2937.6</v>
      </c>
    </row>
    <row r="827">
      <c r="A827" s="1">
        <f>IFERROR(__xludf.DUMMYFUNCTION("""COMPUTED_VALUE"""),1000.0)</f>
        <v>1000</v>
      </c>
      <c r="B827" s="1">
        <f>IFERROR(__xludf.DUMMYFUNCTION("""COMPUTED_VALUE"""),184051.0)</f>
        <v>184051</v>
      </c>
      <c r="C827" s="1">
        <f>IFERROR(__xludf.DUMMYFUNCTION("""COMPUTED_VALUE"""),2026.0)</f>
        <v>2026</v>
      </c>
      <c r="D827" s="1">
        <f>IFERROR(__xludf.DUMMYFUNCTION("""COMPUTED_VALUE"""),46224.0)</f>
        <v>46224</v>
      </c>
      <c r="E827" s="1" t="str">
        <f>IFERROR(__xludf.DUMMYFUNCTION("""COMPUTED_VALUE"""),"VF")</f>
        <v>VF</v>
      </c>
      <c r="F827" s="1">
        <f>IFERROR(__xludf.DUMMYFUNCTION("""COMPUTED_VALUE"""),1.0)</f>
        <v>1</v>
      </c>
      <c r="G827" s="1" t="str">
        <f>IFERROR(__xludf.DUMMYFUNCTION("""COMPUTED_VALUE"""),"PR054")</f>
        <v>PR054</v>
      </c>
      <c r="H827" s="1" t="str">
        <f>IFERROR(__xludf.DUMMYFUNCTION("""COMPUTED_VALUE"""),"VD019")</f>
        <v>VD019</v>
      </c>
      <c r="I827" s="1">
        <f>IFERROR(__xludf.DUMMYFUNCTION("""COMPUTED_VALUE"""),3.0)</f>
        <v>3</v>
      </c>
      <c r="J827" s="1">
        <f>IFERROR(__xludf.DUMMYFUNCTION("""COMPUTED_VALUE"""),157.19)</f>
        <v>157.19</v>
      </c>
      <c r="K827" s="1">
        <f>IFERROR(__xludf.DUMMYFUNCTION("""COMPUTED_VALUE"""),157.19)</f>
        <v>157.19</v>
      </c>
    </row>
    <row r="828">
      <c r="A828" s="1">
        <f>IFERROR(__xludf.DUMMYFUNCTION("""COMPUTED_VALUE"""),1000.0)</f>
        <v>1000</v>
      </c>
      <c r="B828" s="1">
        <f>IFERROR(__xludf.DUMMYFUNCTION("""COMPUTED_VALUE"""),184051.0)</f>
        <v>184051</v>
      </c>
      <c r="C828" s="1">
        <f>IFERROR(__xludf.DUMMYFUNCTION("""COMPUTED_VALUE"""),2026.0)</f>
        <v>2026</v>
      </c>
      <c r="D828" s="1">
        <f>IFERROR(__xludf.DUMMYFUNCTION("""COMPUTED_VALUE"""),46224.0)</f>
        <v>46224</v>
      </c>
      <c r="E828" s="1" t="str">
        <f>IFERROR(__xludf.DUMMYFUNCTION("""COMPUTED_VALUE"""),"VF")</f>
        <v>VF</v>
      </c>
      <c r="F828" s="1">
        <f>IFERROR(__xludf.DUMMYFUNCTION("""COMPUTED_VALUE"""),2.0)</f>
        <v>2</v>
      </c>
      <c r="G828" s="1" t="str">
        <f>IFERROR(__xludf.DUMMYFUNCTION("""COMPUTED_VALUE"""),"PR026")</f>
        <v>PR026</v>
      </c>
      <c r="H828" s="1" t="str">
        <f>IFERROR(__xludf.DUMMYFUNCTION("""COMPUTED_VALUE"""),"VD036")</f>
        <v>VD036</v>
      </c>
      <c r="I828" s="1">
        <f>IFERROR(__xludf.DUMMYFUNCTION("""COMPUTED_VALUE"""),7.0)</f>
        <v>7</v>
      </c>
      <c r="J828" s="1">
        <f>IFERROR(__xludf.DUMMYFUNCTION("""COMPUTED_VALUE"""),2694.23)</f>
        <v>2694.23</v>
      </c>
      <c r="K828" s="1">
        <f>IFERROR(__xludf.DUMMYFUNCTION("""COMPUTED_VALUE"""),2694.23)</f>
        <v>2694.23</v>
      </c>
    </row>
    <row r="829">
      <c r="A829" s="1">
        <f>IFERROR(__xludf.DUMMYFUNCTION("""COMPUTED_VALUE"""),2000.0)</f>
        <v>2000</v>
      </c>
      <c r="B829" s="1">
        <f>IFERROR(__xludf.DUMMYFUNCTION("""COMPUTED_VALUE"""),184051.0)</f>
        <v>184051</v>
      </c>
      <c r="C829" s="1">
        <f>IFERROR(__xludf.DUMMYFUNCTION("""COMPUTED_VALUE"""),2026.0)</f>
        <v>2026</v>
      </c>
      <c r="D829" s="1">
        <f>IFERROR(__xludf.DUMMYFUNCTION("""COMPUTED_VALUE"""),46224.0)</f>
        <v>46224</v>
      </c>
      <c r="E829" s="1" t="str">
        <f>IFERROR(__xludf.DUMMYFUNCTION("""COMPUTED_VALUE"""),"VF")</f>
        <v>VF</v>
      </c>
      <c r="F829" s="1">
        <f>IFERROR(__xludf.DUMMYFUNCTION("""COMPUTED_VALUE"""),3.0)</f>
        <v>3</v>
      </c>
      <c r="G829" s="1" t="str">
        <f>IFERROR(__xludf.DUMMYFUNCTION("""COMPUTED_VALUE"""),"PR002")</f>
        <v>PR002</v>
      </c>
      <c r="H829" s="1" t="str">
        <f>IFERROR(__xludf.DUMMYFUNCTION("""COMPUTED_VALUE"""),"VD046")</f>
        <v>VD046</v>
      </c>
      <c r="I829" s="1">
        <f>IFERROR(__xludf.DUMMYFUNCTION("""COMPUTED_VALUE"""),5.0)</f>
        <v>5</v>
      </c>
      <c r="J829" s="1">
        <f>IFERROR(__xludf.DUMMYFUNCTION("""COMPUTED_VALUE"""),356.49)</f>
        <v>356.49</v>
      </c>
      <c r="K829" s="1">
        <f>IFERROR(__xludf.DUMMYFUNCTION("""COMPUTED_VALUE"""),356.49)</f>
        <v>356.49</v>
      </c>
    </row>
    <row r="830">
      <c r="A830" s="1">
        <f>IFERROR(__xludf.DUMMYFUNCTION("""COMPUTED_VALUE"""),2000.0)</f>
        <v>2000</v>
      </c>
      <c r="B830" s="1">
        <f>IFERROR(__xludf.DUMMYFUNCTION("""COMPUTED_VALUE"""),184052.0)</f>
        <v>184052</v>
      </c>
      <c r="C830" s="1">
        <f>IFERROR(__xludf.DUMMYFUNCTION("""COMPUTED_VALUE"""),2026.0)</f>
        <v>2026</v>
      </c>
      <c r="D830" s="1">
        <f>IFERROR(__xludf.DUMMYFUNCTION("""COMPUTED_VALUE"""),46223.0)</f>
        <v>46223</v>
      </c>
      <c r="E830" s="1" t="str">
        <f>IFERROR(__xludf.DUMMYFUNCTION("""COMPUTED_VALUE"""),"VF")</f>
        <v>VF</v>
      </c>
      <c r="F830" s="1">
        <f>IFERROR(__xludf.DUMMYFUNCTION("""COMPUTED_VALUE"""),1.0)</f>
        <v>1</v>
      </c>
      <c r="G830" s="1" t="str">
        <f>IFERROR(__xludf.DUMMYFUNCTION("""COMPUTED_VALUE"""),"PR001")</f>
        <v>PR001</v>
      </c>
      <c r="H830" s="1" t="str">
        <f>IFERROR(__xludf.DUMMYFUNCTION("""COMPUTED_VALUE"""),"VD021")</f>
        <v>VD021</v>
      </c>
      <c r="I830" s="1">
        <f>IFERROR(__xludf.DUMMYFUNCTION("""COMPUTED_VALUE"""),3.0)</f>
        <v>3</v>
      </c>
      <c r="J830" s="1">
        <f>IFERROR(__xludf.DUMMYFUNCTION("""COMPUTED_VALUE"""),213.52)</f>
        <v>213.52</v>
      </c>
      <c r="K830" s="1">
        <f>IFERROR(__xludf.DUMMYFUNCTION("""COMPUTED_VALUE"""),213.52)</f>
        <v>213.52</v>
      </c>
    </row>
    <row r="831">
      <c r="A831" s="1">
        <f>IFERROR(__xludf.DUMMYFUNCTION("""COMPUTED_VALUE"""),1000.0)</f>
        <v>1000</v>
      </c>
      <c r="B831" s="1">
        <f>IFERROR(__xludf.DUMMYFUNCTION("""COMPUTED_VALUE"""),184053.0)</f>
        <v>184053</v>
      </c>
      <c r="C831" s="1">
        <f>IFERROR(__xludf.DUMMYFUNCTION("""COMPUTED_VALUE"""),2026.0)</f>
        <v>2026</v>
      </c>
      <c r="D831" s="1">
        <f>IFERROR(__xludf.DUMMYFUNCTION("""COMPUTED_VALUE"""),46223.0)</f>
        <v>46223</v>
      </c>
      <c r="E831" s="1" t="str">
        <f>IFERROR(__xludf.DUMMYFUNCTION("""COMPUTED_VALUE"""),"VF")</f>
        <v>VF</v>
      </c>
      <c r="F831" s="1">
        <f>IFERROR(__xludf.DUMMYFUNCTION("""COMPUTED_VALUE"""),1.0)</f>
        <v>1</v>
      </c>
      <c r="G831" s="1" t="str">
        <f>IFERROR(__xludf.DUMMYFUNCTION("""COMPUTED_VALUE"""),"PR044")</f>
        <v>PR044</v>
      </c>
      <c r="H831" s="1" t="str">
        <f>IFERROR(__xludf.DUMMYFUNCTION("""COMPUTED_VALUE"""),"VD030")</f>
        <v>VD030</v>
      </c>
      <c r="I831" s="1">
        <f>IFERROR(__xludf.DUMMYFUNCTION("""COMPUTED_VALUE"""),3.0)</f>
        <v>3</v>
      </c>
      <c r="J831" s="1">
        <f>IFERROR(__xludf.DUMMYFUNCTION("""COMPUTED_VALUE"""),232.73)</f>
        <v>232.73</v>
      </c>
      <c r="K831" s="1">
        <f>IFERROR(__xludf.DUMMYFUNCTION("""COMPUTED_VALUE"""),232.73)</f>
        <v>232.73</v>
      </c>
    </row>
    <row r="832">
      <c r="A832" s="1">
        <f>IFERROR(__xludf.DUMMYFUNCTION("""COMPUTED_VALUE"""),1000.0)</f>
        <v>1000</v>
      </c>
      <c r="B832" s="1">
        <f>IFERROR(__xludf.DUMMYFUNCTION("""COMPUTED_VALUE"""),184054.0)</f>
        <v>184054</v>
      </c>
      <c r="C832" s="1">
        <f>IFERROR(__xludf.DUMMYFUNCTION("""COMPUTED_VALUE"""),2026.0)</f>
        <v>2026</v>
      </c>
      <c r="D832" s="1">
        <f>IFERROR(__xludf.DUMMYFUNCTION("""COMPUTED_VALUE"""),46223.0)</f>
        <v>46223</v>
      </c>
      <c r="E832" s="1" t="str">
        <f>IFERROR(__xludf.DUMMYFUNCTION("""COMPUTED_VALUE"""),"VF")</f>
        <v>VF</v>
      </c>
      <c r="F832" s="1">
        <f>IFERROR(__xludf.DUMMYFUNCTION("""COMPUTED_VALUE"""),1.0)</f>
        <v>1</v>
      </c>
      <c r="G832" s="1" t="str">
        <f>IFERROR(__xludf.DUMMYFUNCTION("""COMPUTED_VALUE"""),"PR028")</f>
        <v>PR028</v>
      </c>
      <c r="H832" s="1" t="str">
        <f>IFERROR(__xludf.DUMMYFUNCTION("""COMPUTED_VALUE"""),"VD021")</f>
        <v>VD021</v>
      </c>
      <c r="I832" s="1">
        <f>IFERROR(__xludf.DUMMYFUNCTION("""COMPUTED_VALUE"""),2.0)</f>
        <v>2</v>
      </c>
      <c r="J832" s="1">
        <f>IFERROR(__xludf.DUMMYFUNCTION("""COMPUTED_VALUE"""),529.79)</f>
        <v>529.79</v>
      </c>
      <c r="K832" s="1">
        <f>IFERROR(__xludf.DUMMYFUNCTION("""COMPUTED_VALUE"""),529.79)</f>
        <v>529.79</v>
      </c>
    </row>
    <row r="833">
      <c r="A833" s="1">
        <f>IFERROR(__xludf.DUMMYFUNCTION("""COMPUTED_VALUE"""),1000.0)</f>
        <v>1000</v>
      </c>
      <c r="B833" s="1">
        <f>IFERROR(__xludf.DUMMYFUNCTION("""COMPUTED_VALUE"""),184055.0)</f>
        <v>184055</v>
      </c>
      <c r="C833" s="1">
        <f>IFERROR(__xludf.DUMMYFUNCTION("""COMPUTED_VALUE"""),2026.0)</f>
        <v>2026</v>
      </c>
      <c r="D833" s="1">
        <f>IFERROR(__xludf.DUMMYFUNCTION("""COMPUTED_VALUE"""),46223.0)</f>
        <v>46223</v>
      </c>
      <c r="E833" s="1" t="str">
        <f>IFERROR(__xludf.DUMMYFUNCTION("""COMPUTED_VALUE"""),"VF")</f>
        <v>VF</v>
      </c>
      <c r="F833" s="1">
        <f>IFERROR(__xludf.DUMMYFUNCTION("""COMPUTED_VALUE"""),1.0)</f>
        <v>1</v>
      </c>
      <c r="G833" s="1" t="str">
        <f>IFERROR(__xludf.DUMMYFUNCTION("""COMPUTED_VALUE"""),"PR045")</f>
        <v>PR045</v>
      </c>
      <c r="H833" s="1" t="str">
        <f>IFERROR(__xludf.DUMMYFUNCTION("""COMPUTED_VALUE"""),"VD024")</f>
        <v>VD024</v>
      </c>
      <c r="I833" s="1">
        <f>IFERROR(__xludf.DUMMYFUNCTION("""COMPUTED_VALUE"""),18.0)</f>
        <v>18</v>
      </c>
      <c r="J833" s="1">
        <f>IFERROR(__xludf.DUMMYFUNCTION("""COMPUTED_VALUE"""),1435.5)</f>
        <v>1435.5</v>
      </c>
      <c r="K833" s="1">
        <f>IFERROR(__xludf.DUMMYFUNCTION("""COMPUTED_VALUE"""),1435.5)</f>
        <v>1435.5</v>
      </c>
    </row>
    <row r="834">
      <c r="A834" s="1">
        <f>IFERROR(__xludf.DUMMYFUNCTION("""COMPUTED_VALUE"""),1000.0)</f>
        <v>1000</v>
      </c>
      <c r="B834" s="1">
        <f>IFERROR(__xludf.DUMMYFUNCTION("""COMPUTED_VALUE"""),184055.0)</f>
        <v>184055</v>
      </c>
      <c r="C834" s="1">
        <f>IFERROR(__xludf.DUMMYFUNCTION("""COMPUTED_VALUE"""),2026.0)</f>
        <v>2026</v>
      </c>
      <c r="D834" s="1">
        <f>IFERROR(__xludf.DUMMYFUNCTION("""COMPUTED_VALUE"""),46223.0)</f>
        <v>46223</v>
      </c>
      <c r="E834" s="1" t="str">
        <f>IFERROR(__xludf.DUMMYFUNCTION("""COMPUTED_VALUE"""),"VF")</f>
        <v>VF</v>
      </c>
      <c r="F834" s="1">
        <f>IFERROR(__xludf.DUMMYFUNCTION("""COMPUTED_VALUE"""),2.0)</f>
        <v>2</v>
      </c>
      <c r="G834" s="1" t="str">
        <f>IFERROR(__xludf.DUMMYFUNCTION("""COMPUTED_VALUE"""),"PR052")</f>
        <v>PR052</v>
      </c>
      <c r="H834" s="1" t="str">
        <f>IFERROR(__xludf.DUMMYFUNCTION("""COMPUTED_VALUE"""),"VD038")</f>
        <v>VD038</v>
      </c>
      <c r="I834" s="1">
        <f>IFERROR(__xludf.DUMMYFUNCTION("""COMPUTED_VALUE"""),8.0)</f>
        <v>8</v>
      </c>
      <c r="J834" s="1">
        <f>IFERROR(__xludf.DUMMYFUNCTION("""COMPUTED_VALUE"""),415.17)</f>
        <v>415.17</v>
      </c>
      <c r="K834" s="1">
        <f>IFERROR(__xludf.DUMMYFUNCTION("""COMPUTED_VALUE"""),415.17)</f>
        <v>415.17</v>
      </c>
    </row>
    <row r="835">
      <c r="A835" s="1">
        <f>IFERROR(__xludf.DUMMYFUNCTION("""COMPUTED_VALUE"""),2000.0)</f>
        <v>2000</v>
      </c>
      <c r="B835" s="1">
        <f>IFERROR(__xludf.DUMMYFUNCTION("""COMPUTED_VALUE"""),184056.0)</f>
        <v>184056</v>
      </c>
      <c r="C835" s="1">
        <f>IFERROR(__xludf.DUMMYFUNCTION("""COMPUTED_VALUE"""),2026.0)</f>
        <v>2026</v>
      </c>
      <c r="D835" s="1">
        <f>IFERROR(__xludf.DUMMYFUNCTION("""COMPUTED_VALUE"""),46223.0)</f>
        <v>46223</v>
      </c>
      <c r="E835" s="1" t="str">
        <f>IFERROR(__xludf.DUMMYFUNCTION("""COMPUTED_VALUE"""),"VF")</f>
        <v>VF</v>
      </c>
      <c r="F835" s="1">
        <f>IFERROR(__xludf.DUMMYFUNCTION("""COMPUTED_VALUE"""),1.0)</f>
        <v>1</v>
      </c>
      <c r="G835" s="1" t="str">
        <f>IFERROR(__xludf.DUMMYFUNCTION("""COMPUTED_VALUE"""),"PR024")</f>
        <v>PR024</v>
      </c>
      <c r="H835" s="1" t="str">
        <f>IFERROR(__xludf.DUMMYFUNCTION("""COMPUTED_VALUE"""),"VD026")</f>
        <v>VD026</v>
      </c>
      <c r="I835" s="1">
        <f>IFERROR(__xludf.DUMMYFUNCTION("""COMPUTED_VALUE"""),4.0)</f>
        <v>4</v>
      </c>
      <c r="J835" s="1">
        <f>IFERROR(__xludf.DUMMYFUNCTION("""COMPUTED_VALUE"""),1122.77)</f>
        <v>1122.77</v>
      </c>
      <c r="K835" s="1">
        <f>IFERROR(__xludf.DUMMYFUNCTION("""COMPUTED_VALUE"""),1122.77)</f>
        <v>1122.77</v>
      </c>
    </row>
    <row r="836">
      <c r="A836" s="1">
        <f>IFERROR(__xludf.DUMMYFUNCTION("""COMPUTED_VALUE"""),1000.0)</f>
        <v>1000</v>
      </c>
      <c r="B836" s="1">
        <f>IFERROR(__xludf.DUMMYFUNCTION("""COMPUTED_VALUE"""),184056.0)</f>
        <v>184056</v>
      </c>
      <c r="C836" s="1">
        <f>IFERROR(__xludf.DUMMYFUNCTION("""COMPUTED_VALUE"""),2026.0)</f>
        <v>2026</v>
      </c>
      <c r="D836" s="1">
        <f>IFERROR(__xludf.DUMMYFUNCTION("""COMPUTED_VALUE"""),46223.0)</f>
        <v>46223</v>
      </c>
      <c r="E836" s="1" t="str">
        <f>IFERROR(__xludf.DUMMYFUNCTION("""COMPUTED_VALUE"""),"VF")</f>
        <v>VF</v>
      </c>
      <c r="F836" s="1">
        <f>IFERROR(__xludf.DUMMYFUNCTION("""COMPUTED_VALUE"""),2.0)</f>
        <v>2</v>
      </c>
      <c r="G836" s="1" t="str">
        <f>IFERROR(__xludf.DUMMYFUNCTION("""COMPUTED_VALUE"""),"PR013")</f>
        <v>PR013</v>
      </c>
      <c r="H836" s="1" t="str">
        <f>IFERROR(__xludf.DUMMYFUNCTION("""COMPUTED_VALUE"""),"VD028")</f>
        <v>VD028</v>
      </c>
      <c r="I836" s="1">
        <f>IFERROR(__xludf.DUMMYFUNCTION("""COMPUTED_VALUE"""),20.0)</f>
        <v>20</v>
      </c>
      <c r="J836" s="1">
        <f>IFERROR(__xludf.DUMMYFUNCTION("""COMPUTED_VALUE"""),821.94)</f>
        <v>821.94</v>
      </c>
      <c r="K836" s="1">
        <f>IFERROR(__xludf.DUMMYFUNCTION("""COMPUTED_VALUE"""),821.94)</f>
        <v>821.94</v>
      </c>
    </row>
    <row r="837">
      <c r="A837" s="1">
        <f>IFERROR(__xludf.DUMMYFUNCTION("""COMPUTED_VALUE"""),1000.0)</f>
        <v>1000</v>
      </c>
      <c r="B837" s="1">
        <f>IFERROR(__xludf.DUMMYFUNCTION("""COMPUTED_VALUE"""),184057.0)</f>
        <v>184057</v>
      </c>
      <c r="C837" s="1">
        <f>IFERROR(__xludf.DUMMYFUNCTION("""COMPUTED_VALUE"""),2026.0)</f>
        <v>2026</v>
      </c>
      <c r="D837" s="1">
        <f>IFERROR(__xludf.DUMMYFUNCTION("""COMPUTED_VALUE"""),46222.0)</f>
        <v>46222</v>
      </c>
      <c r="E837" s="1" t="str">
        <f>IFERROR(__xludf.DUMMYFUNCTION("""COMPUTED_VALUE"""),"VF")</f>
        <v>VF</v>
      </c>
      <c r="F837" s="1">
        <f>IFERROR(__xludf.DUMMYFUNCTION("""COMPUTED_VALUE"""),1.0)</f>
        <v>1</v>
      </c>
      <c r="G837" s="1" t="str">
        <f>IFERROR(__xludf.DUMMYFUNCTION("""COMPUTED_VALUE"""),"PR053")</f>
        <v>PR053</v>
      </c>
      <c r="H837" s="1" t="str">
        <f>IFERROR(__xludf.DUMMYFUNCTION("""COMPUTED_VALUE"""),"VD049")</f>
        <v>VD049</v>
      </c>
      <c r="I837" s="1">
        <f>IFERROR(__xludf.DUMMYFUNCTION("""COMPUTED_VALUE"""),6.0)</f>
        <v>6</v>
      </c>
      <c r="J837" s="1">
        <f>IFERROR(__xludf.DUMMYFUNCTION("""COMPUTED_VALUE"""),302.39)</f>
        <v>302.39</v>
      </c>
      <c r="K837" s="1">
        <f>IFERROR(__xludf.DUMMYFUNCTION("""COMPUTED_VALUE"""),302.39)</f>
        <v>302.39</v>
      </c>
    </row>
    <row r="838">
      <c r="A838" s="1">
        <f>IFERROR(__xludf.DUMMYFUNCTION("""COMPUTED_VALUE"""),1000.0)</f>
        <v>1000</v>
      </c>
      <c r="B838" s="1">
        <f>IFERROR(__xludf.DUMMYFUNCTION("""COMPUTED_VALUE"""),184057.0)</f>
        <v>184057</v>
      </c>
      <c r="C838" s="1">
        <f>IFERROR(__xludf.DUMMYFUNCTION("""COMPUTED_VALUE"""),2026.0)</f>
        <v>2026</v>
      </c>
      <c r="D838" s="1">
        <f>IFERROR(__xludf.DUMMYFUNCTION("""COMPUTED_VALUE"""),46222.0)</f>
        <v>46222</v>
      </c>
      <c r="E838" s="1" t="str">
        <f>IFERROR(__xludf.DUMMYFUNCTION("""COMPUTED_VALUE"""),"VF")</f>
        <v>VF</v>
      </c>
      <c r="F838" s="1">
        <f>IFERROR(__xludf.DUMMYFUNCTION("""COMPUTED_VALUE"""),2.0)</f>
        <v>2</v>
      </c>
      <c r="G838" s="1" t="str">
        <f>IFERROR(__xludf.DUMMYFUNCTION("""COMPUTED_VALUE"""),"PR029")</f>
        <v>PR029</v>
      </c>
      <c r="H838" s="1" t="str">
        <f>IFERROR(__xludf.DUMMYFUNCTION("""COMPUTED_VALUE"""),"VD029")</f>
        <v>VD029</v>
      </c>
      <c r="I838" s="1">
        <f>IFERROR(__xludf.DUMMYFUNCTION("""COMPUTED_VALUE"""),8.0)</f>
        <v>8</v>
      </c>
      <c r="J838" s="1">
        <f>IFERROR(__xludf.DUMMYFUNCTION("""COMPUTED_VALUE"""),2182.8)</f>
        <v>2182.8</v>
      </c>
      <c r="K838" s="1">
        <f>IFERROR(__xludf.DUMMYFUNCTION("""COMPUTED_VALUE"""),2182.8)</f>
        <v>2182.8</v>
      </c>
    </row>
    <row r="839">
      <c r="A839" s="1">
        <f>IFERROR(__xludf.DUMMYFUNCTION("""COMPUTED_VALUE"""),1000.0)</f>
        <v>1000</v>
      </c>
      <c r="B839" s="1">
        <f>IFERROR(__xludf.DUMMYFUNCTION("""COMPUTED_VALUE"""),184058.0)</f>
        <v>184058</v>
      </c>
      <c r="C839" s="1">
        <f>IFERROR(__xludf.DUMMYFUNCTION("""COMPUTED_VALUE"""),2026.0)</f>
        <v>2026</v>
      </c>
      <c r="D839" s="1">
        <f>IFERROR(__xludf.DUMMYFUNCTION("""COMPUTED_VALUE"""),46222.0)</f>
        <v>46222</v>
      </c>
      <c r="E839" s="1" t="str">
        <f>IFERROR(__xludf.DUMMYFUNCTION("""COMPUTED_VALUE"""),"VF")</f>
        <v>VF</v>
      </c>
      <c r="F839" s="1">
        <f>IFERROR(__xludf.DUMMYFUNCTION("""COMPUTED_VALUE"""),1.0)</f>
        <v>1</v>
      </c>
      <c r="G839" s="1" t="str">
        <f>IFERROR(__xludf.DUMMYFUNCTION("""COMPUTED_VALUE"""),"PR001")</f>
        <v>PR001</v>
      </c>
      <c r="H839" s="1" t="str">
        <f>IFERROR(__xludf.DUMMYFUNCTION("""COMPUTED_VALUE"""),"VD014")</f>
        <v>VD014</v>
      </c>
      <c r="I839" s="1">
        <f>IFERROR(__xludf.DUMMYFUNCTION("""COMPUTED_VALUE"""),6.0)</f>
        <v>6</v>
      </c>
      <c r="J839" s="1">
        <f>IFERROR(__xludf.DUMMYFUNCTION("""COMPUTED_VALUE"""),423.08)</f>
        <v>423.08</v>
      </c>
      <c r="K839" s="1">
        <f>IFERROR(__xludf.DUMMYFUNCTION("""COMPUTED_VALUE"""),423.08)</f>
        <v>423.08</v>
      </c>
    </row>
    <row r="840">
      <c r="A840" s="1">
        <f>IFERROR(__xludf.DUMMYFUNCTION("""COMPUTED_VALUE"""),2000.0)</f>
        <v>2000</v>
      </c>
      <c r="B840" s="1">
        <f>IFERROR(__xludf.DUMMYFUNCTION("""COMPUTED_VALUE"""),184059.0)</f>
        <v>184059</v>
      </c>
      <c r="C840" s="1">
        <f>IFERROR(__xludf.DUMMYFUNCTION("""COMPUTED_VALUE"""),2026.0)</f>
        <v>2026</v>
      </c>
      <c r="D840" s="1">
        <f>IFERROR(__xludf.DUMMYFUNCTION("""COMPUTED_VALUE"""),46222.0)</f>
        <v>46222</v>
      </c>
      <c r="E840" s="1" t="str">
        <f>IFERROR(__xludf.DUMMYFUNCTION("""COMPUTED_VALUE"""),"VF")</f>
        <v>VF</v>
      </c>
      <c r="F840" s="1">
        <f>IFERROR(__xludf.DUMMYFUNCTION("""COMPUTED_VALUE"""),1.0)</f>
        <v>1</v>
      </c>
      <c r="G840" s="1" t="str">
        <f>IFERROR(__xludf.DUMMYFUNCTION("""COMPUTED_VALUE"""),"PR059")</f>
        <v>PR059</v>
      </c>
      <c r="H840" s="1" t="str">
        <f>IFERROR(__xludf.DUMMYFUNCTION("""COMPUTED_VALUE"""),"VD025")</f>
        <v>VD025</v>
      </c>
      <c r="I840" s="1">
        <f>IFERROR(__xludf.DUMMYFUNCTION("""COMPUTED_VALUE"""),12.0)</f>
        <v>12</v>
      </c>
      <c r="J840" s="1">
        <f>IFERROR(__xludf.DUMMYFUNCTION("""COMPUTED_VALUE"""),2289.6)</f>
        <v>2289.6</v>
      </c>
      <c r="K840" s="1">
        <f>IFERROR(__xludf.DUMMYFUNCTION("""COMPUTED_VALUE"""),2289.6)</f>
        <v>2289.6</v>
      </c>
    </row>
    <row r="841">
      <c r="A841" s="1">
        <f>IFERROR(__xludf.DUMMYFUNCTION("""COMPUTED_VALUE"""),1000.0)</f>
        <v>1000</v>
      </c>
      <c r="B841" s="1">
        <f>IFERROR(__xludf.DUMMYFUNCTION("""COMPUTED_VALUE"""),184060.0)</f>
        <v>184060</v>
      </c>
      <c r="C841" s="1">
        <f>IFERROR(__xludf.DUMMYFUNCTION("""COMPUTED_VALUE"""),2026.0)</f>
        <v>2026</v>
      </c>
      <c r="D841" s="1">
        <f>IFERROR(__xludf.DUMMYFUNCTION("""COMPUTED_VALUE"""),46222.0)</f>
        <v>46222</v>
      </c>
      <c r="E841" s="1" t="str">
        <f>IFERROR(__xludf.DUMMYFUNCTION("""COMPUTED_VALUE"""),"VF")</f>
        <v>VF</v>
      </c>
      <c r="F841" s="1">
        <f>IFERROR(__xludf.DUMMYFUNCTION("""COMPUTED_VALUE"""),1.0)</f>
        <v>1</v>
      </c>
      <c r="G841" s="1" t="str">
        <f>IFERROR(__xludf.DUMMYFUNCTION("""COMPUTED_VALUE"""),"PR039")</f>
        <v>PR039</v>
      </c>
      <c r="H841" s="1" t="str">
        <f>IFERROR(__xludf.DUMMYFUNCTION("""COMPUTED_VALUE"""),"VD036")</f>
        <v>VD036</v>
      </c>
      <c r="I841" s="1">
        <f>IFERROR(__xludf.DUMMYFUNCTION("""COMPUTED_VALUE"""),8.0)</f>
        <v>8</v>
      </c>
      <c r="J841" s="1">
        <f>IFERROR(__xludf.DUMMYFUNCTION("""COMPUTED_VALUE"""),1203.04)</f>
        <v>1203.04</v>
      </c>
      <c r="K841" s="1">
        <f>IFERROR(__xludf.DUMMYFUNCTION("""COMPUTED_VALUE"""),1203.04)</f>
        <v>1203.04</v>
      </c>
    </row>
    <row r="842">
      <c r="A842" s="1">
        <f>IFERROR(__xludf.DUMMYFUNCTION("""COMPUTED_VALUE"""),2000.0)</f>
        <v>2000</v>
      </c>
      <c r="B842" s="1">
        <f>IFERROR(__xludf.DUMMYFUNCTION("""COMPUTED_VALUE"""),184060.0)</f>
        <v>184060</v>
      </c>
      <c r="C842" s="1">
        <f>IFERROR(__xludf.DUMMYFUNCTION("""COMPUTED_VALUE"""),2026.0)</f>
        <v>2026</v>
      </c>
      <c r="D842" s="1">
        <f>IFERROR(__xludf.DUMMYFUNCTION("""COMPUTED_VALUE"""),46221.0)</f>
        <v>46221</v>
      </c>
      <c r="E842" s="1" t="str">
        <f>IFERROR(__xludf.DUMMYFUNCTION("""COMPUTED_VALUE"""),"VF")</f>
        <v>VF</v>
      </c>
      <c r="F842" s="1">
        <f>IFERROR(__xludf.DUMMYFUNCTION("""COMPUTED_VALUE"""),2.0)</f>
        <v>2</v>
      </c>
      <c r="G842" s="1" t="str">
        <f>IFERROR(__xludf.DUMMYFUNCTION("""COMPUTED_VALUE"""),"PR026")</f>
        <v>PR026</v>
      </c>
      <c r="H842" s="1" t="str">
        <f>IFERROR(__xludf.DUMMYFUNCTION("""COMPUTED_VALUE"""),"VD026")</f>
        <v>VD026</v>
      </c>
      <c r="I842" s="1">
        <f>IFERROR(__xludf.DUMMYFUNCTION("""COMPUTED_VALUE"""),9.0)</f>
        <v>9</v>
      </c>
      <c r="J842" s="1">
        <f>IFERROR(__xludf.DUMMYFUNCTION("""COMPUTED_VALUE"""),3212.08)</f>
        <v>3212.08</v>
      </c>
      <c r="K842" s="1">
        <f>IFERROR(__xludf.DUMMYFUNCTION("""COMPUTED_VALUE"""),3212.08)</f>
        <v>3212.08</v>
      </c>
    </row>
    <row r="843">
      <c r="A843" s="1">
        <f>IFERROR(__xludf.DUMMYFUNCTION("""COMPUTED_VALUE"""),2000.0)</f>
        <v>2000</v>
      </c>
      <c r="B843" s="1">
        <f>IFERROR(__xludf.DUMMYFUNCTION("""COMPUTED_VALUE"""),184061.0)</f>
        <v>184061</v>
      </c>
      <c r="C843" s="1">
        <f>IFERROR(__xludf.DUMMYFUNCTION("""COMPUTED_VALUE"""),2026.0)</f>
        <v>2026</v>
      </c>
      <c r="D843" s="1">
        <f>IFERROR(__xludf.DUMMYFUNCTION("""COMPUTED_VALUE"""),46221.0)</f>
        <v>46221</v>
      </c>
      <c r="E843" s="1" t="str">
        <f>IFERROR(__xludf.DUMMYFUNCTION("""COMPUTED_VALUE"""),"VF")</f>
        <v>VF</v>
      </c>
      <c r="F843" s="1">
        <f>IFERROR(__xludf.DUMMYFUNCTION("""COMPUTED_VALUE"""),1.0)</f>
        <v>1</v>
      </c>
      <c r="G843" s="1" t="str">
        <f>IFERROR(__xludf.DUMMYFUNCTION("""COMPUTED_VALUE"""),"PR057")</f>
        <v>PR057</v>
      </c>
      <c r="H843" s="1" t="str">
        <f>IFERROR(__xludf.DUMMYFUNCTION("""COMPUTED_VALUE"""),"VD032")</f>
        <v>VD032</v>
      </c>
      <c r="I843" s="1">
        <f>IFERROR(__xludf.DUMMYFUNCTION("""COMPUTED_VALUE"""),8.0)</f>
        <v>8</v>
      </c>
      <c r="J843" s="1">
        <f>IFERROR(__xludf.DUMMYFUNCTION("""COMPUTED_VALUE"""),726.39)</f>
        <v>726.39</v>
      </c>
      <c r="K843" s="1">
        <f>IFERROR(__xludf.DUMMYFUNCTION("""COMPUTED_VALUE"""),726.39)</f>
        <v>726.39</v>
      </c>
    </row>
    <row r="844">
      <c r="A844" s="1">
        <f>IFERROR(__xludf.DUMMYFUNCTION("""COMPUTED_VALUE"""),1000.0)</f>
        <v>1000</v>
      </c>
      <c r="B844" s="1">
        <f>IFERROR(__xludf.DUMMYFUNCTION("""COMPUTED_VALUE"""),184062.0)</f>
        <v>184062</v>
      </c>
      <c r="C844" s="1">
        <f>IFERROR(__xludf.DUMMYFUNCTION("""COMPUTED_VALUE"""),2026.0)</f>
        <v>2026</v>
      </c>
      <c r="D844" s="1">
        <f>IFERROR(__xludf.DUMMYFUNCTION("""COMPUTED_VALUE"""),46220.0)</f>
        <v>46220</v>
      </c>
      <c r="E844" s="1" t="str">
        <f>IFERROR(__xludf.DUMMYFUNCTION("""COMPUTED_VALUE"""),"VF")</f>
        <v>VF</v>
      </c>
      <c r="F844" s="1">
        <f>IFERROR(__xludf.DUMMYFUNCTION("""COMPUTED_VALUE"""),1.0)</f>
        <v>1</v>
      </c>
      <c r="G844" s="1" t="str">
        <f>IFERROR(__xludf.DUMMYFUNCTION("""COMPUTED_VALUE"""),"PR003")</f>
        <v>PR003</v>
      </c>
      <c r="H844" s="1" t="str">
        <f>IFERROR(__xludf.DUMMYFUNCTION("""COMPUTED_VALUE"""),"VD037")</f>
        <v>VD037</v>
      </c>
      <c r="I844" s="1">
        <f>IFERROR(__xludf.DUMMYFUNCTION("""COMPUTED_VALUE"""),20.0)</f>
        <v>20</v>
      </c>
      <c r="J844" s="1">
        <f>IFERROR(__xludf.DUMMYFUNCTION("""COMPUTED_VALUE"""),1418.0)</f>
        <v>1418</v>
      </c>
      <c r="K844" s="1">
        <f>IFERROR(__xludf.DUMMYFUNCTION("""COMPUTED_VALUE"""),1418.0)</f>
        <v>1418</v>
      </c>
    </row>
    <row r="845">
      <c r="A845" s="1">
        <f>IFERROR(__xludf.DUMMYFUNCTION("""COMPUTED_VALUE"""),1000.0)</f>
        <v>1000</v>
      </c>
      <c r="B845" s="1">
        <f>IFERROR(__xludf.DUMMYFUNCTION("""COMPUTED_VALUE"""),184062.0)</f>
        <v>184062</v>
      </c>
      <c r="C845" s="1">
        <f>IFERROR(__xludf.DUMMYFUNCTION("""COMPUTED_VALUE"""),2026.0)</f>
        <v>2026</v>
      </c>
      <c r="D845" s="1">
        <f>IFERROR(__xludf.DUMMYFUNCTION("""COMPUTED_VALUE"""),46220.0)</f>
        <v>46220</v>
      </c>
      <c r="E845" s="1" t="str">
        <f>IFERROR(__xludf.DUMMYFUNCTION("""COMPUTED_VALUE"""),"VF")</f>
        <v>VF</v>
      </c>
      <c r="F845" s="1">
        <f>IFERROR(__xludf.DUMMYFUNCTION("""COMPUTED_VALUE"""),2.0)</f>
        <v>2</v>
      </c>
      <c r="G845" s="1" t="str">
        <f>IFERROR(__xludf.DUMMYFUNCTION("""COMPUTED_VALUE"""),"PR050")</f>
        <v>PR050</v>
      </c>
      <c r="H845" s="1" t="str">
        <f>IFERROR(__xludf.DUMMYFUNCTION("""COMPUTED_VALUE"""),"VD032")</f>
        <v>VD032</v>
      </c>
      <c r="I845" s="1">
        <f>IFERROR(__xludf.DUMMYFUNCTION("""COMPUTED_VALUE"""),2.0)</f>
        <v>2</v>
      </c>
      <c r="J845" s="1">
        <f>IFERROR(__xludf.DUMMYFUNCTION("""COMPUTED_VALUE"""),71.06)</f>
        <v>71.06</v>
      </c>
      <c r="K845" s="1">
        <f>IFERROR(__xludf.DUMMYFUNCTION("""COMPUTED_VALUE"""),71.06)</f>
        <v>71.06</v>
      </c>
    </row>
    <row r="846">
      <c r="A846" s="1">
        <f>IFERROR(__xludf.DUMMYFUNCTION("""COMPUTED_VALUE"""),1000.0)</f>
        <v>1000</v>
      </c>
      <c r="B846" s="1">
        <f>IFERROR(__xludf.DUMMYFUNCTION("""COMPUTED_VALUE"""),184063.0)</f>
        <v>184063</v>
      </c>
      <c r="C846" s="1">
        <f>IFERROR(__xludf.DUMMYFUNCTION("""COMPUTED_VALUE"""),2026.0)</f>
        <v>2026</v>
      </c>
      <c r="D846" s="1">
        <f>IFERROR(__xludf.DUMMYFUNCTION("""COMPUTED_VALUE"""),46220.0)</f>
        <v>46220</v>
      </c>
      <c r="E846" s="1" t="str">
        <f>IFERROR(__xludf.DUMMYFUNCTION("""COMPUTED_VALUE"""),"VF")</f>
        <v>VF</v>
      </c>
      <c r="F846" s="1">
        <f>IFERROR(__xludf.DUMMYFUNCTION("""COMPUTED_VALUE"""),1.0)</f>
        <v>1</v>
      </c>
      <c r="G846" s="1" t="str">
        <f>IFERROR(__xludf.DUMMYFUNCTION("""COMPUTED_VALUE"""),"PR027")</f>
        <v>PR027</v>
      </c>
      <c r="H846" s="1" t="str">
        <f>IFERROR(__xludf.DUMMYFUNCTION("""COMPUTED_VALUE"""),"VD022")</f>
        <v>VD022</v>
      </c>
      <c r="I846" s="1">
        <f>IFERROR(__xludf.DUMMYFUNCTION("""COMPUTED_VALUE"""),6.0)</f>
        <v>6</v>
      </c>
      <c r="J846" s="1">
        <f>IFERROR(__xludf.DUMMYFUNCTION("""COMPUTED_VALUE"""),727.2)</f>
        <v>727.2</v>
      </c>
      <c r="K846" s="1">
        <f>IFERROR(__xludf.DUMMYFUNCTION("""COMPUTED_VALUE"""),727.2)</f>
        <v>727.2</v>
      </c>
    </row>
    <row r="847">
      <c r="A847" s="1">
        <f>IFERROR(__xludf.DUMMYFUNCTION("""COMPUTED_VALUE"""),2000.0)</f>
        <v>2000</v>
      </c>
      <c r="B847" s="1">
        <f>IFERROR(__xludf.DUMMYFUNCTION("""COMPUTED_VALUE"""),184064.0)</f>
        <v>184064</v>
      </c>
      <c r="C847" s="1">
        <f>IFERROR(__xludf.DUMMYFUNCTION("""COMPUTED_VALUE"""),2026.0)</f>
        <v>2026</v>
      </c>
      <c r="D847" s="1">
        <f>IFERROR(__xludf.DUMMYFUNCTION("""COMPUTED_VALUE"""),46219.0)</f>
        <v>46219</v>
      </c>
      <c r="E847" s="1" t="str">
        <f>IFERROR(__xludf.DUMMYFUNCTION("""COMPUTED_VALUE"""),"VF")</f>
        <v>VF</v>
      </c>
      <c r="F847" s="1">
        <f>IFERROR(__xludf.DUMMYFUNCTION("""COMPUTED_VALUE"""),1.0)</f>
        <v>1</v>
      </c>
      <c r="G847" s="1" t="str">
        <f>IFERROR(__xludf.DUMMYFUNCTION("""COMPUTED_VALUE"""),"PR018")</f>
        <v>PR018</v>
      </c>
      <c r="H847" s="1" t="str">
        <f>IFERROR(__xludf.DUMMYFUNCTION("""COMPUTED_VALUE"""),"VD018")</f>
        <v>VD018</v>
      </c>
      <c r="I847" s="1">
        <f>IFERROR(__xludf.DUMMYFUNCTION("""COMPUTED_VALUE"""),8.0)</f>
        <v>8</v>
      </c>
      <c r="J847" s="1">
        <f>IFERROR(__xludf.DUMMYFUNCTION("""COMPUTED_VALUE"""),271.1)</f>
        <v>271.1</v>
      </c>
      <c r="K847" s="1">
        <f>IFERROR(__xludf.DUMMYFUNCTION("""COMPUTED_VALUE"""),271.1)</f>
        <v>271.1</v>
      </c>
    </row>
    <row r="848">
      <c r="A848" s="1">
        <f>IFERROR(__xludf.DUMMYFUNCTION("""COMPUTED_VALUE"""),1000.0)</f>
        <v>1000</v>
      </c>
      <c r="B848" s="1">
        <f>IFERROR(__xludf.DUMMYFUNCTION("""COMPUTED_VALUE"""),184064.0)</f>
        <v>184064</v>
      </c>
      <c r="C848" s="1">
        <f>IFERROR(__xludf.DUMMYFUNCTION("""COMPUTED_VALUE"""),2026.0)</f>
        <v>2026</v>
      </c>
      <c r="D848" s="1">
        <f>IFERROR(__xludf.DUMMYFUNCTION("""COMPUTED_VALUE"""),46219.0)</f>
        <v>46219</v>
      </c>
      <c r="E848" s="1" t="str">
        <f>IFERROR(__xludf.DUMMYFUNCTION("""COMPUTED_VALUE"""),"VF")</f>
        <v>VF</v>
      </c>
      <c r="F848" s="1">
        <f>IFERROR(__xludf.DUMMYFUNCTION("""COMPUTED_VALUE"""),2.0)</f>
        <v>2</v>
      </c>
      <c r="G848" s="1" t="str">
        <f>IFERROR(__xludf.DUMMYFUNCTION("""COMPUTED_VALUE"""),"PR038")</f>
        <v>PR038</v>
      </c>
      <c r="H848" s="1" t="str">
        <f>IFERROR(__xludf.DUMMYFUNCTION("""COMPUTED_VALUE"""),"VD024")</f>
        <v>VD024</v>
      </c>
      <c r="I848" s="1">
        <f>IFERROR(__xludf.DUMMYFUNCTION("""COMPUTED_VALUE"""),3.0)</f>
        <v>3</v>
      </c>
      <c r="J848" s="1">
        <f>IFERROR(__xludf.DUMMYFUNCTION("""COMPUTED_VALUE"""),437.27)</f>
        <v>437.27</v>
      </c>
      <c r="K848" s="1">
        <f>IFERROR(__xludf.DUMMYFUNCTION("""COMPUTED_VALUE"""),437.27)</f>
        <v>437.27</v>
      </c>
    </row>
    <row r="849">
      <c r="A849" s="1">
        <f>IFERROR(__xludf.DUMMYFUNCTION("""COMPUTED_VALUE"""),1000.0)</f>
        <v>1000</v>
      </c>
      <c r="B849" s="1">
        <f>IFERROR(__xludf.DUMMYFUNCTION("""COMPUTED_VALUE"""),184065.0)</f>
        <v>184065</v>
      </c>
      <c r="C849" s="1">
        <f>IFERROR(__xludf.DUMMYFUNCTION("""COMPUTED_VALUE"""),2026.0)</f>
        <v>2026</v>
      </c>
      <c r="D849" s="1">
        <f>IFERROR(__xludf.DUMMYFUNCTION("""COMPUTED_VALUE"""),46219.0)</f>
        <v>46219</v>
      </c>
      <c r="E849" s="1" t="str">
        <f>IFERROR(__xludf.DUMMYFUNCTION("""COMPUTED_VALUE"""),"VF")</f>
        <v>VF</v>
      </c>
      <c r="F849" s="1">
        <f>IFERROR(__xludf.DUMMYFUNCTION("""COMPUTED_VALUE"""),1.0)</f>
        <v>1</v>
      </c>
      <c r="G849" s="1" t="str">
        <f>IFERROR(__xludf.DUMMYFUNCTION("""COMPUTED_VALUE"""),"PR046")</f>
        <v>PR046</v>
      </c>
      <c r="H849" s="1" t="str">
        <f>IFERROR(__xludf.DUMMYFUNCTION("""COMPUTED_VALUE"""),"VD012")</f>
        <v>VD012</v>
      </c>
      <c r="I849" s="1">
        <f>IFERROR(__xludf.DUMMYFUNCTION("""COMPUTED_VALUE"""),12.0)</f>
        <v>12</v>
      </c>
      <c r="J849" s="1">
        <f>IFERROR(__xludf.DUMMYFUNCTION("""COMPUTED_VALUE"""),3617.95)</f>
        <v>3617.95</v>
      </c>
      <c r="K849" s="1">
        <f>IFERROR(__xludf.DUMMYFUNCTION("""COMPUTED_VALUE"""),3617.95)</f>
        <v>3617.95</v>
      </c>
    </row>
    <row r="850">
      <c r="A850" s="1">
        <f>IFERROR(__xludf.DUMMYFUNCTION("""COMPUTED_VALUE"""),1000.0)</f>
        <v>1000</v>
      </c>
      <c r="B850" s="1">
        <f>IFERROR(__xludf.DUMMYFUNCTION("""COMPUTED_VALUE"""),184066.0)</f>
        <v>184066</v>
      </c>
      <c r="C850" s="1">
        <f>IFERROR(__xludf.DUMMYFUNCTION("""COMPUTED_VALUE"""),2026.0)</f>
        <v>2026</v>
      </c>
      <c r="D850" s="1">
        <f>IFERROR(__xludf.DUMMYFUNCTION("""COMPUTED_VALUE"""),46219.0)</f>
        <v>46219</v>
      </c>
      <c r="E850" s="1" t="str">
        <f>IFERROR(__xludf.DUMMYFUNCTION("""COMPUTED_VALUE"""),"VF")</f>
        <v>VF</v>
      </c>
      <c r="F850" s="1">
        <f>IFERROR(__xludf.DUMMYFUNCTION("""COMPUTED_VALUE"""),1.0)</f>
        <v>1</v>
      </c>
      <c r="G850" s="1" t="str">
        <f>IFERROR(__xludf.DUMMYFUNCTION("""COMPUTED_VALUE"""),"PR008")</f>
        <v>PR008</v>
      </c>
      <c r="H850" s="1" t="str">
        <f>IFERROR(__xludf.DUMMYFUNCTION("""COMPUTED_VALUE"""),"VD023")</f>
        <v>VD023</v>
      </c>
      <c r="I850" s="1">
        <f>IFERROR(__xludf.DUMMYFUNCTION("""COMPUTED_VALUE"""),4.0)</f>
        <v>4</v>
      </c>
      <c r="J850" s="1">
        <f>IFERROR(__xludf.DUMMYFUNCTION("""COMPUTED_VALUE"""),391.96)</f>
        <v>391.96</v>
      </c>
      <c r="K850" s="1">
        <f>IFERROR(__xludf.DUMMYFUNCTION("""COMPUTED_VALUE"""),391.96)</f>
        <v>391.96</v>
      </c>
    </row>
    <row r="851">
      <c r="A851" s="1">
        <f>IFERROR(__xludf.DUMMYFUNCTION("""COMPUTED_VALUE"""),2000.0)</f>
        <v>2000</v>
      </c>
      <c r="B851" s="1">
        <f>IFERROR(__xludf.DUMMYFUNCTION("""COMPUTED_VALUE"""),184067.0)</f>
        <v>184067</v>
      </c>
      <c r="C851" s="1">
        <f>IFERROR(__xludf.DUMMYFUNCTION("""COMPUTED_VALUE"""),2026.0)</f>
        <v>2026</v>
      </c>
      <c r="D851" s="1">
        <f>IFERROR(__xludf.DUMMYFUNCTION("""COMPUTED_VALUE"""),46219.0)</f>
        <v>46219</v>
      </c>
      <c r="E851" s="1" t="str">
        <f>IFERROR(__xludf.DUMMYFUNCTION("""COMPUTED_VALUE"""),"VF")</f>
        <v>VF</v>
      </c>
      <c r="F851" s="1">
        <f>IFERROR(__xludf.DUMMYFUNCTION("""COMPUTED_VALUE"""),1.0)</f>
        <v>1</v>
      </c>
      <c r="G851" s="1" t="str">
        <f>IFERROR(__xludf.DUMMYFUNCTION("""COMPUTED_VALUE"""),"PR022")</f>
        <v>PR022</v>
      </c>
      <c r="H851" s="1" t="str">
        <f>IFERROR(__xludf.DUMMYFUNCTION("""COMPUTED_VALUE"""),"VD018")</f>
        <v>VD018</v>
      </c>
      <c r="I851" s="1">
        <f>IFERROR(__xludf.DUMMYFUNCTION("""COMPUTED_VALUE"""),18.0)</f>
        <v>18</v>
      </c>
      <c r="J851" s="1">
        <f>IFERROR(__xludf.DUMMYFUNCTION("""COMPUTED_VALUE"""),5778.0)</f>
        <v>5778</v>
      </c>
      <c r="K851" s="1">
        <f>IFERROR(__xludf.DUMMYFUNCTION("""COMPUTED_VALUE"""),5778.0)</f>
        <v>5778</v>
      </c>
    </row>
    <row r="852">
      <c r="A852" s="1">
        <f>IFERROR(__xludf.DUMMYFUNCTION("""COMPUTED_VALUE"""),1000.0)</f>
        <v>1000</v>
      </c>
      <c r="B852" s="1">
        <f>IFERROR(__xludf.DUMMYFUNCTION("""COMPUTED_VALUE"""),184068.0)</f>
        <v>184068</v>
      </c>
      <c r="C852" s="1">
        <f>IFERROR(__xludf.DUMMYFUNCTION("""COMPUTED_VALUE"""),2026.0)</f>
        <v>2026</v>
      </c>
      <c r="D852" s="1">
        <f>IFERROR(__xludf.DUMMYFUNCTION("""COMPUTED_VALUE"""),46219.0)</f>
        <v>46219</v>
      </c>
      <c r="E852" s="1" t="str">
        <f>IFERROR(__xludf.DUMMYFUNCTION("""COMPUTED_VALUE"""),"VF")</f>
        <v>VF</v>
      </c>
      <c r="F852" s="1">
        <f>IFERROR(__xludf.DUMMYFUNCTION("""COMPUTED_VALUE"""),1.0)</f>
        <v>1</v>
      </c>
      <c r="G852" s="1" t="str">
        <f>IFERROR(__xludf.DUMMYFUNCTION("""COMPUTED_VALUE"""),"PR038")</f>
        <v>PR038</v>
      </c>
      <c r="H852" s="1" t="str">
        <f>IFERROR(__xludf.DUMMYFUNCTION("""COMPUTED_VALUE"""),"VD020")</f>
        <v>VD020</v>
      </c>
      <c r="I852" s="1">
        <f>IFERROR(__xludf.DUMMYFUNCTION("""COMPUTED_VALUE"""),18.0)</f>
        <v>18</v>
      </c>
      <c r="J852" s="1">
        <f>IFERROR(__xludf.DUMMYFUNCTION("""COMPUTED_VALUE"""),2726.53)</f>
        <v>2726.53</v>
      </c>
      <c r="K852" s="1">
        <f>IFERROR(__xludf.DUMMYFUNCTION("""COMPUTED_VALUE"""),2726.53)</f>
        <v>2726.53</v>
      </c>
    </row>
    <row r="853">
      <c r="A853" s="1">
        <f>IFERROR(__xludf.DUMMYFUNCTION("""COMPUTED_VALUE"""),1000.0)</f>
        <v>1000</v>
      </c>
      <c r="B853" s="1">
        <f>IFERROR(__xludf.DUMMYFUNCTION("""COMPUTED_VALUE"""),184068.0)</f>
        <v>184068</v>
      </c>
      <c r="C853" s="1">
        <f>IFERROR(__xludf.DUMMYFUNCTION("""COMPUTED_VALUE"""),2026.0)</f>
        <v>2026</v>
      </c>
      <c r="D853" s="1">
        <f>IFERROR(__xludf.DUMMYFUNCTION("""COMPUTED_VALUE"""),46219.0)</f>
        <v>46219</v>
      </c>
      <c r="E853" s="1" t="str">
        <f>IFERROR(__xludf.DUMMYFUNCTION("""COMPUTED_VALUE"""),"VF")</f>
        <v>VF</v>
      </c>
      <c r="F853" s="1">
        <f>IFERROR(__xludf.DUMMYFUNCTION("""COMPUTED_VALUE"""),2.0)</f>
        <v>2</v>
      </c>
      <c r="G853" s="1" t="str">
        <f>IFERROR(__xludf.DUMMYFUNCTION("""COMPUTED_VALUE"""),"PR045")</f>
        <v>PR045</v>
      </c>
      <c r="H853" s="1" t="str">
        <f>IFERROR(__xludf.DUMMYFUNCTION("""COMPUTED_VALUE"""),"VD039")</f>
        <v>VD039</v>
      </c>
      <c r="I853" s="1">
        <f>IFERROR(__xludf.DUMMYFUNCTION("""COMPUTED_VALUE"""),6.0)</f>
        <v>6</v>
      </c>
      <c r="J853" s="1">
        <f>IFERROR(__xludf.DUMMYFUNCTION("""COMPUTED_VALUE"""),465.45)</f>
        <v>465.45</v>
      </c>
      <c r="K853" s="1">
        <f>IFERROR(__xludf.DUMMYFUNCTION("""COMPUTED_VALUE"""),465.45)</f>
        <v>465.45</v>
      </c>
    </row>
    <row r="854">
      <c r="A854" s="1">
        <f>IFERROR(__xludf.DUMMYFUNCTION("""COMPUTED_VALUE"""),1000.0)</f>
        <v>1000</v>
      </c>
      <c r="B854" s="1">
        <f>IFERROR(__xludf.DUMMYFUNCTION("""COMPUTED_VALUE"""),184069.0)</f>
        <v>184069</v>
      </c>
      <c r="C854" s="1">
        <f>IFERROR(__xludf.DUMMYFUNCTION("""COMPUTED_VALUE"""),2026.0)</f>
        <v>2026</v>
      </c>
      <c r="D854" s="1">
        <f>IFERROR(__xludf.DUMMYFUNCTION("""COMPUTED_VALUE"""),46219.0)</f>
        <v>46219</v>
      </c>
      <c r="E854" s="1" t="str">
        <f>IFERROR(__xludf.DUMMYFUNCTION("""COMPUTED_VALUE"""),"VF")</f>
        <v>VF</v>
      </c>
      <c r="F854" s="1">
        <f>IFERROR(__xludf.DUMMYFUNCTION("""COMPUTED_VALUE"""),1.0)</f>
        <v>1</v>
      </c>
      <c r="G854" s="1" t="str">
        <f>IFERROR(__xludf.DUMMYFUNCTION("""COMPUTED_VALUE"""),"PR005")</f>
        <v>PR005</v>
      </c>
      <c r="H854" s="1" t="str">
        <f>IFERROR(__xludf.DUMMYFUNCTION("""COMPUTED_VALUE"""),"VD048")</f>
        <v>VD048</v>
      </c>
      <c r="I854" s="1">
        <f>IFERROR(__xludf.DUMMYFUNCTION("""COMPUTED_VALUE"""),9.0)</f>
        <v>9</v>
      </c>
      <c r="J854" s="1">
        <f>IFERROR(__xludf.DUMMYFUNCTION("""COMPUTED_VALUE"""),2456.06)</f>
        <v>2456.06</v>
      </c>
      <c r="K854" s="1">
        <f>IFERROR(__xludf.DUMMYFUNCTION("""COMPUTED_VALUE"""),2456.06)</f>
        <v>2456.06</v>
      </c>
    </row>
    <row r="855">
      <c r="A855" s="1">
        <f>IFERROR(__xludf.DUMMYFUNCTION("""COMPUTED_VALUE"""),1000.0)</f>
        <v>1000</v>
      </c>
      <c r="B855" s="1">
        <f>IFERROR(__xludf.DUMMYFUNCTION("""COMPUTED_VALUE"""),184070.0)</f>
        <v>184070</v>
      </c>
      <c r="C855" s="1">
        <f>IFERROR(__xludf.DUMMYFUNCTION("""COMPUTED_VALUE"""),2026.0)</f>
        <v>2026</v>
      </c>
      <c r="D855" s="1">
        <f>IFERROR(__xludf.DUMMYFUNCTION("""COMPUTED_VALUE"""),46218.0)</f>
        <v>46218</v>
      </c>
      <c r="E855" s="1" t="str">
        <f>IFERROR(__xludf.DUMMYFUNCTION("""COMPUTED_VALUE"""),"VF")</f>
        <v>VF</v>
      </c>
      <c r="F855" s="1">
        <f>IFERROR(__xludf.DUMMYFUNCTION("""COMPUTED_VALUE"""),1.0)</f>
        <v>1</v>
      </c>
      <c r="G855" s="1" t="str">
        <f>IFERROR(__xludf.DUMMYFUNCTION("""COMPUTED_VALUE"""),"PR009")</f>
        <v>PR009</v>
      </c>
      <c r="H855" s="1" t="str">
        <f>IFERROR(__xludf.DUMMYFUNCTION("""COMPUTED_VALUE"""),"VD048")</f>
        <v>VD048</v>
      </c>
      <c r="I855" s="1">
        <f>IFERROR(__xludf.DUMMYFUNCTION("""COMPUTED_VALUE"""),5.0)</f>
        <v>5</v>
      </c>
      <c r="J855" s="1">
        <f>IFERROR(__xludf.DUMMYFUNCTION("""COMPUTED_VALUE"""),469.15)</f>
        <v>469.15</v>
      </c>
      <c r="K855" s="1">
        <f>IFERROR(__xludf.DUMMYFUNCTION("""COMPUTED_VALUE"""),469.15)</f>
        <v>469.15</v>
      </c>
    </row>
    <row r="856">
      <c r="A856" s="1">
        <f>IFERROR(__xludf.DUMMYFUNCTION("""COMPUTED_VALUE"""),1000.0)</f>
        <v>1000</v>
      </c>
      <c r="B856" s="1">
        <f>IFERROR(__xludf.DUMMYFUNCTION("""COMPUTED_VALUE"""),184071.0)</f>
        <v>184071</v>
      </c>
      <c r="C856" s="1">
        <f>IFERROR(__xludf.DUMMYFUNCTION("""COMPUTED_VALUE"""),2026.0)</f>
        <v>2026</v>
      </c>
      <c r="D856" s="1">
        <f>IFERROR(__xludf.DUMMYFUNCTION("""COMPUTED_VALUE"""),46218.0)</f>
        <v>46218</v>
      </c>
      <c r="E856" s="1" t="str">
        <f>IFERROR(__xludf.DUMMYFUNCTION("""COMPUTED_VALUE"""),"VF")</f>
        <v>VF</v>
      </c>
      <c r="F856" s="1">
        <f>IFERROR(__xludf.DUMMYFUNCTION("""COMPUTED_VALUE"""),1.0)</f>
        <v>1</v>
      </c>
      <c r="G856" s="1" t="str">
        <f>IFERROR(__xludf.DUMMYFUNCTION("""COMPUTED_VALUE"""),"PR025")</f>
        <v>PR025</v>
      </c>
      <c r="H856" s="1" t="str">
        <f>IFERROR(__xludf.DUMMYFUNCTION("""COMPUTED_VALUE"""),"VD016")</f>
        <v>VD016</v>
      </c>
      <c r="I856" s="1">
        <f>IFERROR(__xludf.DUMMYFUNCTION("""COMPUTED_VALUE"""),1.0)</f>
        <v>1</v>
      </c>
      <c r="J856" s="1">
        <f>IFERROR(__xludf.DUMMYFUNCTION("""COMPUTED_VALUE"""),311.9)</f>
        <v>311.9</v>
      </c>
      <c r="K856" s="1">
        <f>IFERROR(__xludf.DUMMYFUNCTION("""COMPUTED_VALUE"""),311.9)</f>
        <v>311.9</v>
      </c>
    </row>
    <row r="857">
      <c r="A857" s="1">
        <f>IFERROR(__xludf.DUMMYFUNCTION("""COMPUTED_VALUE"""),1000.0)</f>
        <v>1000</v>
      </c>
      <c r="B857" s="1">
        <f>IFERROR(__xludf.DUMMYFUNCTION("""COMPUTED_VALUE"""),184072.0)</f>
        <v>184072</v>
      </c>
      <c r="C857" s="1">
        <f>IFERROR(__xludf.DUMMYFUNCTION("""COMPUTED_VALUE"""),2026.0)</f>
        <v>2026</v>
      </c>
      <c r="D857" s="1">
        <f>IFERROR(__xludf.DUMMYFUNCTION("""COMPUTED_VALUE"""),46218.0)</f>
        <v>46218</v>
      </c>
      <c r="E857" s="1" t="str">
        <f>IFERROR(__xludf.DUMMYFUNCTION("""COMPUTED_VALUE"""),"VF")</f>
        <v>VF</v>
      </c>
      <c r="F857" s="1">
        <f>IFERROR(__xludf.DUMMYFUNCTION("""COMPUTED_VALUE"""),1.0)</f>
        <v>1</v>
      </c>
      <c r="G857" s="1" t="str">
        <f>IFERROR(__xludf.DUMMYFUNCTION("""COMPUTED_VALUE"""),"PR037")</f>
        <v>PR037</v>
      </c>
      <c r="H857" s="1" t="str">
        <f>IFERROR(__xludf.DUMMYFUNCTION("""COMPUTED_VALUE"""),"VD045")</f>
        <v>VD045</v>
      </c>
      <c r="I857" s="1">
        <f>IFERROR(__xludf.DUMMYFUNCTION("""COMPUTED_VALUE"""),7.0)</f>
        <v>7</v>
      </c>
      <c r="J857" s="1">
        <f>IFERROR(__xludf.DUMMYFUNCTION("""COMPUTED_VALUE"""),1078.0)</f>
        <v>1078</v>
      </c>
      <c r="K857" s="1">
        <f>IFERROR(__xludf.DUMMYFUNCTION("""COMPUTED_VALUE"""),1078.0)</f>
        <v>1078</v>
      </c>
    </row>
    <row r="858">
      <c r="A858" s="1">
        <f>IFERROR(__xludf.DUMMYFUNCTION("""COMPUTED_VALUE"""),1000.0)</f>
        <v>1000</v>
      </c>
      <c r="B858" s="1">
        <f>IFERROR(__xludf.DUMMYFUNCTION("""COMPUTED_VALUE"""),184073.0)</f>
        <v>184073</v>
      </c>
      <c r="C858" s="1">
        <f>IFERROR(__xludf.DUMMYFUNCTION("""COMPUTED_VALUE"""),2026.0)</f>
        <v>2026</v>
      </c>
      <c r="D858" s="1">
        <f>IFERROR(__xludf.DUMMYFUNCTION("""COMPUTED_VALUE"""),46218.0)</f>
        <v>46218</v>
      </c>
      <c r="E858" s="1" t="str">
        <f>IFERROR(__xludf.DUMMYFUNCTION("""COMPUTED_VALUE"""),"VF")</f>
        <v>VF</v>
      </c>
      <c r="F858" s="1">
        <f>IFERROR(__xludf.DUMMYFUNCTION("""COMPUTED_VALUE"""),1.0)</f>
        <v>1</v>
      </c>
      <c r="G858" s="1" t="str">
        <f>IFERROR(__xludf.DUMMYFUNCTION("""COMPUTED_VALUE"""),"PR035")</f>
        <v>PR035</v>
      </c>
      <c r="H858" s="1" t="str">
        <f>IFERROR(__xludf.DUMMYFUNCTION("""COMPUTED_VALUE"""),"VD040")</f>
        <v>VD040</v>
      </c>
      <c r="I858" s="1">
        <f>IFERROR(__xludf.DUMMYFUNCTION("""COMPUTED_VALUE"""),6.0)</f>
        <v>6</v>
      </c>
      <c r="J858" s="1">
        <f>IFERROR(__xludf.DUMMYFUNCTION("""COMPUTED_VALUE"""),559.37)</f>
        <v>559.37</v>
      </c>
      <c r="K858" s="1">
        <f>IFERROR(__xludf.DUMMYFUNCTION("""COMPUTED_VALUE"""),559.37)</f>
        <v>559.37</v>
      </c>
    </row>
    <row r="859">
      <c r="A859" s="1">
        <f>IFERROR(__xludf.DUMMYFUNCTION("""COMPUTED_VALUE"""),1000.0)</f>
        <v>1000</v>
      </c>
      <c r="B859" s="1">
        <f>IFERROR(__xludf.DUMMYFUNCTION("""COMPUTED_VALUE"""),184074.0)</f>
        <v>184074</v>
      </c>
      <c r="C859" s="1">
        <f>IFERROR(__xludf.DUMMYFUNCTION("""COMPUTED_VALUE"""),2026.0)</f>
        <v>2026</v>
      </c>
      <c r="D859" s="1">
        <f>IFERROR(__xludf.DUMMYFUNCTION("""COMPUTED_VALUE"""),46218.0)</f>
        <v>46218</v>
      </c>
      <c r="E859" s="1" t="str">
        <f>IFERROR(__xludf.DUMMYFUNCTION("""COMPUTED_VALUE"""),"VF")</f>
        <v>VF</v>
      </c>
      <c r="F859" s="1">
        <f>IFERROR(__xludf.DUMMYFUNCTION("""COMPUTED_VALUE"""),1.0)</f>
        <v>1</v>
      </c>
      <c r="G859" s="1" t="str">
        <f>IFERROR(__xludf.DUMMYFUNCTION("""COMPUTED_VALUE"""),"PR047")</f>
        <v>PR047</v>
      </c>
      <c r="H859" s="1" t="str">
        <f>IFERROR(__xludf.DUMMYFUNCTION("""COMPUTED_VALUE"""),"VD035")</f>
        <v>VD035</v>
      </c>
      <c r="I859" s="1">
        <f>IFERROR(__xludf.DUMMYFUNCTION("""COMPUTED_VALUE"""),6.0)</f>
        <v>6</v>
      </c>
      <c r="J859" s="1">
        <f>IFERROR(__xludf.DUMMYFUNCTION("""COMPUTED_VALUE"""),1913.34)</f>
        <v>1913.34</v>
      </c>
      <c r="K859" s="1">
        <f>IFERROR(__xludf.DUMMYFUNCTION("""COMPUTED_VALUE"""),1913.34)</f>
        <v>1913.34</v>
      </c>
    </row>
    <row r="860">
      <c r="A860" s="1">
        <f>IFERROR(__xludf.DUMMYFUNCTION("""COMPUTED_VALUE"""),1000.0)</f>
        <v>1000</v>
      </c>
      <c r="B860" s="1">
        <f>IFERROR(__xludf.DUMMYFUNCTION("""COMPUTED_VALUE"""),184075.0)</f>
        <v>184075</v>
      </c>
      <c r="C860" s="1">
        <f>IFERROR(__xludf.DUMMYFUNCTION("""COMPUTED_VALUE"""),2026.0)</f>
        <v>2026</v>
      </c>
      <c r="D860" s="1">
        <f>IFERROR(__xludf.DUMMYFUNCTION("""COMPUTED_VALUE"""),46218.0)</f>
        <v>46218</v>
      </c>
      <c r="E860" s="1" t="str">
        <f>IFERROR(__xludf.DUMMYFUNCTION("""COMPUTED_VALUE"""),"VF")</f>
        <v>VF</v>
      </c>
      <c r="F860" s="1">
        <f>IFERROR(__xludf.DUMMYFUNCTION("""COMPUTED_VALUE"""),1.0)</f>
        <v>1</v>
      </c>
      <c r="G860" s="1" t="str">
        <f>IFERROR(__xludf.DUMMYFUNCTION("""COMPUTED_VALUE"""),"PR021")</f>
        <v>PR021</v>
      </c>
      <c r="H860" s="1" t="str">
        <f>IFERROR(__xludf.DUMMYFUNCTION("""COMPUTED_VALUE"""),"VD046")</f>
        <v>VD046</v>
      </c>
      <c r="I860" s="1">
        <f>IFERROR(__xludf.DUMMYFUNCTION("""COMPUTED_VALUE"""),1.0)</f>
        <v>1</v>
      </c>
      <c r="J860" s="1">
        <f>IFERROR(__xludf.DUMMYFUNCTION("""COMPUTED_VALUE"""),318.05)</f>
        <v>318.05</v>
      </c>
      <c r="K860" s="1">
        <f>IFERROR(__xludf.DUMMYFUNCTION("""COMPUTED_VALUE"""),318.05)</f>
        <v>318.05</v>
      </c>
    </row>
    <row r="861">
      <c r="A861" s="1">
        <f>IFERROR(__xludf.DUMMYFUNCTION("""COMPUTED_VALUE"""),1000.0)</f>
        <v>1000</v>
      </c>
      <c r="B861" s="1">
        <f>IFERROR(__xludf.DUMMYFUNCTION("""COMPUTED_VALUE"""),184076.0)</f>
        <v>184076</v>
      </c>
      <c r="C861" s="1">
        <f>IFERROR(__xludf.DUMMYFUNCTION("""COMPUTED_VALUE"""),2026.0)</f>
        <v>2026</v>
      </c>
      <c r="D861" s="1">
        <f>IFERROR(__xludf.DUMMYFUNCTION("""COMPUTED_VALUE"""),46218.0)</f>
        <v>46218</v>
      </c>
      <c r="E861" s="1" t="str">
        <f>IFERROR(__xludf.DUMMYFUNCTION("""COMPUTED_VALUE"""),"VF")</f>
        <v>VF</v>
      </c>
      <c r="F861" s="1">
        <f>IFERROR(__xludf.DUMMYFUNCTION("""COMPUTED_VALUE"""),1.0)</f>
        <v>1</v>
      </c>
      <c r="G861" s="1" t="str">
        <f>IFERROR(__xludf.DUMMYFUNCTION("""COMPUTED_VALUE"""),"PR019")</f>
        <v>PR019</v>
      </c>
      <c r="H861" s="1" t="str">
        <f>IFERROR(__xludf.DUMMYFUNCTION("""COMPUTED_VALUE"""),"VD019")</f>
        <v>VD019</v>
      </c>
      <c r="I861" s="1">
        <f>IFERROR(__xludf.DUMMYFUNCTION("""COMPUTED_VALUE"""),12.0)</f>
        <v>12</v>
      </c>
      <c r="J861" s="1">
        <f>IFERROR(__xludf.DUMMYFUNCTION("""COMPUTED_VALUE"""),652.69)</f>
        <v>652.69</v>
      </c>
      <c r="K861" s="1">
        <f>IFERROR(__xludf.DUMMYFUNCTION("""COMPUTED_VALUE"""),652.69)</f>
        <v>652.69</v>
      </c>
    </row>
    <row r="862">
      <c r="A862" s="1">
        <f>IFERROR(__xludf.DUMMYFUNCTION("""COMPUTED_VALUE"""),1000.0)</f>
        <v>1000</v>
      </c>
      <c r="B862" s="1">
        <f>IFERROR(__xludf.DUMMYFUNCTION("""COMPUTED_VALUE"""),184077.0)</f>
        <v>184077</v>
      </c>
      <c r="C862" s="1">
        <f>IFERROR(__xludf.DUMMYFUNCTION("""COMPUTED_VALUE"""),2026.0)</f>
        <v>2026</v>
      </c>
      <c r="D862" s="1">
        <f>IFERROR(__xludf.DUMMYFUNCTION("""COMPUTED_VALUE"""),46218.0)</f>
        <v>46218</v>
      </c>
      <c r="E862" s="1" t="str">
        <f>IFERROR(__xludf.DUMMYFUNCTION("""COMPUTED_VALUE"""),"VF")</f>
        <v>VF</v>
      </c>
      <c r="F862" s="1">
        <f>IFERROR(__xludf.DUMMYFUNCTION("""COMPUTED_VALUE"""),1.0)</f>
        <v>1</v>
      </c>
      <c r="G862" s="1" t="str">
        <f>IFERROR(__xludf.DUMMYFUNCTION("""COMPUTED_VALUE"""),"PR053")</f>
        <v>PR053</v>
      </c>
      <c r="H862" s="1" t="str">
        <f>IFERROR(__xludf.DUMMYFUNCTION("""COMPUTED_VALUE"""),"VD041")</f>
        <v>VD041</v>
      </c>
      <c r="I862" s="1">
        <f>IFERROR(__xludf.DUMMYFUNCTION("""COMPUTED_VALUE"""),8.0)</f>
        <v>8</v>
      </c>
      <c r="J862" s="1">
        <f>IFERROR(__xludf.DUMMYFUNCTION("""COMPUTED_VALUE"""),411.18)</f>
        <v>411.18</v>
      </c>
      <c r="K862" s="1">
        <f>IFERROR(__xludf.DUMMYFUNCTION("""COMPUTED_VALUE"""),411.18)</f>
        <v>411.18</v>
      </c>
    </row>
    <row r="863">
      <c r="A863" s="1">
        <f>IFERROR(__xludf.DUMMYFUNCTION("""COMPUTED_VALUE"""),1000.0)</f>
        <v>1000</v>
      </c>
      <c r="B863" s="1">
        <f>IFERROR(__xludf.DUMMYFUNCTION("""COMPUTED_VALUE"""),184078.0)</f>
        <v>184078</v>
      </c>
      <c r="C863" s="1">
        <f>IFERROR(__xludf.DUMMYFUNCTION("""COMPUTED_VALUE"""),2026.0)</f>
        <v>2026</v>
      </c>
      <c r="D863" s="1">
        <f>IFERROR(__xludf.DUMMYFUNCTION("""COMPUTED_VALUE"""),46218.0)</f>
        <v>46218</v>
      </c>
      <c r="E863" s="1" t="str">
        <f>IFERROR(__xludf.DUMMYFUNCTION("""COMPUTED_VALUE"""),"VF")</f>
        <v>VF</v>
      </c>
      <c r="F863" s="1">
        <f>IFERROR(__xludf.DUMMYFUNCTION("""COMPUTED_VALUE"""),1.0)</f>
        <v>1</v>
      </c>
      <c r="G863" s="1" t="str">
        <f>IFERROR(__xludf.DUMMYFUNCTION("""COMPUTED_VALUE"""),"PR051")</f>
        <v>PR051</v>
      </c>
      <c r="H863" s="1" t="str">
        <f>IFERROR(__xludf.DUMMYFUNCTION("""COMPUTED_VALUE"""),"VD023")</f>
        <v>VD023</v>
      </c>
      <c r="I863" s="1">
        <f>IFERROR(__xludf.DUMMYFUNCTION("""COMPUTED_VALUE"""),7.0)</f>
        <v>7</v>
      </c>
      <c r="J863" s="1">
        <f>IFERROR(__xludf.DUMMYFUNCTION("""COMPUTED_VALUE"""),244.12)</f>
        <v>244.12</v>
      </c>
      <c r="K863" s="1">
        <f>IFERROR(__xludf.DUMMYFUNCTION("""COMPUTED_VALUE"""),244.12)</f>
        <v>244.12</v>
      </c>
    </row>
    <row r="864">
      <c r="A864" s="1">
        <f>IFERROR(__xludf.DUMMYFUNCTION("""COMPUTED_VALUE"""),1000.0)</f>
        <v>1000</v>
      </c>
      <c r="B864" s="1">
        <f>IFERROR(__xludf.DUMMYFUNCTION("""COMPUTED_VALUE"""),184079.0)</f>
        <v>184079</v>
      </c>
      <c r="C864" s="1">
        <f>IFERROR(__xludf.DUMMYFUNCTION("""COMPUTED_VALUE"""),2026.0)</f>
        <v>2026</v>
      </c>
      <c r="D864" s="1">
        <f>IFERROR(__xludf.DUMMYFUNCTION("""COMPUTED_VALUE"""),46218.0)</f>
        <v>46218</v>
      </c>
      <c r="E864" s="1" t="str">
        <f>IFERROR(__xludf.DUMMYFUNCTION("""COMPUTED_VALUE"""),"VF")</f>
        <v>VF</v>
      </c>
      <c r="F864" s="1">
        <f>IFERROR(__xludf.DUMMYFUNCTION("""COMPUTED_VALUE"""),1.0)</f>
        <v>1</v>
      </c>
      <c r="G864" s="1" t="str">
        <f>IFERROR(__xludf.DUMMYFUNCTION("""COMPUTED_VALUE"""),"PR047")</f>
        <v>PR047</v>
      </c>
      <c r="H864" s="1" t="str">
        <f>IFERROR(__xludf.DUMMYFUNCTION("""COMPUTED_VALUE"""),"VD021")</f>
        <v>VD021</v>
      </c>
      <c r="I864" s="1">
        <f>IFERROR(__xludf.DUMMYFUNCTION("""COMPUTED_VALUE"""),2.0)</f>
        <v>2</v>
      </c>
      <c r="J864" s="1">
        <f>IFERROR(__xludf.DUMMYFUNCTION("""COMPUTED_VALUE"""),597.19)</f>
        <v>597.19</v>
      </c>
      <c r="K864" s="1">
        <f>IFERROR(__xludf.DUMMYFUNCTION("""COMPUTED_VALUE"""),597.19)</f>
        <v>597.19</v>
      </c>
    </row>
    <row r="865">
      <c r="A865" s="1">
        <f>IFERROR(__xludf.DUMMYFUNCTION("""COMPUTED_VALUE"""),1000.0)</f>
        <v>1000</v>
      </c>
      <c r="B865" s="1">
        <f>IFERROR(__xludf.DUMMYFUNCTION("""COMPUTED_VALUE"""),184080.0)</f>
        <v>184080</v>
      </c>
      <c r="C865" s="1">
        <f>IFERROR(__xludf.DUMMYFUNCTION("""COMPUTED_VALUE"""),2026.0)</f>
        <v>2026</v>
      </c>
      <c r="D865" s="1">
        <f>IFERROR(__xludf.DUMMYFUNCTION("""COMPUTED_VALUE"""),46218.0)</f>
        <v>46218</v>
      </c>
      <c r="E865" s="1" t="str">
        <f>IFERROR(__xludf.DUMMYFUNCTION("""COMPUTED_VALUE"""),"VF")</f>
        <v>VF</v>
      </c>
      <c r="F865" s="1">
        <f>IFERROR(__xludf.DUMMYFUNCTION("""COMPUTED_VALUE"""),1.0)</f>
        <v>1</v>
      </c>
      <c r="G865" s="1" t="str">
        <f>IFERROR(__xludf.DUMMYFUNCTION("""COMPUTED_VALUE"""),"PR048")</f>
        <v>PR048</v>
      </c>
      <c r="H865" s="1" t="str">
        <f>IFERROR(__xludf.DUMMYFUNCTION("""COMPUTED_VALUE"""),"VD045")</f>
        <v>VD045</v>
      </c>
      <c r="I865" s="1">
        <f>IFERROR(__xludf.DUMMYFUNCTION("""COMPUTED_VALUE"""),4.0)</f>
        <v>4</v>
      </c>
      <c r="J865" s="1">
        <f>IFERROR(__xludf.DUMMYFUNCTION("""COMPUTED_VALUE"""),1275.56)</f>
        <v>1275.56</v>
      </c>
      <c r="K865" s="1">
        <f>IFERROR(__xludf.DUMMYFUNCTION("""COMPUTED_VALUE"""),1275.56)</f>
        <v>1275.56</v>
      </c>
    </row>
    <row r="866">
      <c r="A866" s="1">
        <f>IFERROR(__xludf.DUMMYFUNCTION("""COMPUTED_VALUE"""),1000.0)</f>
        <v>1000</v>
      </c>
      <c r="B866" s="1">
        <f>IFERROR(__xludf.DUMMYFUNCTION("""COMPUTED_VALUE"""),184081.0)</f>
        <v>184081</v>
      </c>
      <c r="C866" s="1">
        <f>IFERROR(__xludf.DUMMYFUNCTION("""COMPUTED_VALUE"""),2026.0)</f>
        <v>2026</v>
      </c>
      <c r="D866" s="1">
        <f>IFERROR(__xludf.DUMMYFUNCTION("""COMPUTED_VALUE"""),46218.0)</f>
        <v>46218</v>
      </c>
      <c r="E866" s="1" t="str">
        <f>IFERROR(__xludf.DUMMYFUNCTION("""COMPUTED_VALUE"""),"VF")</f>
        <v>VF</v>
      </c>
      <c r="F866" s="1">
        <f>IFERROR(__xludf.DUMMYFUNCTION("""COMPUTED_VALUE"""),1.0)</f>
        <v>1</v>
      </c>
      <c r="G866" s="1" t="str">
        <f>IFERROR(__xludf.DUMMYFUNCTION("""COMPUTED_VALUE"""),"PR014")</f>
        <v>PR014</v>
      </c>
      <c r="H866" s="1" t="str">
        <f>IFERROR(__xludf.DUMMYFUNCTION("""COMPUTED_VALUE"""),"VD049")</f>
        <v>VD049</v>
      </c>
      <c r="I866" s="1">
        <f>IFERROR(__xludf.DUMMYFUNCTION("""COMPUTED_VALUE"""),6.0)</f>
        <v>6</v>
      </c>
      <c r="J866" s="1">
        <f>IFERROR(__xludf.DUMMYFUNCTION("""COMPUTED_VALUE"""),246.58)</f>
        <v>246.58</v>
      </c>
      <c r="K866" s="1">
        <f>IFERROR(__xludf.DUMMYFUNCTION("""COMPUTED_VALUE"""),246.58)</f>
        <v>246.58</v>
      </c>
    </row>
    <row r="867">
      <c r="A867" s="1">
        <f>IFERROR(__xludf.DUMMYFUNCTION("""COMPUTED_VALUE"""),1000.0)</f>
        <v>1000</v>
      </c>
      <c r="B867" s="1">
        <f>IFERROR(__xludf.DUMMYFUNCTION("""COMPUTED_VALUE"""),184082.0)</f>
        <v>184082</v>
      </c>
      <c r="C867" s="1">
        <f>IFERROR(__xludf.DUMMYFUNCTION("""COMPUTED_VALUE"""),2026.0)</f>
        <v>2026</v>
      </c>
      <c r="D867" s="1">
        <f>IFERROR(__xludf.DUMMYFUNCTION("""COMPUTED_VALUE"""),46217.0)</f>
        <v>46217</v>
      </c>
      <c r="E867" s="1" t="str">
        <f>IFERROR(__xludf.DUMMYFUNCTION("""COMPUTED_VALUE"""),"VF")</f>
        <v>VF</v>
      </c>
      <c r="F867" s="1">
        <f>IFERROR(__xludf.DUMMYFUNCTION("""COMPUTED_VALUE"""),1.0)</f>
        <v>1</v>
      </c>
      <c r="G867" s="1" t="str">
        <f>IFERROR(__xludf.DUMMYFUNCTION("""COMPUTED_VALUE"""),"PR050")</f>
        <v>PR050</v>
      </c>
      <c r="H867" s="1" t="str">
        <f>IFERROR(__xludf.DUMMYFUNCTION("""COMPUTED_VALUE"""),"VD019")</f>
        <v>VD019</v>
      </c>
      <c r="I867" s="1">
        <f>IFERROR(__xludf.DUMMYFUNCTION("""COMPUTED_VALUE"""),2.0)</f>
        <v>2</v>
      </c>
      <c r="J867" s="1">
        <f>IFERROR(__xludf.DUMMYFUNCTION("""COMPUTED_VALUE"""),68.43)</f>
        <v>68.43</v>
      </c>
      <c r="K867" s="1">
        <f>IFERROR(__xludf.DUMMYFUNCTION("""COMPUTED_VALUE"""),68.43)</f>
        <v>68.43</v>
      </c>
    </row>
    <row r="868">
      <c r="A868" s="1">
        <f>IFERROR(__xludf.DUMMYFUNCTION("""COMPUTED_VALUE"""),2000.0)</f>
        <v>2000</v>
      </c>
      <c r="B868" s="1">
        <f>IFERROR(__xludf.DUMMYFUNCTION("""COMPUTED_VALUE"""),184083.0)</f>
        <v>184083</v>
      </c>
      <c r="C868" s="1">
        <f>IFERROR(__xludf.DUMMYFUNCTION("""COMPUTED_VALUE"""),2026.0)</f>
        <v>2026</v>
      </c>
      <c r="D868" s="1">
        <f>IFERROR(__xludf.DUMMYFUNCTION("""COMPUTED_VALUE"""),46217.0)</f>
        <v>46217</v>
      </c>
      <c r="E868" s="1" t="str">
        <f>IFERROR(__xludf.DUMMYFUNCTION("""COMPUTED_VALUE"""),"VF")</f>
        <v>VF</v>
      </c>
      <c r="F868" s="1">
        <f>IFERROR(__xludf.DUMMYFUNCTION("""COMPUTED_VALUE"""),1.0)</f>
        <v>1</v>
      </c>
      <c r="G868" s="1" t="str">
        <f>IFERROR(__xludf.DUMMYFUNCTION("""COMPUTED_VALUE"""),"PR008")</f>
        <v>PR008</v>
      </c>
      <c r="H868" s="1" t="str">
        <f>IFERROR(__xludf.DUMMYFUNCTION("""COMPUTED_VALUE"""),"VD038")</f>
        <v>VD038</v>
      </c>
      <c r="I868" s="1">
        <f>IFERROR(__xludf.DUMMYFUNCTION("""COMPUTED_VALUE"""),8.0)</f>
        <v>8</v>
      </c>
      <c r="J868" s="1">
        <f>IFERROR(__xludf.DUMMYFUNCTION("""COMPUTED_VALUE"""),733.58)</f>
        <v>733.58</v>
      </c>
      <c r="K868" s="1">
        <f>IFERROR(__xludf.DUMMYFUNCTION("""COMPUTED_VALUE"""),733.58)</f>
        <v>733.58</v>
      </c>
    </row>
    <row r="869">
      <c r="A869" s="1">
        <f>IFERROR(__xludf.DUMMYFUNCTION("""COMPUTED_VALUE"""),1000.0)</f>
        <v>1000</v>
      </c>
      <c r="B869" s="1">
        <f>IFERROR(__xludf.DUMMYFUNCTION("""COMPUTED_VALUE"""),184084.0)</f>
        <v>184084</v>
      </c>
      <c r="C869" s="1">
        <f>IFERROR(__xludf.DUMMYFUNCTION("""COMPUTED_VALUE"""),2026.0)</f>
        <v>2026</v>
      </c>
      <c r="D869" s="1">
        <f>IFERROR(__xludf.DUMMYFUNCTION("""COMPUTED_VALUE"""),46217.0)</f>
        <v>46217</v>
      </c>
      <c r="E869" s="1" t="str">
        <f>IFERROR(__xludf.DUMMYFUNCTION("""COMPUTED_VALUE"""),"VF")</f>
        <v>VF</v>
      </c>
      <c r="F869" s="1">
        <f>IFERROR(__xludf.DUMMYFUNCTION("""COMPUTED_VALUE"""),1.0)</f>
        <v>1</v>
      </c>
      <c r="G869" s="1" t="str">
        <f>IFERROR(__xludf.DUMMYFUNCTION("""COMPUTED_VALUE"""),"PR018")</f>
        <v>PR018</v>
      </c>
      <c r="H869" s="1" t="str">
        <f>IFERROR(__xludf.DUMMYFUNCTION("""COMPUTED_VALUE"""),"VD022")</f>
        <v>VD022</v>
      </c>
      <c r="I869" s="1">
        <f>IFERROR(__xludf.DUMMYFUNCTION("""COMPUTED_VALUE"""),20.0)</f>
        <v>20</v>
      </c>
      <c r="J869" s="1">
        <f>IFERROR(__xludf.DUMMYFUNCTION("""COMPUTED_VALUE"""),677.74)</f>
        <v>677.74</v>
      </c>
      <c r="K869" s="1">
        <f>IFERROR(__xludf.DUMMYFUNCTION("""COMPUTED_VALUE"""),677.74)</f>
        <v>677.74</v>
      </c>
    </row>
    <row r="870">
      <c r="A870" s="1">
        <f>IFERROR(__xludf.DUMMYFUNCTION("""COMPUTED_VALUE"""),1000.0)</f>
        <v>1000</v>
      </c>
      <c r="B870" s="1">
        <f>IFERROR(__xludf.DUMMYFUNCTION("""COMPUTED_VALUE"""),184085.0)</f>
        <v>184085</v>
      </c>
      <c r="C870" s="1">
        <f>IFERROR(__xludf.DUMMYFUNCTION("""COMPUTED_VALUE"""),2026.0)</f>
        <v>2026</v>
      </c>
      <c r="D870" s="1">
        <f>IFERROR(__xludf.DUMMYFUNCTION("""COMPUTED_VALUE"""),46217.0)</f>
        <v>46217</v>
      </c>
      <c r="E870" s="1" t="str">
        <f>IFERROR(__xludf.DUMMYFUNCTION("""COMPUTED_VALUE"""),"VF")</f>
        <v>VF</v>
      </c>
      <c r="F870" s="1">
        <f>IFERROR(__xludf.DUMMYFUNCTION("""COMPUTED_VALUE"""),1.0)</f>
        <v>1</v>
      </c>
      <c r="G870" s="1" t="str">
        <f>IFERROR(__xludf.DUMMYFUNCTION("""COMPUTED_VALUE"""),"PR043")</f>
        <v>PR043</v>
      </c>
      <c r="H870" s="1" t="str">
        <f>IFERROR(__xludf.DUMMYFUNCTION("""COMPUTED_VALUE"""),"VD025")</f>
        <v>VD025</v>
      </c>
      <c r="I870" s="1">
        <f>IFERROR(__xludf.DUMMYFUNCTION("""COMPUTED_VALUE"""),4.0)</f>
        <v>4</v>
      </c>
      <c r="J870" s="1">
        <f>IFERROR(__xludf.DUMMYFUNCTION("""COMPUTED_VALUE"""),307.4)</f>
        <v>307.4</v>
      </c>
      <c r="K870" s="1">
        <f>IFERROR(__xludf.DUMMYFUNCTION("""COMPUTED_VALUE"""),307.4)</f>
        <v>307.4</v>
      </c>
    </row>
    <row r="871">
      <c r="A871" s="1">
        <f>IFERROR(__xludf.DUMMYFUNCTION("""COMPUTED_VALUE"""),1000.0)</f>
        <v>1000</v>
      </c>
      <c r="B871" s="1">
        <f>IFERROR(__xludf.DUMMYFUNCTION("""COMPUTED_VALUE"""),184086.0)</f>
        <v>184086</v>
      </c>
      <c r="C871" s="1">
        <f>IFERROR(__xludf.DUMMYFUNCTION("""COMPUTED_VALUE"""),2026.0)</f>
        <v>2026</v>
      </c>
      <c r="D871" s="1">
        <f>IFERROR(__xludf.DUMMYFUNCTION("""COMPUTED_VALUE"""),46217.0)</f>
        <v>46217</v>
      </c>
      <c r="E871" s="1" t="str">
        <f>IFERROR(__xludf.DUMMYFUNCTION("""COMPUTED_VALUE"""),"VF")</f>
        <v>VF</v>
      </c>
      <c r="F871" s="1">
        <f>IFERROR(__xludf.DUMMYFUNCTION("""COMPUTED_VALUE"""),1.0)</f>
        <v>1</v>
      </c>
      <c r="G871" s="1" t="str">
        <f>IFERROR(__xludf.DUMMYFUNCTION("""COMPUTED_VALUE"""),"PR010")</f>
        <v>PR010</v>
      </c>
      <c r="H871" s="1" t="str">
        <f>IFERROR(__xludf.DUMMYFUNCTION("""COMPUTED_VALUE"""),"VD026")</f>
        <v>VD026</v>
      </c>
      <c r="I871" s="1">
        <f>IFERROR(__xludf.DUMMYFUNCTION("""COMPUTED_VALUE"""),5.0)</f>
        <v>5</v>
      </c>
      <c r="J871" s="1">
        <f>IFERROR(__xludf.DUMMYFUNCTION("""COMPUTED_VALUE"""),244.71)</f>
        <v>244.71</v>
      </c>
      <c r="K871" s="1">
        <f>IFERROR(__xludf.DUMMYFUNCTION("""COMPUTED_VALUE"""),244.71)</f>
        <v>244.71</v>
      </c>
    </row>
    <row r="872">
      <c r="A872" s="1">
        <f>IFERROR(__xludf.DUMMYFUNCTION("""COMPUTED_VALUE"""),1000.0)</f>
        <v>1000</v>
      </c>
      <c r="B872" s="1">
        <f>IFERROR(__xludf.DUMMYFUNCTION("""COMPUTED_VALUE"""),184087.0)</f>
        <v>184087</v>
      </c>
      <c r="C872" s="1">
        <f>IFERROR(__xludf.DUMMYFUNCTION("""COMPUTED_VALUE"""),2026.0)</f>
        <v>2026</v>
      </c>
      <c r="D872" s="1">
        <f>IFERROR(__xludf.DUMMYFUNCTION("""COMPUTED_VALUE"""),46217.0)</f>
        <v>46217</v>
      </c>
      <c r="E872" s="1" t="str">
        <f>IFERROR(__xludf.DUMMYFUNCTION("""COMPUTED_VALUE"""),"VF")</f>
        <v>VF</v>
      </c>
      <c r="F872" s="1">
        <f>IFERROR(__xludf.DUMMYFUNCTION("""COMPUTED_VALUE"""),1.0)</f>
        <v>1</v>
      </c>
      <c r="G872" s="1" t="str">
        <f>IFERROR(__xludf.DUMMYFUNCTION("""COMPUTED_VALUE"""),"PR032")</f>
        <v>PR032</v>
      </c>
      <c r="H872" s="1" t="str">
        <f>IFERROR(__xludf.DUMMYFUNCTION("""COMPUTED_VALUE"""),"VD015")</f>
        <v>VD015</v>
      </c>
      <c r="I872" s="1">
        <f>IFERROR(__xludf.DUMMYFUNCTION("""COMPUTED_VALUE"""),20.0)</f>
        <v>20</v>
      </c>
      <c r="J872" s="1">
        <f>IFERROR(__xludf.DUMMYFUNCTION("""COMPUTED_VALUE"""),5300.0)</f>
        <v>5300</v>
      </c>
      <c r="K872" s="1">
        <f>IFERROR(__xludf.DUMMYFUNCTION("""COMPUTED_VALUE"""),5300.0)</f>
        <v>5300</v>
      </c>
    </row>
    <row r="873">
      <c r="A873" s="1">
        <f>IFERROR(__xludf.DUMMYFUNCTION("""COMPUTED_VALUE"""),1000.0)</f>
        <v>1000</v>
      </c>
      <c r="B873" s="1">
        <f>IFERROR(__xludf.DUMMYFUNCTION("""COMPUTED_VALUE"""),184088.0)</f>
        <v>184088</v>
      </c>
      <c r="C873" s="1">
        <f>IFERROR(__xludf.DUMMYFUNCTION("""COMPUTED_VALUE"""),2026.0)</f>
        <v>2026</v>
      </c>
      <c r="D873" s="1">
        <f>IFERROR(__xludf.DUMMYFUNCTION("""COMPUTED_VALUE"""),46217.0)</f>
        <v>46217</v>
      </c>
      <c r="E873" s="1" t="str">
        <f>IFERROR(__xludf.DUMMYFUNCTION("""COMPUTED_VALUE"""),"VF")</f>
        <v>VF</v>
      </c>
      <c r="F873" s="1">
        <f>IFERROR(__xludf.DUMMYFUNCTION("""COMPUTED_VALUE"""),1.0)</f>
        <v>1</v>
      </c>
      <c r="G873" s="1" t="str">
        <f>IFERROR(__xludf.DUMMYFUNCTION("""COMPUTED_VALUE"""),"PR003")</f>
        <v>PR003</v>
      </c>
      <c r="H873" s="1" t="str">
        <f>IFERROR(__xludf.DUMMYFUNCTION("""COMPUTED_VALUE"""),"VD049")</f>
        <v>VD049</v>
      </c>
      <c r="I873" s="1">
        <f>IFERROR(__xludf.DUMMYFUNCTION("""COMPUTED_VALUE"""),3.0)</f>
        <v>3</v>
      </c>
      <c r="J873" s="1">
        <f>IFERROR(__xludf.DUMMYFUNCTION("""COMPUTED_VALUE"""),223.34)</f>
        <v>223.34</v>
      </c>
      <c r="K873" s="1">
        <f>IFERROR(__xludf.DUMMYFUNCTION("""COMPUTED_VALUE"""),223.34)</f>
        <v>223.34</v>
      </c>
    </row>
    <row r="874">
      <c r="A874" s="1">
        <f>IFERROR(__xludf.DUMMYFUNCTION("""COMPUTED_VALUE"""),1000.0)</f>
        <v>1000</v>
      </c>
      <c r="B874" s="1">
        <f>IFERROR(__xludf.DUMMYFUNCTION("""COMPUTED_VALUE"""),184089.0)</f>
        <v>184089</v>
      </c>
      <c r="C874" s="1">
        <f>IFERROR(__xludf.DUMMYFUNCTION("""COMPUTED_VALUE"""),2026.0)</f>
        <v>2026</v>
      </c>
      <c r="D874" s="1">
        <f>IFERROR(__xludf.DUMMYFUNCTION("""COMPUTED_VALUE"""),46217.0)</f>
        <v>46217</v>
      </c>
      <c r="E874" s="1" t="str">
        <f>IFERROR(__xludf.DUMMYFUNCTION("""COMPUTED_VALUE"""),"VF")</f>
        <v>VF</v>
      </c>
      <c r="F874" s="1">
        <f>IFERROR(__xludf.DUMMYFUNCTION("""COMPUTED_VALUE"""),1.0)</f>
        <v>1</v>
      </c>
      <c r="G874" s="1" t="str">
        <f>IFERROR(__xludf.DUMMYFUNCTION("""COMPUTED_VALUE"""),"PR019")</f>
        <v>PR019</v>
      </c>
      <c r="H874" s="1" t="str">
        <f>IFERROR(__xludf.DUMMYFUNCTION("""COMPUTED_VALUE"""),"VD022")</f>
        <v>VD022</v>
      </c>
      <c r="I874" s="1">
        <f>IFERROR(__xludf.DUMMYFUNCTION("""COMPUTED_VALUE"""),14.0)</f>
        <v>14</v>
      </c>
      <c r="J874" s="1">
        <f>IFERROR(__xludf.DUMMYFUNCTION("""COMPUTED_VALUE"""),705.59)</f>
        <v>705.59</v>
      </c>
      <c r="K874" s="1">
        <f>IFERROR(__xludf.DUMMYFUNCTION("""COMPUTED_VALUE"""),705.59)</f>
        <v>705.59</v>
      </c>
    </row>
    <row r="875">
      <c r="A875" s="1">
        <f>IFERROR(__xludf.DUMMYFUNCTION("""COMPUTED_VALUE"""),1000.0)</f>
        <v>1000</v>
      </c>
      <c r="B875" s="1">
        <f>IFERROR(__xludf.DUMMYFUNCTION("""COMPUTED_VALUE"""),184090.0)</f>
        <v>184090</v>
      </c>
      <c r="C875" s="1">
        <f>IFERROR(__xludf.DUMMYFUNCTION("""COMPUTED_VALUE"""),2026.0)</f>
        <v>2026</v>
      </c>
      <c r="D875" s="1">
        <f>IFERROR(__xludf.DUMMYFUNCTION("""COMPUTED_VALUE"""),46217.0)</f>
        <v>46217</v>
      </c>
      <c r="E875" s="1" t="str">
        <f>IFERROR(__xludf.DUMMYFUNCTION("""COMPUTED_VALUE"""),"VF")</f>
        <v>VF</v>
      </c>
      <c r="F875" s="1">
        <f>IFERROR(__xludf.DUMMYFUNCTION("""COMPUTED_VALUE"""),1.0)</f>
        <v>1</v>
      </c>
      <c r="G875" s="1" t="str">
        <f>IFERROR(__xludf.DUMMYFUNCTION("""COMPUTED_VALUE"""),"PR048")</f>
        <v>PR048</v>
      </c>
      <c r="H875" s="1" t="str">
        <f>IFERROR(__xludf.DUMMYFUNCTION("""COMPUTED_VALUE"""),"VD026")</f>
        <v>VD026</v>
      </c>
      <c r="I875" s="1">
        <f>IFERROR(__xludf.DUMMYFUNCTION("""COMPUTED_VALUE"""),8.0)</f>
        <v>8</v>
      </c>
      <c r="J875" s="1">
        <f>IFERROR(__xludf.DUMMYFUNCTION("""COMPUTED_VALUE"""),2342.39)</f>
        <v>2342.39</v>
      </c>
      <c r="K875" s="1">
        <f>IFERROR(__xludf.DUMMYFUNCTION("""COMPUTED_VALUE"""),2342.39)</f>
        <v>2342.39</v>
      </c>
    </row>
    <row r="876">
      <c r="A876" s="1">
        <f>IFERROR(__xludf.DUMMYFUNCTION("""COMPUTED_VALUE"""),1000.0)</f>
        <v>1000</v>
      </c>
      <c r="B876" s="1">
        <f>IFERROR(__xludf.DUMMYFUNCTION("""COMPUTED_VALUE"""),184091.0)</f>
        <v>184091</v>
      </c>
      <c r="C876" s="1">
        <f>IFERROR(__xludf.DUMMYFUNCTION("""COMPUTED_VALUE"""),2026.0)</f>
        <v>2026</v>
      </c>
      <c r="D876" s="1">
        <f>IFERROR(__xludf.DUMMYFUNCTION("""COMPUTED_VALUE"""),46217.0)</f>
        <v>46217</v>
      </c>
      <c r="E876" s="1" t="str">
        <f>IFERROR(__xludf.DUMMYFUNCTION("""COMPUTED_VALUE"""),"VF")</f>
        <v>VF</v>
      </c>
      <c r="F876" s="1">
        <f>IFERROR(__xludf.DUMMYFUNCTION("""COMPUTED_VALUE"""),1.0)</f>
        <v>1</v>
      </c>
      <c r="G876" s="1" t="str">
        <f>IFERROR(__xludf.DUMMYFUNCTION("""COMPUTED_VALUE"""),"PR032")</f>
        <v>PR032</v>
      </c>
      <c r="H876" s="1" t="str">
        <f>IFERROR(__xludf.DUMMYFUNCTION("""COMPUTED_VALUE"""),"VD013")</f>
        <v>VD013</v>
      </c>
      <c r="I876" s="1">
        <f>IFERROR(__xludf.DUMMYFUNCTION("""COMPUTED_VALUE"""),10.0)</f>
        <v>10</v>
      </c>
      <c r="J876" s="1">
        <f>IFERROR(__xludf.DUMMYFUNCTION("""COMPUTED_VALUE"""),2575.0)</f>
        <v>2575</v>
      </c>
      <c r="K876" s="1">
        <f>IFERROR(__xludf.DUMMYFUNCTION("""COMPUTED_VALUE"""),2575.0)</f>
        <v>2575</v>
      </c>
    </row>
    <row r="877">
      <c r="A877" s="1">
        <f>IFERROR(__xludf.DUMMYFUNCTION("""COMPUTED_VALUE"""),1000.0)</f>
        <v>1000</v>
      </c>
      <c r="B877" s="1">
        <f>IFERROR(__xludf.DUMMYFUNCTION("""COMPUTED_VALUE"""),184092.0)</f>
        <v>184092</v>
      </c>
      <c r="C877" s="1">
        <f>IFERROR(__xludf.DUMMYFUNCTION("""COMPUTED_VALUE"""),2026.0)</f>
        <v>2026</v>
      </c>
      <c r="D877" s="1">
        <f>IFERROR(__xludf.DUMMYFUNCTION("""COMPUTED_VALUE"""),46217.0)</f>
        <v>46217</v>
      </c>
      <c r="E877" s="1" t="str">
        <f>IFERROR(__xludf.DUMMYFUNCTION("""COMPUTED_VALUE"""),"VF")</f>
        <v>VF</v>
      </c>
      <c r="F877" s="1">
        <f>IFERROR(__xludf.DUMMYFUNCTION("""COMPUTED_VALUE"""),1.0)</f>
        <v>1</v>
      </c>
      <c r="G877" s="1" t="str">
        <f>IFERROR(__xludf.DUMMYFUNCTION("""COMPUTED_VALUE"""),"PR058")</f>
        <v>PR058</v>
      </c>
      <c r="H877" s="1" t="str">
        <f>IFERROR(__xludf.DUMMYFUNCTION("""COMPUTED_VALUE"""),"VD041")</f>
        <v>VD041</v>
      </c>
      <c r="I877" s="1">
        <f>IFERROR(__xludf.DUMMYFUNCTION("""COMPUTED_VALUE"""),10.0)</f>
        <v>10</v>
      </c>
      <c r="J877" s="1">
        <f>IFERROR(__xludf.DUMMYFUNCTION("""COMPUTED_VALUE"""),1926.0)</f>
        <v>1926</v>
      </c>
      <c r="K877" s="1">
        <f>IFERROR(__xludf.DUMMYFUNCTION("""COMPUTED_VALUE"""),1926.0)</f>
        <v>1926</v>
      </c>
    </row>
    <row r="878">
      <c r="A878" s="1">
        <f>IFERROR(__xludf.DUMMYFUNCTION("""COMPUTED_VALUE"""),1000.0)</f>
        <v>1000</v>
      </c>
      <c r="B878" s="1">
        <f>IFERROR(__xludf.DUMMYFUNCTION("""COMPUTED_VALUE"""),184093.0)</f>
        <v>184093</v>
      </c>
      <c r="C878" s="1">
        <f>IFERROR(__xludf.DUMMYFUNCTION("""COMPUTED_VALUE"""),2026.0)</f>
        <v>2026</v>
      </c>
      <c r="D878" s="1">
        <f>IFERROR(__xludf.DUMMYFUNCTION("""COMPUTED_VALUE"""),46217.0)</f>
        <v>46217</v>
      </c>
      <c r="E878" s="1" t="str">
        <f>IFERROR(__xludf.DUMMYFUNCTION("""COMPUTED_VALUE"""),"VF")</f>
        <v>VF</v>
      </c>
      <c r="F878" s="1">
        <f>IFERROR(__xludf.DUMMYFUNCTION("""COMPUTED_VALUE"""),1.0)</f>
        <v>1</v>
      </c>
      <c r="G878" s="1" t="str">
        <f>IFERROR(__xludf.DUMMYFUNCTION("""COMPUTED_VALUE"""),"PR019")</f>
        <v>PR019</v>
      </c>
      <c r="H878" s="1" t="str">
        <f>IFERROR(__xludf.DUMMYFUNCTION("""COMPUTED_VALUE"""),"VD027")</f>
        <v>VD027</v>
      </c>
      <c r="I878" s="1">
        <f>IFERROR(__xludf.DUMMYFUNCTION("""COMPUTED_VALUE"""),8.0)</f>
        <v>8</v>
      </c>
      <c r="J878" s="1">
        <f>IFERROR(__xludf.DUMMYFUNCTION("""COMPUTED_VALUE"""),411.18)</f>
        <v>411.18</v>
      </c>
      <c r="K878" s="1">
        <f>IFERROR(__xludf.DUMMYFUNCTION("""COMPUTED_VALUE"""),411.18)</f>
        <v>411.18</v>
      </c>
    </row>
    <row r="879">
      <c r="A879" s="1">
        <f>IFERROR(__xludf.DUMMYFUNCTION("""COMPUTED_VALUE"""),1000.0)</f>
        <v>1000</v>
      </c>
      <c r="B879" s="1">
        <f>IFERROR(__xludf.DUMMYFUNCTION("""COMPUTED_VALUE"""),184093.0)</f>
        <v>184093</v>
      </c>
      <c r="C879" s="1">
        <f>IFERROR(__xludf.DUMMYFUNCTION("""COMPUTED_VALUE"""),2026.0)</f>
        <v>2026</v>
      </c>
      <c r="D879" s="1">
        <f>IFERROR(__xludf.DUMMYFUNCTION("""COMPUTED_VALUE"""),46217.0)</f>
        <v>46217</v>
      </c>
      <c r="E879" s="1" t="str">
        <f>IFERROR(__xludf.DUMMYFUNCTION("""COMPUTED_VALUE"""),"VF")</f>
        <v>VF</v>
      </c>
      <c r="F879" s="1">
        <f>IFERROR(__xludf.DUMMYFUNCTION("""COMPUTED_VALUE"""),2.0)</f>
        <v>2</v>
      </c>
      <c r="G879" s="1" t="str">
        <f>IFERROR(__xludf.DUMMYFUNCTION("""COMPUTED_VALUE"""),"PR004")</f>
        <v>PR004</v>
      </c>
      <c r="H879" s="1" t="str">
        <f>IFERROR(__xludf.DUMMYFUNCTION("""COMPUTED_VALUE"""),"VD020")</f>
        <v>VD020</v>
      </c>
      <c r="I879" s="1">
        <f>IFERROR(__xludf.DUMMYFUNCTION("""COMPUTED_VALUE"""),10.0)</f>
        <v>10</v>
      </c>
      <c r="J879" s="1">
        <f>IFERROR(__xludf.DUMMYFUNCTION("""COMPUTED_VALUE"""),1479.0)</f>
        <v>1479</v>
      </c>
      <c r="K879" s="1">
        <f>IFERROR(__xludf.DUMMYFUNCTION("""COMPUTED_VALUE"""),1479.0)</f>
        <v>1479</v>
      </c>
    </row>
    <row r="880">
      <c r="A880" s="1">
        <f>IFERROR(__xludf.DUMMYFUNCTION("""COMPUTED_VALUE"""),1000.0)</f>
        <v>1000</v>
      </c>
      <c r="B880" s="1">
        <f>IFERROR(__xludf.DUMMYFUNCTION("""COMPUTED_VALUE"""),184094.0)</f>
        <v>184094</v>
      </c>
      <c r="C880" s="1">
        <f>IFERROR(__xludf.DUMMYFUNCTION("""COMPUTED_VALUE"""),2026.0)</f>
        <v>2026</v>
      </c>
      <c r="D880" s="1">
        <f>IFERROR(__xludf.DUMMYFUNCTION("""COMPUTED_VALUE"""),46216.0)</f>
        <v>46216</v>
      </c>
      <c r="E880" s="1" t="str">
        <f>IFERROR(__xludf.DUMMYFUNCTION("""COMPUTED_VALUE"""),"VF")</f>
        <v>VF</v>
      </c>
      <c r="F880" s="1">
        <f>IFERROR(__xludf.DUMMYFUNCTION("""COMPUTED_VALUE"""),1.0)</f>
        <v>1</v>
      </c>
      <c r="G880" s="1" t="str">
        <f>IFERROR(__xludf.DUMMYFUNCTION("""COMPUTED_VALUE"""),"PR043")</f>
        <v>PR043</v>
      </c>
      <c r="H880" s="1" t="str">
        <f>IFERROR(__xludf.DUMMYFUNCTION("""COMPUTED_VALUE"""),"VD030")</f>
        <v>VD030</v>
      </c>
      <c r="I880" s="1">
        <f>IFERROR(__xludf.DUMMYFUNCTION("""COMPUTED_VALUE"""),4.0)</f>
        <v>4</v>
      </c>
      <c r="J880" s="1">
        <f>IFERROR(__xludf.DUMMYFUNCTION("""COMPUTED_VALUE"""),310.3)</f>
        <v>310.3</v>
      </c>
      <c r="K880" s="1">
        <f>IFERROR(__xludf.DUMMYFUNCTION("""COMPUTED_VALUE"""),310.3)</f>
        <v>310.3</v>
      </c>
    </row>
    <row r="881">
      <c r="A881" s="1">
        <f>IFERROR(__xludf.DUMMYFUNCTION("""COMPUTED_VALUE"""),1000.0)</f>
        <v>1000</v>
      </c>
      <c r="B881" s="1">
        <f>IFERROR(__xludf.DUMMYFUNCTION("""COMPUTED_VALUE"""),184095.0)</f>
        <v>184095</v>
      </c>
      <c r="C881" s="1">
        <f>IFERROR(__xludf.DUMMYFUNCTION("""COMPUTED_VALUE"""),2026.0)</f>
        <v>2026</v>
      </c>
      <c r="D881" s="1">
        <f>IFERROR(__xludf.DUMMYFUNCTION("""COMPUTED_VALUE"""),46216.0)</f>
        <v>46216</v>
      </c>
      <c r="E881" s="1" t="str">
        <f>IFERROR(__xludf.DUMMYFUNCTION("""COMPUTED_VALUE"""),"VF")</f>
        <v>VF</v>
      </c>
      <c r="F881" s="1">
        <f>IFERROR(__xludf.DUMMYFUNCTION("""COMPUTED_VALUE"""),1.0)</f>
        <v>1</v>
      </c>
      <c r="G881" s="1" t="str">
        <f>IFERROR(__xludf.DUMMYFUNCTION("""COMPUTED_VALUE"""),"PR031")</f>
        <v>PR031</v>
      </c>
      <c r="H881" s="1" t="str">
        <f>IFERROR(__xludf.DUMMYFUNCTION("""COMPUTED_VALUE"""),"VD020")</f>
        <v>VD020</v>
      </c>
      <c r="I881" s="1">
        <f>IFERROR(__xludf.DUMMYFUNCTION("""COMPUTED_VALUE"""),10.0)</f>
        <v>10</v>
      </c>
      <c r="J881" s="1">
        <f>IFERROR(__xludf.DUMMYFUNCTION("""COMPUTED_VALUE"""),2548.0)</f>
        <v>2548</v>
      </c>
      <c r="K881" s="1">
        <f>IFERROR(__xludf.DUMMYFUNCTION("""COMPUTED_VALUE"""),2548.0)</f>
        <v>2548</v>
      </c>
    </row>
    <row r="882">
      <c r="A882" s="1">
        <f>IFERROR(__xludf.DUMMYFUNCTION("""COMPUTED_VALUE"""),2000.0)</f>
        <v>2000</v>
      </c>
      <c r="B882" s="1">
        <f>IFERROR(__xludf.DUMMYFUNCTION("""COMPUTED_VALUE"""),184095.0)</f>
        <v>184095</v>
      </c>
      <c r="C882" s="1">
        <f>IFERROR(__xludf.DUMMYFUNCTION("""COMPUTED_VALUE"""),2026.0)</f>
        <v>2026</v>
      </c>
      <c r="D882" s="1">
        <f>IFERROR(__xludf.DUMMYFUNCTION("""COMPUTED_VALUE"""),46216.0)</f>
        <v>46216</v>
      </c>
      <c r="E882" s="1" t="str">
        <f>IFERROR(__xludf.DUMMYFUNCTION("""COMPUTED_VALUE"""),"VF")</f>
        <v>VF</v>
      </c>
      <c r="F882" s="1">
        <f>IFERROR(__xludf.DUMMYFUNCTION("""COMPUTED_VALUE"""),2.0)</f>
        <v>2</v>
      </c>
      <c r="G882" s="1" t="str">
        <f>IFERROR(__xludf.DUMMYFUNCTION("""COMPUTED_VALUE"""),"PR026")</f>
        <v>PR026</v>
      </c>
      <c r="H882" s="1" t="str">
        <f>IFERROR(__xludf.DUMMYFUNCTION("""COMPUTED_VALUE"""),"VD023")</f>
        <v>VD023</v>
      </c>
      <c r="I882" s="1">
        <f>IFERROR(__xludf.DUMMYFUNCTION("""COMPUTED_VALUE"""),2.0)</f>
        <v>2</v>
      </c>
      <c r="J882" s="1">
        <f>IFERROR(__xludf.DUMMYFUNCTION("""COMPUTED_VALUE"""),741.79)</f>
        <v>741.79</v>
      </c>
      <c r="K882" s="1">
        <f>IFERROR(__xludf.DUMMYFUNCTION("""COMPUTED_VALUE"""),741.79)</f>
        <v>741.79</v>
      </c>
    </row>
    <row r="883">
      <c r="A883" s="1">
        <f>IFERROR(__xludf.DUMMYFUNCTION("""COMPUTED_VALUE"""),1000.0)</f>
        <v>1000</v>
      </c>
      <c r="B883" s="1">
        <f>IFERROR(__xludf.DUMMYFUNCTION("""COMPUTED_VALUE"""),184096.0)</f>
        <v>184096</v>
      </c>
      <c r="C883" s="1">
        <f>IFERROR(__xludf.DUMMYFUNCTION("""COMPUTED_VALUE"""),2026.0)</f>
        <v>2026</v>
      </c>
      <c r="D883" s="1">
        <f>IFERROR(__xludf.DUMMYFUNCTION("""COMPUTED_VALUE"""),46215.0)</f>
        <v>46215</v>
      </c>
      <c r="E883" s="1" t="str">
        <f>IFERROR(__xludf.DUMMYFUNCTION("""COMPUTED_VALUE"""),"VF")</f>
        <v>VF</v>
      </c>
      <c r="F883" s="1">
        <f>IFERROR(__xludf.DUMMYFUNCTION("""COMPUTED_VALUE"""),1.0)</f>
        <v>1</v>
      </c>
      <c r="G883" s="1" t="str">
        <f>IFERROR(__xludf.DUMMYFUNCTION("""COMPUTED_VALUE"""),"PR041")</f>
        <v>PR041</v>
      </c>
      <c r="H883" s="1" t="str">
        <f>IFERROR(__xludf.DUMMYFUNCTION("""COMPUTED_VALUE"""),"VD032")</f>
        <v>VD032</v>
      </c>
      <c r="I883" s="1">
        <f>IFERROR(__xludf.DUMMYFUNCTION("""COMPUTED_VALUE"""),18.0)</f>
        <v>18</v>
      </c>
      <c r="J883" s="1">
        <f>IFERROR(__xludf.DUMMYFUNCTION("""COMPUTED_VALUE"""),1067.26)</f>
        <v>1067.26</v>
      </c>
      <c r="K883" s="1">
        <f>IFERROR(__xludf.DUMMYFUNCTION("""COMPUTED_VALUE"""),1067.26)</f>
        <v>1067.26</v>
      </c>
    </row>
    <row r="884">
      <c r="A884" s="1">
        <f>IFERROR(__xludf.DUMMYFUNCTION("""COMPUTED_VALUE"""),1000.0)</f>
        <v>1000</v>
      </c>
      <c r="B884" s="1">
        <f>IFERROR(__xludf.DUMMYFUNCTION("""COMPUTED_VALUE"""),184096.0)</f>
        <v>184096</v>
      </c>
      <c r="C884" s="1">
        <f>IFERROR(__xludf.DUMMYFUNCTION("""COMPUTED_VALUE"""),2026.0)</f>
        <v>2026</v>
      </c>
      <c r="D884" s="1">
        <f>IFERROR(__xludf.DUMMYFUNCTION("""COMPUTED_VALUE"""),46215.0)</f>
        <v>46215</v>
      </c>
      <c r="E884" s="1" t="str">
        <f>IFERROR(__xludf.DUMMYFUNCTION("""COMPUTED_VALUE"""),"VF")</f>
        <v>VF</v>
      </c>
      <c r="F884" s="1">
        <f>IFERROR(__xludf.DUMMYFUNCTION("""COMPUTED_VALUE"""),2.0)</f>
        <v>2</v>
      </c>
      <c r="G884" s="1" t="str">
        <f>IFERROR(__xludf.DUMMYFUNCTION("""COMPUTED_VALUE"""),"PR047")</f>
        <v>PR047</v>
      </c>
      <c r="H884" s="1" t="str">
        <f>IFERROR(__xludf.DUMMYFUNCTION("""COMPUTED_VALUE"""),"VD026")</f>
        <v>VD026</v>
      </c>
      <c r="I884" s="1">
        <f>IFERROR(__xludf.DUMMYFUNCTION("""COMPUTED_VALUE"""),6.0)</f>
        <v>6</v>
      </c>
      <c r="J884" s="1">
        <f>IFERROR(__xludf.DUMMYFUNCTION("""COMPUTED_VALUE"""),1843.76)</f>
        <v>1843.76</v>
      </c>
      <c r="K884" s="1">
        <f>IFERROR(__xludf.DUMMYFUNCTION("""COMPUTED_VALUE"""),1843.76)</f>
        <v>1843.76</v>
      </c>
    </row>
    <row r="885">
      <c r="A885" s="1">
        <f>IFERROR(__xludf.DUMMYFUNCTION("""COMPUTED_VALUE"""),1000.0)</f>
        <v>1000</v>
      </c>
      <c r="B885" s="1">
        <f>IFERROR(__xludf.DUMMYFUNCTION("""COMPUTED_VALUE"""),184097.0)</f>
        <v>184097</v>
      </c>
      <c r="C885" s="1">
        <f>IFERROR(__xludf.DUMMYFUNCTION("""COMPUTED_VALUE"""),2026.0)</f>
        <v>2026</v>
      </c>
      <c r="D885" s="1">
        <f>IFERROR(__xludf.DUMMYFUNCTION("""COMPUTED_VALUE"""),46215.0)</f>
        <v>46215</v>
      </c>
      <c r="E885" s="1" t="str">
        <f>IFERROR(__xludf.DUMMYFUNCTION("""COMPUTED_VALUE"""),"VF")</f>
        <v>VF</v>
      </c>
      <c r="F885" s="1">
        <f>IFERROR(__xludf.DUMMYFUNCTION("""COMPUTED_VALUE"""),1.0)</f>
        <v>1</v>
      </c>
      <c r="G885" s="1" t="str">
        <f>IFERROR(__xludf.DUMMYFUNCTION("""COMPUTED_VALUE"""),"PR029")</f>
        <v>PR029</v>
      </c>
      <c r="H885" s="1" t="str">
        <f>IFERROR(__xludf.DUMMYFUNCTION("""COMPUTED_VALUE"""),"VD023")</f>
        <v>VD023</v>
      </c>
      <c r="I885" s="1">
        <f>IFERROR(__xludf.DUMMYFUNCTION("""COMPUTED_VALUE"""),2.0)</f>
        <v>2</v>
      </c>
      <c r="J885" s="1">
        <f>IFERROR(__xludf.DUMMYFUNCTION("""COMPUTED_VALUE"""),545.7)</f>
        <v>545.7</v>
      </c>
      <c r="K885" s="1">
        <f>IFERROR(__xludf.DUMMYFUNCTION("""COMPUTED_VALUE"""),545.7)</f>
        <v>545.7</v>
      </c>
    </row>
    <row r="886">
      <c r="A886" s="1">
        <f>IFERROR(__xludf.DUMMYFUNCTION("""COMPUTED_VALUE"""),1000.0)</f>
        <v>1000</v>
      </c>
      <c r="B886" s="1">
        <f>IFERROR(__xludf.DUMMYFUNCTION("""COMPUTED_VALUE"""),184098.0)</f>
        <v>184098</v>
      </c>
      <c r="C886" s="1">
        <f>IFERROR(__xludf.DUMMYFUNCTION("""COMPUTED_VALUE"""),2026.0)</f>
        <v>2026</v>
      </c>
      <c r="D886" s="1">
        <f>IFERROR(__xludf.DUMMYFUNCTION("""COMPUTED_VALUE"""),46215.0)</f>
        <v>46215</v>
      </c>
      <c r="E886" s="1" t="str">
        <f>IFERROR(__xludf.DUMMYFUNCTION("""COMPUTED_VALUE"""),"VF")</f>
        <v>VF</v>
      </c>
      <c r="F886" s="1">
        <f>IFERROR(__xludf.DUMMYFUNCTION("""COMPUTED_VALUE"""),1.0)</f>
        <v>1</v>
      </c>
      <c r="G886" s="1" t="str">
        <f>IFERROR(__xludf.DUMMYFUNCTION("""COMPUTED_VALUE"""),"PR018")</f>
        <v>PR018</v>
      </c>
      <c r="H886" s="1" t="str">
        <f>IFERROR(__xludf.DUMMYFUNCTION("""COMPUTED_VALUE"""),"VD040")</f>
        <v>VD040</v>
      </c>
      <c r="I886" s="1">
        <f>IFERROR(__xludf.DUMMYFUNCTION("""COMPUTED_VALUE"""),18.0)</f>
        <v>18</v>
      </c>
      <c r="J886" s="1">
        <f>IFERROR(__xludf.DUMMYFUNCTION("""COMPUTED_VALUE"""),639.58)</f>
        <v>639.58</v>
      </c>
      <c r="K886" s="1">
        <f>IFERROR(__xludf.DUMMYFUNCTION("""COMPUTED_VALUE"""),639.58)</f>
        <v>639.58</v>
      </c>
    </row>
    <row r="887">
      <c r="A887" s="1">
        <f>IFERROR(__xludf.DUMMYFUNCTION("""COMPUTED_VALUE"""),1000.0)</f>
        <v>1000</v>
      </c>
      <c r="B887" s="1">
        <f>IFERROR(__xludf.DUMMYFUNCTION("""COMPUTED_VALUE"""),184099.0)</f>
        <v>184099</v>
      </c>
      <c r="C887" s="1">
        <f>IFERROR(__xludf.DUMMYFUNCTION("""COMPUTED_VALUE"""),2026.0)</f>
        <v>2026</v>
      </c>
      <c r="D887" s="1">
        <f>IFERROR(__xludf.DUMMYFUNCTION("""COMPUTED_VALUE"""),46214.0)</f>
        <v>46214</v>
      </c>
      <c r="E887" s="1" t="str">
        <f>IFERROR(__xludf.DUMMYFUNCTION("""COMPUTED_VALUE"""),"VF")</f>
        <v>VF</v>
      </c>
      <c r="F887" s="1">
        <f>IFERROR(__xludf.DUMMYFUNCTION("""COMPUTED_VALUE"""),1.0)</f>
        <v>1</v>
      </c>
      <c r="G887" s="1" t="str">
        <f>IFERROR(__xludf.DUMMYFUNCTION("""COMPUTED_VALUE"""),"PR025")</f>
        <v>PR025</v>
      </c>
      <c r="H887" s="1" t="str">
        <f>IFERROR(__xludf.DUMMYFUNCTION("""COMPUTED_VALUE"""),"VD038")</f>
        <v>VD038</v>
      </c>
      <c r="I887" s="1">
        <f>IFERROR(__xludf.DUMMYFUNCTION("""COMPUTED_VALUE"""),8.0)</f>
        <v>8</v>
      </c>
      <c r="J887" s="1">
        <f>IFERROR(__xludf.DUMMYFUNCTION("""COMPUTED_VALUE"""),2399.2)</f>
        <v>2399.2</v>
      </c>
      <c r="K887" s="1">
        <f>IFERROR(__xludf.DUMMYFUNCTION("""COMPUTED_VALUE"""),2399.2)</f>
        <v>2399.2</v>
      </c>
    </row>
    <row r="888">
      <c r="A888" s="1">
        <f>IFERROR(__xludf.DUMMYFUNCTION("""COMPUTED_VALUE"""),1000.0)</f>
        <v>1000</v>
      </c>
      <c r="B888" s="1">
        <f>IFERROR(__xludf.DUMMYFUNCTION("""COMPUTED_VALUE"""),184100.0)</f>
        <v>184100</v>
      </c>
      <c r="C888" s="1">
        <f>IFERROR(__xludf.DUMMYFUNCTION("""COMPUTED_VALUE"""),2026.0)</f>
        <v>2026</v>
      </c>
      <c r="D888" s="1">
        <f>IFERROR(__xludf.DUMMYFUNCTION("""COMPUTED_VALUE"""),46214.0)</f>
        <v>46214</v>
      </c>
      <c r="E888" s="1" t="str">
        <f>IFERROR(__xludf.DUMMYFUNCTION("""COMPUTED_VALUE"""),"VF")</f>
        <v>VF</v>
      </c>
      <c r="F888" s="1">
        <f>IFERROR(__xludf.DUMMYFUNCTION("""COMPUTED_VALUE"""),1.0)</f>
        <v>1</v>
      </c>
      <c r="G888" s="1" t="str">
        <f>IFERROR(__xludf.DUMMYFUNCTION("""COMPUTED_VALUE"""),"PR012")</f>
        <v>PR012</v>
      </c>
      <c r="H888" s="1" t="str">
        <f>IFERROR(__xludf.DUMMYFUNCTION("""COMPUTED_VALUE"""),"VD035")</f>
        <v>VD035</v>
      </c>
      <c r="I888" s="1">
        <f>IFERROR(__xludf.DUMMYFUNCTION("""COMPUTED_VALUE"""),9.0)</f>
        <v>9</v>
      </c>
      <c r="J888" s="1">
        <f>IFERROR(__xludf.DUMMYFUNCTION("""COMPUTED_VALUE"""),479.71)</f>
        <v>479.71</v>
      </c>
      <c r="K888" s="1">
        <f>IFERROR(__xludf.DUMMYFUNCTION("""COMPUTED_VALUE"""),479.71)</f>
        <v>479.71</v>
      </c>
    </row>
    <row r="889">
      <c r="A889" s="1">
        <f>IFERROR(__xludf.DUMMYFUNCTION("""COMPUTED_VALUE"""),1000.0)</f>
        <v>1000</v>
      </c>
      <c r="B889" s="1">
        <f>IFERROR(__xludf.DUMMYFUNCTION("""COMPUTED_VALUE"""),184101.0)</f>
        <v>184101</v>
      </c>
      <c r="C889" s="1">
        <f>IFERROR(__xludf.DUMMYFUNCTION("""COMPUTED_VALUE"""),2026.0)</f>
        <v>2026</v>
      </c>
      <c r="D889" s="1">
        <f>IFERROR(__xludf.DUMMYFUNCTION("""COMPUTED_VALUE"""),46214.0)</f>
        <v>46214</v>
      </c>
      <c r="E889" s="1" t="str">
        <f>IFERROR(__xludf.DUMMYFUNCTION("""COMPUTED_VALUE"""),"VF")</f>
        <v>VF</v>
      </c>
      <c r="F889" s="1">
        <f>IFERROR(__xludf.DUMMYFUNCTION("""COMPUTED_VALUE"""),1.0)</f>
        <v>1</v>
      </c>
      <c r="G889" s="1" t="str">
        <f>IFERROR(__xludf.DUMMYFUNCTION("""COMPUTED_VALUE"""),"PR059")</f>
        <v>PR059</v>
      </c>
      <c r="H889" s="1" t="str">
        <f>IFERROR(__xludf.DUMMYFUNCTION("""COMPUTED_VALUE"""),"VD019")</f>
        <v>VD019</v>
      </c>
      <c r="I889" s="1">
        <f>IFERROR(__xludf.DUMMYFUNCTION("""COMPUTED_VALUE"""),3.0)</f>
        <v>3</v>
      </c>
      <c r="J889" s="1">
        <f>IFERROR(__xludf.DUMMYFUNCTION("""COMPUTED_VALUE"""),561.6)</f>
        <v>561.6</v>
      </c>
      <c r="K889" s="1">
        <f>IFERROR(__xludf.DUMMYFUNCTION("""COMPUTED_VALUE"""),561.6)</f>
        <v>561.6</v>
      </c>
    </row>
    <row r="890">
      <c r="A890" s="1">
        <f>IFERROR(__xludf.DUMMYFUNCTION("""COMPUTED_VALUE"""),1000.0)</f>
        <v>1000</v>
      </c>
      <c r="B890" s="1">
        <f>IFERROR(__xludf.DUMMYFUNCTION("""COMPUTED_VALUE"""),184102.0)</f>
        <v>184102</v>
      </c>
      <c r="C890" s="1">
        <f>IFERROR(__xludf.DUMMYFUNCTION("""COMPUTED_VALUE"""),2026.0)</f>
        <v>2026</v>
      </c>
      <c r="D890" s="1">
        <f>IFERROR(__xludf.DUMMYFUNCTION("""COMPUTED_VALUE"""),46214.0)</f>
        <v>46214</v>
      </c>
      <c r="E890" s="1" t="str">
        <f>IFERROR(__xludf.DUMMYFUNCTION("""COMPUTED_VALUE"""),"VF")</f>
        <v>VF</v>
      </c>
      <c r="F890" s="1">
        <f>IFERROR(__xludf.DUMMYFUNCTION("""COMPUTED_VALUE"""),1.0)</f>
        <v>1</v>
      </c>
      <c r="G890" s="1" t="str">
        <f>IFERROR(__xludf.DUMMYFUNCTION("""COMPUTED_VALUE"""),"PR021")</f>
        <v>PR021</v>
      </c>
      <c r="H890" s="1" t="str">
        <f>IFERROR(__xludf.DUMMYFUNCTION("""COMPUTED_VALUE"""),"VD014")</f>
        <v>VD014</v>
      </c>
      <c r="I890" s="1">
        <f>IFERROR(__xludf.DUMMYFUNCTION("""COMPUTED_VALUE"""),1.0)</f>
        <v>1</v>
      </c>
      <c r="J890" s="1">
        <f>IFERROR(__xludf.DUMMYFUNCTION("""COMPUTED_VALUE"""),330.16)</f>
        <v>330.16</v>
      </c>
      <c r="K890" s="1">
        <f>IFERROR(__xludf.DUMMYFUNCTION("""COMPUTED_VALUE"""),330.16)</f>
        <v>330.16</v>
      </c>
    </row>
    <row r="891">
      <c r="A891" s="1">
        <f>IFERROR(__xludf.DUMMYFUNCTION("""COMPUTED_VALUE"""),2000.0)</f>
        <v>2000</v>
      </c>
      <c r="B891" s="1">
        <f>IFERROR(__xludf.DUMMYFUNCTION("""COMPUTED_VALUE"""),184102.0)</f>
        <v>184102</v>
      </c>
      <c r="C891" s="1">
        <f>IFERROR(__xludf.DUMMYFUNCTION("""COMPUTED_VALUE"""),2026.0)</f>
        <v>2026</v>
      </c>
      <c r="D891" s="1">
        <f>IFERROR(__xludf.DUMMYFUNCTION("""COMPUTED_VALUE"""),46214.0)</f>
        <v>46214</v>
      </c>
      <c r="E891" s="1" t="str">
        <f>IFERROR(__xludf.DUMMYFUNCTION("""COMPUTED_VALUE"""),"VF")</f>
        <v>VF</v>
      </c>
      <c r="F891" s="1">
        <f>IFERROR(__xludf.DUMMYFUNCTION("""COMPUTED_VALUE"""),2.0)</f>
        <v>2</v>
      </c>
      <c r="G891" s="1" t="str">
        <f>IFERROR(__xludf.DUMMYFUNCTION("""COMPUTED_VALUE"""),"PR045")</f>
        <v>PR045</v>
      </c>
      <c r="H891" s="1" t="str">
        <f>IFERROR(__xludf.DUMMYFUNCTION("""COMPUTED_VALUE"""),"VD043")</f>
        <v>VD043</v>
      </c>
      <c r="I891" s="1">
        <f>IFERROR(__xludf.DUMMYFUNCTION("""COMPUTED_VALUE"""),10.0)</f>
        <v>10</v>
      </c>
      <c r="J891" s="1">
        <f>IFERROR(__xludf.DUMMYFUNCTION("""COMPUTED_VALUE"""),732.25)</f>
        <v>732.25</v>
      </c>
      <c r="K891" s="1">
        <f>IFERROR(__xludf.DUMMYFUNCTION("""COMPUTED_VALUE"""),732.25)</f>
        <v>732.25</v>
      </c>
    </row>
    <row r="892">
      <c r="A892" s="1">
        <f>IFERROR(__xludf.DUMMYFUNCTION("""COMPUTED_VALUE"""),2000.0)</f>
        <v>2000</v>
      </c>
      <c r="B892" s="1">
        <f>IFERROR(__xludf.DUMMYFUNCTION("""COMPUTED_VALUE"""),184103.0)</f>
        <v>184103</v>
      </c>
      <c r="C892" s="1">
        <f>IFERROR(__xludf.DUMMYFUNCTION("""COMPUTED_VALUE"""),2026.0)</f>
        <v>2026</v>
      </c>
      <c r="D892" s="1">
        <f>IFERROR(__xludf.DUMMYFUNCTION("""COMPUTED_VALUE"""),46213.0)</f>
        <v>46213</v>
      </c>
      <c r="E892" s="1" t="str">
        <f>IFERROR(__xludf.DUMMYFUNCTION("""COMPUTED_VALUE"""),"VF")</f>
        <v>VF</v>
      </c>
      <c r="F892" s="1">
        <f>IFERROR(__xludf.DUMMYFUNCTION("""COMPUTED_VALUE"""),1.0)</f>
        <v>1</v>
      </c>
      <c r="G892" s="1" t="str">
        <f>IFERROR(__xludf.DUMMYFUNCTION("""COMPUTED_VALUE"""),"PR045")</f>
        <v>PR045</v>
      </c>
      <c r="H892" s="1" t="str">
        <f>IFERROR(__xludf.DUMMYFUNCTION("""COMPUTED_VALUE"""),"VD044")</f>
        <v>VD044</v>
      </c>
      <c r="I892" s="1">
        <f>IFERROR(__xludf.DUMMYFUNCTION("""COMPUTED_VALUE"""),5.0)</f>
        <v>5</v>
      </c>
      <c r="J892" s="1">
        <f>IFERROR(__xludf.DUMMYFUNCTION("""COMPUTED_VALUE"""),373.38)</f>
        <v>373.38</v>
      </c>
      <c r="K892" s="1">
        <f>IFERROR(__xludf.DUMMYFUNCTION("""COMPUTED_VALUE"""),373.38)</f>
        <v>373.38</v>
      </c>
    </row>
    <row r="893">
      <c r="A893" s="1">
        <f>IFERROR(__xludf.DUMMYFUNCTION("""COMPUTED_VALUE"""),1000.0)</f>
        <v>1000</v>
      </c>
      <c r="B893" s="1">
        <f>IFERROR(__xludf.DUMMYFUNCTION("""COMPUTED_VALUE"""),184104.0)</f>
        <v>184104</v>
      </c>
      <c r="C893" s="1">
        <f>IFERROR(__xludf.DUMMYFUNCTION("""COMPUTED_VALUE"""),2026.0)</f>
        <v>2026</v>
      </c>
      <c r="D893" s="1">
        <f>IFERROR(__xludf.DUMMYFUNCTION("""COMPUTED_VALUE"""),46213.0)</f>
        <v>46213</v>
      </c>
      <c r="E893" s="1" t="str">
        <f>IFERROR(__xludf.DUMMYFUNCTION("""COMPUTED_VALUE"""),"VF")</f>
        <v>VF</v>
      </c>
      <c r="F893" s="1">
        <f>IFERROR(__xludf.DUMMYFUNCTION("""COMPUTED_VALUE"""),1.0)</f>
        <v>1</v>
      </c>
      <c r="G893" s="1" t="str">
        <f>IFERROR(__xludf.DUMMYFUNCTION("""COMPUTED_VALUE"""),"PR048")</f>
        <v>PR048</v>
      </c>
      <c r="H893" s="1" t="str">
        <f>IFERROR(__xludf.DUMMYFUNCTION("""COMPUTED_VALUE"""),"VD018")</f>
        <v>VD018</v>
      </c>
      <c r="I893" s="1">
        <f>IFERROR(__xludf.DUMMYFUNCTION("""COMPUTED_VALUE"""),7.0)</f>
        <v>7</v>
      </c>
      <c r="J893" s="1">
        <f>IFERROR(__xludf.DUMMYFUNCTION("""COMPUTED_VALUE"""),2211.94)</f>
        <v>2211.94</v>
      </c>
      <c r="K893" s="1">
        <f>IFERROR(__xludf.DUMMYFUNCTION("""COMPUTED_VALUE"""),2211.94)</f>
        <v>2211.94</v>
      </c>
    </row>
    <row r="894">
      <c r="A894" s="1">
        <f>IFERROR(__xludf.DUMMYFUNCTION("""COMPUTED_VALUE"""),1000.0)</f>
        <v>1000</v>
      </c>
      <c r="B894" s="1">
        <f>IFERROR(__xludf.DUMMYFUNCTION("""COMPUTED_VALUE"""),184105.0)</f>
        <v>184105</v>
      </c>
      <c r="C894" s="1">
        <f>IFERROR(__xludf.DUMMYFUNCTION("""COMPUTED_VALUE"""),2026.0)</f>
        <v>2026</v>
      </c>
      <c r="D894" s="1">
        <f>IFERROR(__xludf.DUMMYFUNCTION("""COMPUTED_VALUE"""),46213.0)</f>
        <v>46213</v>
      </c>
      <c r="E894" s="1" t="str">
        <f>IFERROR(__xludf.DUMMYFUNCTION("""COMPUTED_VALUE"""),"VF")</f>
        <v>VF</v>
      </c>
      <c r="F894" s="1">
        <f>IFERROR(__xludf.DUMMYFUNCTION("""COMPUTED_VALUE"""),1.0)</f>
        <v>1</v>
      </c>
      <c r="G894" s="1" t="str">
        <f>IFERROR(__xludf.DUMMYFUNCTION("""COMPUTED_VALUE"""),"PR052")</f>
        <v>PR052</v>
      </c>
      <c r="H894" s="1" t="str">
        <f>IFERROR(__xludf.DUMMYFUNCTION("""COMPUTED_VALUE"""),"VD043")</f>
        <v>VD043</v>
      </c>
      <c r="I894" s="1">
        <f>IFERROR(__xludf.DUMMYFUNCTION("""COMPUTED_VALUE"""),5.0)</f>
        <v>5</v>
      </c>
      <c r="J894" s="1">
        <f>IFERROR(__xludf.DUMMYFUNCTION("""COMPUTED_VALUE"""),259.48)</f>
        <v>259.48</v>
      </c>
      <c r="K894" s="1">
        <f>IFERROR(__xludf.DUMMYFUNCTION("""COMPUTED_VALUE"""),259.48)</f>
        <v>259.48</v>
      </c>
    </row>
    <row r="895">
      <c r="A895" s="1">
        <f>IFERROR(__xludf.DUMMYFUNCTION("""COMPUTED_VALUE"""),1000.0)</f>
        <v>1000</v>
      </c>
      <c r="B895" s="1">
        <f>IFERROR(__xludf.DUMMYFUNCTION("""COMPUTED_VALUE"""),184106.0)</f>
        <v>184106</v>
      </c>
      <c r="C895" s="1">
        <f>IFERROR(__xludf.DUMMYFUNCTION("""COMPUTED_VALUE"""),2026.0)</f>
        <v>2026</v>
      </c>
      <c r="D895" s="1">
        <f>IFERROR(__xludf.DUMMYFUNCTION("""COMPUTED_VALUE"""),46213.0)</f>
        <v>46213</v>
      </c>
      <c r="E895" s="1" t="str">
        <f>IFERROR(__xludf.DUMMYFUNCTION("""COMPUTED_VALUE"""),"VF")</f>
        <v>VF</v>
      </c>
      <c r="F895" s="1">
        <f>IFERROR(__xludf.DUMMYFUNCTION("""COMPUTED_VALUE"""),1.0)</f>
        <v>1</v>
      </c>
      <c r="G895" s="1" t="str">
        <f>IFERROR(__xludf.DUMMYFUNCTION("""COMPUTED_VALUE"""),"PR038")</f>
        <v>PR038</v>
      </c>
      <c r="H895" s="1" t="str">
        <f>IFERROR(__xludf.DUMMYFUNCTION("""COMPUTED_VALUE"""),"VD042")</f>
        <v>VD042</v>
      </c>
      <c r="I895" s="1">
        <f>IFERROR(__xludf.DUMMYFUNCTION("""COMPUTED_VALUE"""),20.0)</f>
        <v>20</v>
      </c>
      <c r="J895" s="1">
        <f>IFERROR(__xludf.DUMMYFUNCTION("""COMPUTED_VALUE"""),3143.8)</f>
        <v>3143.8</v>
      </c>
      <c r="K895" s="1">
        <f>IFERROR(__xludf.DUMMYFUNCTION("""COMPUTED_VALUE"""),3143.8)</f>
        <v>3143.8</v>
      </c>
    </row>
    <row r="896">
      <c r="A896" s="1">
        <f>IFERROR(__xludf.DUMMYFUNCTION("""COMPUTED_VALUE"""),1000.0)</f>
        <v>1000</v>
      </c>
      <c r="B896" s="1">
        <f>IFERROR(__xludf.DUMMYFUNCTION("""COMPUTED_VALUE"""),184107.0)</f>
        <v>184107</v>
      </c>
      <c r="C896" s="1">
        <f>IFERROR(__xludf.DUMMYFUNCTION("""COMPUTED_VALUE"""),2026.0)</f>
        <v>2026</v>
      </c>
      <c r="D896" s="1">
        <f>IFERROR(__xludf.DUMMYFUNCTION("""COMPUTED_VALUE"""),46213.0)</f>
        <v>46213</v>
      </c>
      <c r="E896" s="1" t="str">
        <f>IFERROR(__xludf.DUMMYFUNCTION("""COMPUTED_VALUE"""),"VF")</f>
        <v>VF</v>
      </c>
      <c r="F896" s="1">
        <f>IFERROR(__xludf.DUMMYFUNCTION("""COMPUTED_VALUE"""),1.0)</f>
        <v>1</v>
      </c>
      <c r="G896" s="1" t="str">
        <f>IFERROR(__xludf.DUMMYFUNCTION("""COMPUTED_VALUE"""),"PR032")</f>
        <v>PR032</v>
      </c>
      <c r="H896" s="1" t="str">
        <f>IFERROR(__xludf.DUMMYFUNCTION("""COMPUTED_VALUE"""),"VD046")</f>
        <v>VD046</v>
      </c>
      <c r="I896" s="1">
        <f>IFERROR(__xludf.DUMMYFUNCTION("""COMPUTED_VALUE"""),5.0)</f>
        <v>5</v>
      </c>
      <c r="J896" s="1">
        <f>IFERROR(__xludf.DUMMYFUNCTION("""COMPUTED_VALUE"""),1375.0)</f>
        <v>1375</v>
      </c>
      <c r="K896" s="1">
        <f>IFERROR(__xludf.DUMMYFUNCTION("""COMPUTED_VALUE"""),1375.0)</f>
        <v>1375</v>
      </c>
    </row>
    <row r="897">
      <c r="A897" s="1">
        <f>IFERROR(__xludf.DUMMYFUNCTION("""COMPUTED_VALUE"""),1000.0)</f>
        <v>1000</v>
      </c>
      <c r="B897" s="1">
        <f>IFERROR(__xludf.DUMMYFUNCTION("""COMPUTED_VALUE"""),184107.0)</f>
        <v>184107</v>
      </c>
      <c r="C897" s="1">
        <f>IFERROR(__xludf.DUMMYFUNCTION("""COMPUTED_VALUE"""),2026.0)</f>
        <v>2026</v>
      </c>
      <c r="D897" s="1">
        <f>IFERROR(__xludf.DUMMYFUNCTION("""COMPUTED_VALUE"""),46213.0)</f>
        <v>46213</v>
      </c>
      <c r="E897" s="1" t="str">
        <f>IFERROR(__xludf.DUMMYFUNCTION("""COMPUTED_VALUE"""),"VF")</f>
        <v>VF</v>
      </c>
      <c r="F897" s="1">
        <f>IFERROR(__xludf.DUMMYFUNCTION("""COMPUTED_VALUE"""),2.0)</f>
        <v>2</v>
      </c>
      <c r="G897" s="1" t="str">
        <f>IFERROR(__xludf.DUMMYFUNCTION("""COMPUTED_VALUE"""),"PR046")</f>
        <v>PR046</v>
      </c>
      <c r="H897" s="1" t="str">
        <f>IFERROR(__xludf.DUMMYFUNCTION("""COMPUTED_VALUE"""),"VD018")</f>
        <v>VD018</v>
      </c>
      <c r="I897" s="1">
        <f>IFERROR(__xludf.DUMMYFUNCTION("""COMPUTED_VALUE"""),5.0)</f>
        <v>5</v>
      </c>
      <c r="J897" s="1">
        <f>IFERROR(__xludf.DUMMYFUNCTION("""COMPUTED_VALUE"""),1449.5)</f>
        <v>1449.5</v>
      </c>
      <c r="K897" s="1">
        <f>IFERROR(__xludf.DUMMYFUNCTION("""COMPUTED_VALUE"""),1449.5)</f>
        <v>1449.5</v>
      </c>
    </row>
    <row r="898">
      <c r="A898" s="1">
        <f>IFERROR(__xludf.DUMMYFUNCTION("""COMPUTED_VALUE"""),1000.0)</f>
        <v>1000</v>
      </c>
      <c r="B898" s="1">
        <f>IFERROR(__xludf.DUMMYFUNCTION("""COMPUTED_VALUE"""),184108.0)</f>
        <v>184108</v>
      </c>
      <c r="C898" s="1">
        <f>IFERROR(__xludf.DUMMYFUNCTION("""COMPUTED_VALUE"""),2026.0)</f>
        <v>2026</v>
      </c>
      <c r="D898" s="1">
        <f>IFERROR(__xludf.DUMMYFUNCTION("""COMPUTED_VALUE"""),46213.0)</f>
        <v>46213</v>
      </c>
      <c r="E898" s="1" t="str">
        <f>IFERROR(__xludf.DUMMYFUNCTION("""COMPUTED_VALUE"""),"VF")</f>
        <v>VF</v>
      </c>
      <c r="F898" s="1">
        <f>IFERROR(__xludf.DUMMYFUNCTION("""COMPUTED_VALUE"""),1.0)</f>
        <v>1</v>
      </c>
      <c r="G898" s="1" t="str">
        <f>IFERROR(__xludf.DUMMYFUNCTION("""COMPUTED_VALUE"""),"PR056")</f>
        <v>PR056</v>
      </c>
      <c r="H898" s="1" t="str">
        <f>IFERROR(__xludf.DUMMYFUNCTION("""COMPUTED_VALUE"""),"VD029")</f>
        <v>VD029</v>
      </c>
      <c r="I898" s="1">
        <f>IFERROR(__xludf.DUMMYFUNCTION("""COMPUTED_VALUE"""),1.0)</f>
        <v>1</v>
      </c>
      <c r="J898" s="1">
        <f>IFERROR(__xludf.DUMMYFUNCTION("""COMPUTED_VALUE"""),96.19)</f>
        <v>96.19</v>
      </c>
      <c r="K898" s="1">
        <f>IFERROR(__xludf.DUMMYFUNCTION("""COMPUTED_VALUE"""),96.19)</f>
        <v>96.19</v>
      </c>
    </row>
    <row r="899">
      <c r="A899" s="1">
        <f>IFERROR(__xludf.DUMMYFUNCTION("""COMPUTED_VALUE"""),1000.0)</f>
        <v>1000</v>
      </c>
      <c r="B899" s="1">
        <f>IFERROR(__xludf.DUMMYFUNCTION("""COMPUTED_VALUE"""),184109.0)</f>
        <v>184109</v>
      </c>
      <c r="C899" s="1">
        <f>IFERROR(__xludf.DUMMYFUNCTION("""COMPUTED_VALUE"""),2026.0)</f>
        <v>2026</v>
      </c>
      <c r="D899" s="1">
        <f>IFERROR(__xludf.DUMMYFUNCTION("""COMPUTED_VALUE"""),46213.0)</f>
        <v>46213</v>
      </c>
      <c r="E899" s="1" t="str">
        <f>IFERROR(__xludf.DUMMYFUNCTION("""COMPUTED_VALUE"""),"VF")</f>
        <v>VF</v>
      </c>
      <c r="F899" s="1">
        <f>IFERROR(__xludf.DUMMYFUNCTION("""COMPUTED_VALUE"""),1.0)</f>
        <v>1</v>
      </c>
      <c r="G899" s="1" t="str">
        <f>IFERROR(__xludf.DUMMYFUNCTION("""COMPUTED_VALUE"""),"PR018")</f>
        <v>PR018</v>
      </c>
      <c r="H899" s="1" t="str">
        <f>IFERROR(__xludf.DUMMYFUNCTION("""COMPUTED_VALUE"""),"VD042")</f>
        <v>VD042</v>
      </c>
      <c r="I899" s="1">
        <f>IFERROR(__xludf.DUMMYFUNCTION("""COMPUTED_VALUE"""),8.0)</f>
        <v>8</v>
      </c>
      <c r="J899" s="1">
        <f>IFERROR(__xludf.DUMMYFUNCTION("""COMPUTED_VALUE"""),289.52)</f>
        <v>289.52</v>
      </c>
      <c r="K899" s="1">
        <f>IFERROR(__xludf.DUMMYFUNCTION("""COMPUTED_VALUE"""),289.52)</f>
        <v>289.52</v>
      </c>
    </row>
    <row r="900">
      <c r="A900" s="1">
        <f>IFERROR(__xludf.DUMMYFUNCTION("""COMPUTED_VALUE"""),1000.0)</f>
        <v>1000</v>
      </c>
      <c r="B900" s="1">
        <f>IFERROR(__xludf.DUMMYFUNCTION("""COMPUTED_VALUE"""),184110.0)</f>
        <v>184110</v>
      </c>
      <c r="C900" s="1">
        <f>IFERROR(__xludf.DUMMYFUNCTION("""COMPUTED_VALUE"""),2026.0)</f>
        <v>2026</v>
      </c>
      <c r="D900" s="1">
        <f>IFERROR(__xludf.DUMMYFUNCTION("""COMPUTED_VALUE"""),46213.0)</f>
        <v>46213</v>
      </c>
      <c r="E900" s="1" t="str">
        <f>IFERROR(__xludf.DUMMYFUNCTION("""COMPUTED_VALUE"""),"VF")</f>
        <v>VF</v>
      </c>
      <c r="F900" s="1">
        <f>IFERROR(__xludf.DUMMYFUNCTION("""COMPUTED_VALUE"""),1.0)</f>
        <v>1</v>
      </c>
      <c r="G900" s="1" t="str">
        <f>IFERROR(__xludf.DUMMYFUNCTION("""COMPUTED_VALUE"""),"PR020")</f>
        <v>PR020</v>
      </c>
      <c r="H900" s="1" t="str">
        <f>IFERROR(__xludf.DUMMYFUNCTION("""COMPUTED_VALUE"""),"VD024")</f>
        <v>VD024</v>
      </c>
      <c r="I900" s="1">
        <f>IFERROR(__xludf.DUMMYFUNCTION("""COMPUTED_VALUE"""),18.0)</f>
        <v>18</v>
      </c>
      <c r="J900" s="1">
        <f>IFERROR(__xludf.DUMMYFUNCTION("""COMPUTED_VALUE"""),5452.18)</f>
        <v>5452.18</v>
      </c>
      <c r="K900" s="1">
        <f>IFERROR(__xludf.DUMMYFUNCTION("""COMPUTED_VALUE"""),5452.18)</f>
        <v>5452.18</v>
      </c>
    </row>
    <row r="901">
      <c r="A901" s="1">
        <f>IFERROR(__xludf.DUMMYFUNCTION("""COMPUTED_VALUE"""),1000.0)</f>
        <v>1000</v>
      </c>
      <c r="B901" s="1">
        <f>IFERROR(__xludf.DUMMYFUNCTION("""COMPUTED_VALUE"""),184111.0)</f>
        <v>184111</v>
      </c>
      <c r="C901" s="1">
        <f>IFERROR(__xludf.DUMMYFUNCTION("""COMPUTED_VALUE"""),2026.0)</f>
        <v>2026</v>
      </c>
      <c r="D901" s="1">
        <f>IFERROR(__xludf.DUMMYFUNCTION("""COMPUTED_VALUE"""),46213.0)</f>
        <v>46213</v>
      </c>
      <c r="E901" s="1" t="str">
        <f>IFERROR(__xludf.DUMMYFUNCTION("""COMPUTED_VALUE"""),"VF")</f>
        <v>VF</v>
      </c>
      <c r="F901" s="1">
        <f>IFERROR(__xludf.DUMMYFUNCTION("""COMPUTED_VALUE"""),1.0)</f>
        <v>1</v>
      </c>
      <c r="G901" s="1" t="str">
        <f>IFERROR(__xludf.DUMMYFUNCTION("""COMPUTED_VALUE"""),"PR011")</f>
        <v>PR011</v>
      </c>
      <c r="H901" s="1" t="str">
        <f>IFERROR(__xludf.DUMMYFUNCTION("""COMPUTED_VALUE"""),"VD013")</f>
        <v>VD013</v>
      </c>
      <c r="I901" s="1">
        <f>IFERROR(__xludf.DUMMYFUNCTION("""COMPUTED_VALUE"""),2.0)</f>
        <v>2</v>
      </c>
      <c r="J901" s="1">
        <f>IFERROR(__xludf.DUMMYFUNCTION("""COMPUTED_VALUE"""),96.61)</f>
        <v>96.61</v>
      </c>
      <c r="K901" s="1">
        <f>IFERROR(__xludf.DUMMYFUNCTION("""COMPUTED_VALUE"""),96.61)</f>
        <v>96.61</v>
      </c>
    </row>
    <row r="902">
      <c r="A902" s="1">
        <f>IFERROR(__xludf.DUMMYFUNCTION("""COMPUTED_VALUE"""),1000.0)</f>
        <v>1000</v>
      </c>
      <c r="B902" s="1">
        <f>IFERROR(__xludf.DUMMYFUNCTION("""COMPUTED_VALUE"""),184112.0)</f>
        <v>184112</v>
      </c>
      <c r="C902" s="1">
        <f>IFERROR(__xludf.DUMMYFUNCTION("""COMPUTED_VALUE"""),2026.0)</f>
        <v>2026</v>
      </c>
      <c r="D902" s="1">
        <f>IFERROR(__xludf.DUMMYFUNCTION("""COMPUTED_VALUE"""),46212.0)</f>
        <v>46212</v>
      </c>
      <c r="E902" s="1" t="str">
        <f>IFERROR(__xludf.DUMMYFUNCTION("""COMPUTED_VALUE"""),"VF")</f>
        <v>VF</v>
      </c>
      <c r="F902" s="1">
        <f>IFERROR(__xludf.DUMMYFUNCTION("""COMPUTED_VALUE"""),1.0)</f>
        <v>1</v>
      </c>
      <c r="G902" s="1" t="str">
        <f>IFERROR(__xludf.DUMMYFUNCTION("""COMPUTED_VALUE"""),"PR025")</f>
        <v>PR025</v>
      </c>
      <c r="H902" s="1" t="str">
        <f>IFERROR(__xludf.DUMMYFUNCTION("""COMPUTED_VALUE"""),"VD047")</f>
        <v>VD047</v>
      </c>
      <c r="I902" s="1">
        <f>IFERROR(__xludf.DUMMYFUNCTION("""COMPUTED_VALUE"""),2.0)</f>
        <v>2</v>
      </c>
      <c r="J902" s="1">
        <f>IFERROR(__xludf.DUMMYFUNCTION("""COMPUTED_VALUE"""),635.79)</f>
        <v>635.79</v>
      </c>
      <c r="K902" s="1">
        <f>IFERROR(__xludf.DUMMYFUNCTION("""COMPUTED_VALUE"""),635.79)</f>
        <v>635.79</v>
      </c>
    </row>
    <row r="903">
      <c r="A903" s="1">
        <f>IFERROR(__xludf.DUMMYFUNCTION("""COMPUTED_VALUE"""),1000.0)</f>
        <v>1000</v>
      </c>
      <c r="B903" s="1">
        <f>IFERROR(__xludf.DUMMYFUNCTION("""COMPUTED_VALUE"""),184113.0)</f>
        <v>184113</v>
      </c>
      <c r="C903" s="1">
        <f>IFERROR(__xludf.DUMMYFUNCTION("""COMPUTED_VALUE"""),2026.0)</f>
        <v>2026</v>
      </c>
      <c r="D903" s="1">
        <f>IFERROR(__xludf.DUMMYFUNCTION("""COMPUTED_VALUE"""),46212.0)</f>
        <v>46212</v>
      </c>
      <c r="E903" s="1" t="str">
        <f>IFERROR(__xludf.DUMMYFUNCTION("""COMPUTED_VALUE"""),"VF")</f>
        <v>VF</v>
      </c>
      <c r="F903" s="1">
        <f>IFERROR(__xludf.DUMMYFUNCTION("""COMPUTED_VALUE"""),1.0)</f>
        <v>1</v>
      </c>
      <c r="G903" s="1" t="str">
        <f>IFERROR(__xludf.DUMMYFUNCTION("""COMPUTED_VALUE"""),"PR044")</f>
        <v>PR044</v>
      </c>
      <c r="H903" s="1" t="str">
        <f>IFERROR(__xludf.DUMMYFUNCTION("""COMPUTED_VALUE"""),"VD020")</f>
        <v>VD020</v>
      </c>
      <c r="I903" s="1">
        <f>IFERROR(__xludf.DUMMYFUNCTION("""COMPUTED_VALUE"""),9.0)</f>
        <v>9</v>
      </c>
      <c r="J903" s="1">
        <f>IFERROR(__xludf.DUMMYFUNCTION("""COMPUTED_VALUE"""),652.5)</f>
        <v>652.5</v>
      </c>
      <c r="K903" s="1">
        <f>IFERROR(__xludf.DUMMYFUNCTION("""COMPUTED_VALUE"""),652.5)</f>
        <v>652.5</v>
      </c>
    </row>
    <row r="904">
      <c r="A904" s="1">
        <f>IFERROR(__xludf.DUMMYFUNCTION("""COMPUTED_VALUE"""),1000.0)</f>
        <v>1000</v>
      </c>
      <c r="B904" s="1">
        <f>IFERROR(__xludf.DUMMYFUNCTION("""COMPUTED_VALUE"""),184114.0)</f>
        <v>184114</v>
      </c>
      <c r="C904" s="1">
        <f>IFERROR(__xludf.DUMMYFUNCTION("""COMPUTED_VALUE"""),2026.0)</f>
        <v>2026</v>
      </c>
      <c r="D904" s="1">
        <f>IFERROR(__xludf.DUMMYFUNCTION("""COMPUTED_VALUE"""),46211.0)</f>
        <v>46211</v>
      </c>
      <c r="E904" s="1" t="str">
        <f>IFERROR(__xludf.DUMMYFUNCTION("""COMPUTED_VALUE"""),"VF")</f>
        <v>VF</v>
      </c>
      <c r="F904" s="1">
        <f>IFERROR(__xludf.DUMMYFUNCTION("""COMPUTED_VALUE"""),1.0)</f>
        <v>1</v>
      </c>
      <c r="G904" s="1" t="str">
        <f>IFERROR(__xludf.DUMMYFUNCTION("""COMPUTED_VALUE"""),"PR054")</f>
        <v>PR054</v>
      </c>
      <c r="H904" s="1" t="str">
        <f>IFERROR(__xludf.DUMMYFUNCTION("""COMPUTED_VALUE"""),"VD011")</f>
        <v>VD011</v>
      </c>
      <c r="I904" s="1">
        <f>IFERROR(__xludf.DUMMYFUNCTION("""COMPUTED_VALUE"""),2.0)</f>
        <v>2</v>
      </c>
      <c r="J904" s="1">
        <f>IFERROR(__xludf.DUMMYFUNCTION("""COMPUTED_VALUE"""),100.8)</f>
        <v>100.8</v>
      </c>
      <c r="K904" s="1">
        <f>IFERROR(__xludf.DUMMYFUNCTION("""COMPUTED_VALUE"""),100.8)</f>
        <v>100.8</v>
      </c>
    </row>
    <row r="905">
      <c r="A905" s="1">
        <f>IFERROR(__xludf.DUMMYFUNCTION("""COMPUTED_VALUE"""),1000.0)</f>
        <v>1000</v>
      </c>
      <c r="B905" s="1">
        <f>IFERROR(__xludf.DUMMYFUNCTION("""COMPUTED_VALUE"""),184115.0)</f>
        <v>184115</v>
      </c>
      <c r="C905" s="1">
        <f>IFERROR(__xludf.DUMMYFUNCTION("""COMPUTED_VALUE"""),2026.0)</f>
        <v>2026</v>
      </c>
      <c r="D905" s="1">
        <f>IFERROR(__xludf.DUMMYFUNCTION("""COMPUTED_VALUE"""),46211.0)</f>
        <v>46211</v>
      </c>
      <c r="E905" s="1" t="str">
        <f>IFERROR(__xludf.DUMMYFUNCTION("""COMPUTED_VALUE"""),"VF")</f>
        <v>VF</v>
      </c>
      <c r="F905" s="1">
        <f>IFERROR(__xludf.DUMMYFUNCTION("""COMPUTED_VALUE"""),1.0)</f>
        <v>1</v>
      </c>
      <c r="G905" s="1" t="str">
        <f>IFERROR(__xludf.DUMMYFUNCTION("""COMPUTED_VALUE"""),"PR004")</f>
        <v>PR004</v>
      </c>
      <c r="H905" s="1" t="str">
        <f>IFERROR(__xludf.DUMMYFUNCTION("""COMPUTED_VALUE"""),"VD039")</f>
        <v>VD039</v>
      </c>
      <c r="I905" s="1">
        <f>IFERROR(__xludf.DUMMYFUNCTION("""COMPUTED_VALUE"""),14.0)</f>
        <v>14</v>
      </c>
      <c r="J905" s="1">
        <f>IFERROR(__xludf.DUMMYFUNCTION("""COMPUTED_VALUE"""),2212.7)</f>
        <v>2212.7</v>
      </c>
      <c r="K905" s="1">
        <f>IFERROR(__xludf.DUMMYFUNCTION("""COMPUTED_VALUE"""),2212.7)</f>
        <v>2212.7</v>
      </c>
    </row>
    <row r="906">
      <c r="A906" s="1">
        <f>IFERROR(__xludf.DUMMYFUNCTION("""COMPUTED_VALUE"""),1000.0)</f>
        <v>1000</v>
      </c>
      <c r="B906" s="1">
        <f>IFERROR(__xludf.DUMMYFUNCTION("""COMPUTED_VALUE"""),184115.0)</f>
        <v>184115</v>
      </c>
      <c r="C906" s="1">
        <f>IFERROR(__xludf.DUMMYFUNCTION("""COMPUTED_VALUE"""),2026.0)</f>
        <v>2026</v>
      </c>
      <c r="D906" s="1">
        <f>IFERROR(__xludf.DUMMYFUNCTION("""COMPUTED_VALUE"""),46210.0)</f>
        <v>46210</v>
      </c>
      <c r="E906" s="1" t="str">
        <f>IFERROR(__xludf.DUMMYFUNCTION("""COMPUTED_VALUE"""),"VF")</f>
        <v>VF</v>
      </c>
      <c r="F906" s="1">
        <f>IFERROR(__xludf.DUMMYFUNCTION("""COMPUTED_VALUE"""),2.0)</f>
        <v>2</v>
      </c>
      <c r="G906" s="1" t="str">
        <f>IFERROR(__xludf.DUMMYFUNCTION("""COMPUTED_VALUE"""),"PR032")</f>
        <v>PR032</v>
      </c>
      <c r="H906" s="1" t="str">
        <f>IFERROR(__xludf.DUMMYFUNCTION("""COMPUTED_VALUE"""),"VD017")</f>
        <v>VD017</v>
      </c>
      <c r="I906" s="1">
        <f>IFERROR(__xludf.DUMMYFUNCTION("""COMPUTED_VALUE"""),12.0)</f>
        <v>12</v>
      </c>
      <c r="J906" s="1">
        <f>IFERROR(__xludf.DUMMYFUNCTION("""COMPUTED_VALUE"""),3030.0)</f>
        <v>3030</v>
      </c>
      <c r="K906" s="1">
        <f>IFERROR(__xludf.DUMMYFUNCTION("""COMPUTED_VALUE"""),3030.0)</f>
        <v>3030</v>
      </c>
    </row>
    <row r="907">
      <c r="A907" s="1">
        <f>IFERROR(__xludf.DUMMYFUNCTION("""COMPUTED_VALUE"""),1000.0)</f>
        <v>1000</v>
      </c>
      <c r="B907" s="1">
        <f>IFERROR(__xludf.DUMMYFUNCTION("""COMPUTED_VALUE"""),184116.0)</f>
        <v>184116</v>
      </c>
      <c r="C907" s="1">
        <f>IFERROR(__xludf.DUMMYFUNCTION("""COMPUTED_VALUE"""),2026.0)</f>
        <v>2026</v>
      </c>
      <c r="D907" s="1">
        <f>IFERROR(__xludf.DUMMYFUNCTION("""COMPUTED_VALUE"""),46210.0)</f>
        <v>46210</v>
      </c>
      <c r="E907" s="1" t="str">
        <f>IFERROR(__xludf.DUMMYFUNCTION("""COMPUTED_VALUE"""),"VF")</f>
        <v>VF</v>
      </c>
      <c r="F907" s="1">
        <f>IFERROR(__xludf.DUMMYFUNCTION("""COMPUTED_VALUE"""),1.0)</f>
        <v>1</v>
      </c>
      <c r="G907" s="1" t="str">
        <f>IFERROR(__xludf.DUMMYFUNCTION("""COMPUTED_VALUE"""),"PR060")</f>
        <v>PR060</v>
      </c>
      <c r="H907" s="1" t="str">
        <f>IFERROR(__xludf.DUMMYFUNCTION("""COMPUTED_VALUE"""),"VD040")</f>
        <v>VD040</v>
      </c>
      <c r="I907" s="1">
        <f>IFERROR(__xludf.DUMMYFUNCTION("""COMPUTED_VALUE"""),18.0)</f>
        <v>18</v>
      </c>
      <c r="J907" s="1">
        <f>IFERROR(__xludf.DUMMYFUNCTION("""COMPUTED_VALUE"""),3434.4)</f>
        <v>3434.4</v>
      </c>
      <c r="K907" s="1">
        <f>IFERROR(__xludf.DUMMYFUNCTION("""COMPUTED_VALUE"""),3434.4)</f>
        <v>3434.4</v>
      </c>
    </row>
    <row r="908">
      <c r="A908" s="1">
        <f>IFERROR(__xludf.DUMMYFUNCTION("""COMPUTED_VALUE"""),1000.0)</f>
        <v>1000</v>
      </c>
      <c r="B908" s="1">
        <f>IFERROR(__xludf.DUMMYFUNCTION("""COMPUTED_VALUE"""),184116.0)</f>
        <v>184116</v>
      </c>
      <c r="C908" s="1">
        <f>IFERROR(__xludf.DUMMYFUNCTION("""COMPUTED_VALUE"""),2026.0)</f>
        <v>2026</v>
      </c>
      <c r="D908" s="1">
        <f>IFERROR(__xludf.DUMMYFUNCTION("""COMPUTED_VALUE"""),46210.0)</f>
        <v>46210</v>
      </c>
      <c r="E908" s="1" t="str">
        <f>IFERROR(__xludf.DUMMYFUNCTION("""COMPUTED_VALUE"""),"VF")</f>
        <v>VF</v>
      </c>
      <c r="F908" s="1">
        <f>IFERROR(__xludf.DUMMYFUNCTION("""COMPUTED_VALUE"""),2.0)</f>
        <v>2</v>
      </c>
      <c r="G908" s="1" t="str">
        <f>IFERROR(__xludf.DUMMYFUNCTION("""COMPUTED_VALUE"""),"PR041")</f>
        <v>PR041</v>
      </c>
      <c r="H908" s="1" t="str">
        <f>IFERROR(__xludf.DUMMYFUNCTION("""COMPUTED_VALUE"""),"VD018")</f>
        <v>VD018</v>
      </c>
      <c r="I908" s="1">
        <f>IFERROR(__xludf.DUMMYFUNCTION("""COMPUTED_VALUE"""),1.0)</f>
        <v>1</v>
      </c>
      <c r="J908" s="1">
        <f>IFERROR(__xludf.DUMMYFUNCTION("""COMPUTED_VALUE"""),59.29)</f>
        <v>59.29</v>
      </c>
      <c r="K908" s="1">
        <f>IFERROR(__xludf.DUMMYFUNCTION("""COMPUTED_VALUE"""),59.29)</f>
        <v>59.29</v>
      </c>
    </row>
    <row r="909">
      <c r="A909" s="1">
        <f>IFERROR(__xludf.DUMMYFUNCTION("""COMPUTED_VALUE"""),1000.0)</f>
        <v>1000</v>
      </c>
      <c r="B909" s="1">
        <f>IFERROR(__xludf.DUMMYFUNCTION("""COMPUTED_VALUE"""),184116.0)</f>
        <v>184116</v>
      </c>
      <c r="C909" s="1">
        <f>IFERROR(__xludf.DUMMYFUNCTION("""COMPUTED_VALUE"""),2026.0)</f>
        <v>2026</v>
      </c>
      <c r="D909" s="1">
        <f>IFERROR(__xludf.DUMMYFUNCTION("""COMPUTED_VALUE"""),46210.0)</f>
        <v>46210</v>
      </c>
      <c r="E909" s="1" t="str">
        <f>IFERROR(__xludf.DUMMYFUNCTION("""COMPUTED_VALUE"""),"VF")</f>
        <v>VF</v>
      </c>
      <c r="F909" s="1">
        <f>IFERROR(__xludf.DUMMYFUNCTION("""COMPUTED_VALUE"""),3.0)</f>
        <v>3</v>
      </c>
      <c r="G909" s="1" t="str">
        <f>IFERROR(__xludf.DUMMYFUNCTION("""COMPUTED_VALUE"""),"PR029")</f>
        <v>PR029</v>
      </c>
      <c r="H909" s="1" t="str">
        <f>IFERROR(__xludf.DUMMYFUNCTION("""COMPUTED_VALUE"""),"VD029")</f>
        <v>VD029</v>
      </c>
      <c r="I909" s="1">
        <f>IFERROR(__xludf.DUMMYFUNCTION("""COMPUTED_VALUE"""),6.0)</f>
        <v>6</v>
      </c>
      <c r="J909" s="1">
        <f>IFERROR(__xludf.DUMMYFUNCTION("""COMPUTED_VALUE"""),1575.9)</f>
        <v>1575.9</v>
      </c>
      <c r="K909" s="1">
        <f>IFERROR(__xludf.DUMMYFUNCTION("""COMPUTED_VALUE"""),1575.9)</f>
        <v>1575.9</v>
      </c>
    </row>
    <row r="910">
      <c r="A910" s="1">
        <f>IFERROR(__xludf.DUMMYFUNCTION("""COMPUTED_VALUE"""),1000.0)</f>
        <v>1000</v>
      </c>
      <c r="B910" s="1">
        <f>IFERROR(__xludf.DUMMYFUNCTION("""COMPUTED_VALUE"""),184117.0)</f>
        <v>184117</v>
      </c>
      <c r="C910" s="1">
        <f>IFERROR(__xludf.DUMMYFUNCTION("""COMPUTED_VALUE"""),2026.0)</f>
        <v>2026</v>
      </c>
      <c r="D910" s="1">
        <f>IFERROR(__xludf.DUMMYFUNCTION("""COMPUTED_VALUE"""),46210.0)</f>
        <v>46210</v>
      </c>
      <c r="E910" s="1" t="str">
        <f>IFERROR(__xludf.DUMMYFUNCTION("""COMPUTED_VALUE"""),"VF")</f>
        <v>VF</v>
      </c>
      <c r="F910" s="1">
        <f>IFERROR(__xludf.DUMMYFUNCTION("""COMPUTED_VALUE"""),1.0)</f>
        <v>1</v>
      </c>
      <c r="G910" s="1" t="str">
        <f>IFERROR(__xludf.DUMMYFUNCTION("""COMPUTED_VALUE"""),"PR039")</f>
        <v>PR039</v>
      </c>
      <c r="H910" s="1" t="str">
        <f>IFERROR(__xludf.DUMMYFUNCTION("""COMPUTED_VALUE"""),"VD034")</f>
        <v>VD034</v>
      </c>
      <c r="I910" s="1">
        <f>IFERROR(__xludf.DUMMYFUNCTION("""COMPUTED_VALUE"""),16.0)</f>
        <v>16</v>
      </c>
      <c r="J910" s="1">
        <f>IFERROR(__xludf.DUMMYFUNCTION("""COMPUTED_VALUE"""),2336.0)</f>
        <v>2336</v>
      </c>
      <c r="K910" s="1">
        <f>IFERROR(__xludf.DUMMYFUNCTION("""COMPUTED_VALUE"""),2336.0)</f>
        <v>2336</v>
      </c>
    </row>
    <row r="911">
      <c r="A911" s="1">
        <f>IFERROR(__xludf.DUMMYFUNCTION("""COMPUTED_VALUE"""),1000.0)</f>
        <v>1000</v>
      </c>
      <c r="B911" s="1">
        <f>IFERROR(__xludf.DUMMYFUNCTION("""COMPUTED_VALUE"""),184118.0)</f>
        <v>184118</v>
      </c>
      <c r="C911" s="1">
        <f>IFERROR(__xludf.DUMMYFUNCTION("""COMPUTED_VALUE"""),2026.0)</f>
        <v>2026</v>
      </c>
      <c r="D911" s="1">
        <f>IFERROR(__xludf.DUMMYFUNCTION("""COMPUTED_VALUE"""),46209.0)</f>
        <v>46209</v>
      </c>
      <c r="E911" s="1" t="str">
        <f>IFERROR(__xludf.DUMMYFUNCTION("""COMPUTED_VALUE"""),"VF")</f>
        <v>VF</v>
      </c>
      <c r="F911" s="1">
        <f>IFERROR(__xludf.DUMMYFUNCTION("""COMPUTED_VALUE"""),1.0)</f>
        <v>1</v>
      </c>
      <c r="G911" s="1" t="str">
        <f>IFERROR(__xludf.DUMMYFUNCTION("""COMPUTED_VALUE"""),"PR048")</f>
        <v>PR048</v>
      </c>
      <c r="H911" s="1" t="str">
        <f>IFERROR(__xludf.DUMMYFUNCTION("""COMPUTED_VALUE"""),"VD026")</f>
        <v>VD026</v>
      </c>
      <c r="I911" s="1">
        <f>IFERROR(__xludf.DUMMYFUNCTION("""COMPUTED_VALUE"""),6.0)</f>
        <v>6</v>
      </c>
      <c r="J911" s="1">
        <f>IFERROR(__xludf.DUMMYFUNCTION("""COMPUTED_VALUE"""),1774.19)</f>
        <v>1774.19</v>
      </c>
      <c r="K911" s="1">
        <f>IFERROR(__xludf.DUMMYFUNCTION("""COMPUTED_VALUE"""),1774.19)</f>
        <v>1774.19</v>
      </c>
    </row>
    <row r="912">
      <c r="A912" s="1">
        <f>IFERROR(__xludf.DUMMYFUNCTION("""COMPUTED_VALUE"""),1000.0)</f>
        <v>1000</v>
      </c>
      <c r="B912" s="1">
        <f>IFERROR(__xludf.DUMMYFUNCTION("""COMPUTED_VALUE"""),184118.0)</f>
        <v>184118</v>
      </c>
      <c r="C912" s="1">
        <f>IFERROR(__xludf.DUMMYFUNCTION("""COMPUTED_VALUE"""),2026.0)</f>
        <v>2026</v>
      </c>
      <c r="D912" s="1">
        <f>IFERROR(__xludf.DUMMYFUNCTION("""COMPUTED_VALUE"""),46209.0)</f>
        <v>46209</v>
      </c>
      <c r="E912" s="1" t="str">
        <f>IFERROR(__xludf.DUMMYFUNCTION("""COMPUTED_VALUE"""),"VF")</f>
        <v>VF</v>
      </c>
      <c r="F912" s="1">
        <f>IFERROR(__xludf.DUMMYFUNCTION("""COMPUTED_VALUE"""),2.0)</f>
        <v>2</v>
      </c>
      <c r="G912" s="1" t="str">
        <f>IFERROR(__xludf.DUMMYFUNCTION("""COMPUTED_VALUE"""),"PR015")</f>
        <v>PR015</v>
      </c>
      <c r="H912" s="1" t="str">
        <f>IFERROR(__xludf.DUMMYFUNCTION("""COMPUTED_VALUE"""),"VD012")</f>
        <v>VD012</v>
      </c>
      <c r="I912" s="1">
        <f>IFERROR(__xludf.DUMMYFUNCTION("""COMPUTED_VALUE"""),2.0)</f>
        <v>2</v>
      </c>
      <c r="J912" s="1">
        <f>IFERROR(__xludf.DUMMYFUNCTION("""COMPUTED_VALUE"""),85.85)</f>
        <v>85.85</v>
      </c>
      <c r="K912" s="1">
        <f>IFERROR(__xludf.DUMMYFUNCTION("""COMPUTED_VALUE"""),85.85)</f>
        <v>85.85</v>
      </c>
    </row>
    <row r="913">
      <c r="A913" s="1">
        <f>IFERROR(__xludf.DUMMYFUNCTION("""COMPUTED_VALUE"""),1000.0)</f>
        <v>1000</v>
      </c>
      <c r="B913" s="1">
        <f>IFERROR(__xludf.DUMMYFUNCTION("""COMPUTED_VALUE"""),184119.0)</f>
        <v>184119</v>
      </c>
      <c r="C913" s="1">
        <f>IFERROR(__xludf.DUMMYFUNCTION("""COMPUTED_VALUE"""),2026.0)</f>
        <v>2026</v>
      </c>
      <c r="D913" s="1">
        <f>IFERROR(__xludf.DUMMYFUNCTION("""COMPUTED_VALUE"""),46209.0)</f>
        <v>46209</v>
      </c>
      <c r="E913" s="1" t="str">
        <f>IFERROR(__xludf.DUMMYFUNCTION("""COMPUTED_VALUE"""),"VF")</f>
        <v>VF</v>
      </c>
      <c r="F913" s="1">
        <f>IFERROR(__xludf.DUMMYFUNCTION("""COMPUTED_VALUE"""),1.0)</f>
        <v>1</v>
      </c>
      <c r="G913" s="1" t="str">
        <f>IFERROR(__xludf.DUMMYFUNCTION("""COMPUTED_VALUE"""),"PR051")</f>
        <v>PR051</v>
      </c>
      <c r="H913" s="1" t="str">
        <f>IFERROR(__xludf.DUMMYFUNCTION("""COMPUTED_VALUE"""),"VD036")</f>
        <v>VD036</v>
      </c>
      <c r="I913" s="1">
        <f>IFERROR(__xludf.DUMMYFUNCTION("""COMPUTED_VALUE"""),10.0)</f>
        <v>10</v>
      </c>
      <c r="J913" s="1">
        <f>IFERROR(__xludf.DUMMYFUNCTION("""COMPUTED_VALUE"""),348.74)</f>
        <v>348.74</v>
      </c>
      <c r="K913" s="1">
        <f>IFERROR(__xludf.DUMMYFUNCTION("""COMPUTED_VALUE"""),348.74)</f>
        <v>348.74</v>
      </c>
    </row>
    <row r="914">
      <c r="A914" s="1">
        <f>IFERROR(__xludf.DUMMYFUNCTION("""COMPUTED_VALUE"""),2000.0)</f>
        <v>2000</v>
      </c>
      <c r="B914" s="1">
        <f>IFERROR(__xludf.DUMMYFUNCTION("""COMPUTED_VALUE"""),184119.0)</f>
        <v>184119</v>
      </c>
      <c r="C914" s="1">
        <f>IFERROR(__xludf.DUMMYFUNCTION("""COMPUTED_VALUE"""),2026.0)</f>
        <v>2026</v>
      </c>
      <c r="D914" s="1">
        <f>IFERROR(__xludf.DUMMYFUNCTION("""COMPUTED_VALUE"""),46209.0)</f>
        <v>46209</v>
      </c>
      <c r="E914" s="1" t="str">
        <f>IFERROR(__xludf.DUMMYFUNCTION("""COMPUTED_VALUE"""),"VF")</f>
        <v>VF</v>
      </c>
      <c r="F914" s="1">
        <f>IFERROR(__xludf.DUMMYFUNCTION("""COMPUTED_VALUE"""),2.0)</f>
        <v>2</v>
      </c>
      <c r="G914" s="1" t="str">
        <f>IFERROR(__xludf.DUMMYFUNCTION("""COMPUTED_VALUE"""),"PR060")</f>
        <v>PR060</v>
      </c>
      <c r="H914" s="1" t="str">
        <f>IFERROR(__xludf.DUMMYFUNCTION("""COMPUTED_VALUE"""),"VD021")</f>
        <v>VD021</v>
      </c>
      <c r="I914" s="1">
        <f>IFERROR(__xludf.DUMMYFUNCTION("""COMPUTED_VALUE"""),12.0)</f>
        <v>12</v>
      </c>
      <c r="J914" s="1">
        <f>IFERROR(__xludf.DUMMYFUNCTION("""COMPUTED_VALUE"""),2246.4)</f>
        <v>2246.4</v>
      </c>
      <c r="K914" s="1">
        <f>IFERROR(__xludf.DUMMYFUNCTION("""COMPUTED_VALUE"""),2246.4)</f>
        <v>2246.4</v>
      </c>
    </row>
    <row r="915">
      <c r="A915" s="1">
        <f>IFERROR(__xludf.DUMMYFUNCTION("""COMPUTED_VALUE"""),2000.0)</f>
        <v>2000</v>
      </c>
      <c r="B915" s="1">
        <f>IFERROR(__xludf.DUMMYFUNCTION("""COMPUTED_VALUE"""),184120.0)</f>
        <v>184120</v>
      </c>
      <c r="C915" s="1">
        <f>IFERROR(__xludf.DUMMYFUNCTION("""COMPUTED_VALUE"""),2026.0)</f>
        <v>2026</v>
      </c>
      <c r="D915" s="1">
        <f>IFERROR(__xludf.DUMMYFUNCTION("""COMPUTED_VALUE"""),46208.0)</f>
        <v>46208</v>
      </c>
      <c r="E915" s="1" t="str">
        <f>IFERROR(__xludf.DUMMYFUNCTION("""COMPUTED_VALUE"""),"VF")</f>
        <v>VF</v>
      </c>
      <c r="F915" s="1">
        <f>IFERROR(__xludf.DUMMYFUNCTION("""COMPUTED_VALUE"""),1.0)</f>
        <v>1</v>
      </c>
      <c r="G915" s="1" t="str">
        <f>IFERROR(__xludf.DUMMYFUNCTION("""COMPUTED_VALUE"""),"PR053")</f>
        <v>PR053</v>
      </c>
      <c r="H915" s="1" t="str">
        <f>IFERROR(__xludf.DUMMYFUNCTION("""COMPUTED_VALUE"""),"VD047")</f>
        <v>VD047</v>
      </c>
      <c r="I915" s="1">
        <f>IFERROR(__xludf.DUMMYFUNCTION("""COMPUTED_VALUE"""),6.0)</f>
        <v>6</v>
      </c>
      <c r="J915" s="1">
        <f>IFERROR(__xludf.DUMMYFUNCTION("""COMPUTED_VALUE"""),317.36)</f>
        <v>317.36</v>
      </c>
      <c r="K915" s="1">
        <f>IFERROR(__xludf.DUMMYFUNCTION("""COMPUTED_VALUE"""),317.36)</f>
        <v>317.36</v>
      </c>
    </row>
    <row r="916">
      <c r="A916" s="1">
        <f>IFERROR(__xludf.DUMMYFUNCTION("""COMPUTED_VALUE"""),1000.0)</f>
        <v>1000</v>
      </c>
      <c r="B916" s="1">
        <f>IFERROR(__xludf.DUMMYFUNCTION("""COMPUTED_VALUE"""),184120.0)</f>
        <v>184120</v>
      </c>
      <c r="C916" s="1">
        <f>IFERROR(__xludf.DUMMYFUNCTION("""COMPUTED_VALUE"""),2026.0)</f>
        <v>2026</v>
      </c>
      <c r="D916" s="1">
        <f>IFERROR(__xludf.DUMMYFUNCTION("""COMPUTED_VALUE"""),46208.0)</f>
        <v>46208</v>
      </c>
      <c r="E916" s="1" t="str">
        <f>IFERROR(__xludf.DUMMYFUNCTION("""COMPUTED_VALUE"""),"VF")</f>
        <v>VF</v>
      </c>
      <c r="F916" s="1">
        <f>IFERROR(__xludf.DUMMYFUNCTION("""COMPUTED_VALUE"""),2.0)</f>
        <v>2</v>
      </c>
      <c r="G916" s="1" t="str">
        <f>IFERROR(__xludf.DUMMYFUNCTION("""COMPUTED_VALUE"""),"PR051")</f>
        <v>PR051</v>
      </c>
      <c r="H916" s="1" t="str">
        <f>IFERROR(__xludf.DUMMYFUNCTION("""COMPUTED_VALUE"""),"VD016")</f>
        <v>VD016</v>
      </c>
      <c r="I916" s="1">
        <f>IFERROR(__xludf.DUMMYFUNCTION("""COMPUTED_VALUE"""),8.0)</f>
        <v>8</v>
      </c>
      <c r="J916" s="1">
        <f>IFERROR(__xludf.DUMMYFUNCTION("""COMPUTED_VALUE"""),263.2)</f>
        <v>263.2</v>
      </c>
      <c r="K916" s="1">
        <f>IFERROR(__xludf.DUMMYFUNCTION("""COMPUTED_VALUE"""),263.2)</f>
        <v>263.2</v>
      </c>
    </row>
    <row r="917">
      <c r="A917" s="1">
        <f>IFERROR(__xludf.DUMMYFUNCTION("""COMPUTED_VALUE"""),1000.0)</f>
        <v>1000</v>
      </c>
      <c r="B917" s="1">
        <f>IFERROR(__xludf.DUMMYFUNCTION("""COMPUTED_VALUE"""),184120.0)</f>
        <v>184120</v>
      </c>
      <c r="C917" s="1">
        <f>IFERROR(__xludf.DUMMYFUNCTION("""COMPUTED_VALUE"""),2026.0)</f>
        <v>2026</v>
      </c>
      <c r="D917" s="1">
        <f>IFERROR(__xludf.DUMMYFUNCTION("""COMPUTED_VALUE"""),46208.0)</f>
        <v>46208</v>
      </c>
      <c r="E917" s="1" t="str">
        <f>IFERROR(__xludf.DUMMYFUNCTION("""COMPUTED_VALUE"""),"VF")</f>
        <v>VF</v>
      </c>
      <c r="F917" s="1">
        <f>IFERROR(__xludf.DUMMYFUNCTION("""COMPUTED_VALUE"""),3.0)</f>
        <v>3</v>
      </c>
      <c r="G917" s="1" t="str">
        <f>IFERROR(__xludf.DUMMYFUNCTION("""COMPUTED_VALUE"""),"PR035")</f>
        <v>PR035</v>
      </c>
      <c r="H917" s="1" t="str">
        <f>IFERROR(__xludf.DUMMYFUNCTION("""COMPUTED_VALUE"""),"VD016")</f>
        <v>VD016</v>
      </c>
      <c r="I917" s="1">
        <f>IFERROR(__xludf.DUMMYFUNCTION("""COMPUTED_VALUE"""),12.0)</f>
        <v>12</v>
      </c>
      <c r="J917" s="1">
        <f>IFERROR(__xludf.DUMMYFUNCTION("""COMPUTED_VALUE"""),1107.77)</f>
        <v>1107.77</v>
      </c>
      <c r="K917" s="1">
        <f>IFERROR(__xludf.DUMMYFUNCTION("""COMPUTED_VALUE"""),1107.77)</f>
        <v>1107.77</v>
      </c>
    </row>
    <row r="918">
      <c r="A918" s="1">
        <f>IFERROR(__xludf.DUMMYFUNCTION("""COMPUTED_VALUE"""),2000.0)</f>
        <v>2000</v>
      </c>
      <c r="B918" s="1">
        <f>IFERROR(__xludf.DUMMYFUNCTION("""COMPUTED_VALUE"""),184120.0)</f>
        <v>184120</v>
      </c>
      <c r="C918" s="1">
        <f>IFERROR(__xludf.DUMMYFUNCTION("""COMPUTED_VALUE"""),2026.0)</f>
        <v>2026</v>
      </c>
      <c r="D918" s="1">
        <f>IFERROR(__xludf.DUMMYFUNCTION("""COMPUTED_VALUE"""),46207.0)</f>
        <v>46207</v>
      </c>
      <c r="E918" s="1" t="str">
        <f>IFERROR(__xludf.DUMMYFUNCTION("""COMPUTED_VALUE"""),"VF")</f>
        <v>VF</v>
      </c>
      <c r="F918" s="1">
        <f>IFERROR(__xludf.DUMMYFUNCTION("""COMPUTED_VALUE"""),4.0)</f>
        <v>4</v>
      </c>
      <c r="G918" s="1" t="str">
        <f>IFERROR(__xludf.DUMMYFUNCTION("""COMPUTED_VALUE"""),"PR046")</f>
        <v>PR046</v>
      </c>
      <c r="H918" s="1" t="str">
        <f>IFERROR(__xludf.DUMMYFUNCTION("""COMPUTED_VALUE"""),"VD031")</f>
        <v>VD031</v>
      </c>
      <c r="I918" s="1">
        <f>IFERROR(__xludf.DUMMYFUNCTION("""COMPUTED_VALUE"""),14.0)</f>
        <v>14</v>
      </c>
      <c r="J918" s="1">
        <f>IFERROR(__xludf.DUMMYFUNCTION("""COMPUTED_VALUE"""),4099.19)</f>
        <v>4099.19</v>
      </c>
      <c r="K918" s="1">
        <f>IFERROR(__xludf.DUMMYFUNCTION("""COMPUTED_VALUE"""),4099.19)</f>
        <v>4099.19</v>
      </c>
    </row>
    <row r="919">
      <c r="A919" s="1">
        <f>IFERROR(__xludf.DUMMYFUNCTION("""COMPUTED_VALUE"""),2000.0)</f>
        <v>2000</v>
      </c>
      <c r="B919" s="1">
        <f>IFERROR(__xludf.DUMMYFUNCTION("""COMPUTED_VALUE"""),184120.0)</f>
        <v>184120</v>
      </c>
      <c r="C919" s="1">
        <f>IFERROR(__xludf.DUMMYFUNCTION("""COMPUTED_VALUE"""),2026.0)</f>
        <v>2026</v>
      </c>
      <c r="D919" s="1">
        <f>IFERROR(__xludf.DUMMYFUNCTION("""COMPUTED_VALUE"""),46207.0)</f>
        <v>46207</v>
      </c>
      <c r="E919" s="1" t="str">
        <f>IFERROR(__xludf.DUMMYFUNCTION("""COMPUTED_VALUE"""),"VF")</f>
        <v>VF</v>
      </c>
      <c r="F919" s="1">
        <f>IFERROR(__xludf.DUMMYFUNCTION("""COMPUTED_VALUE"""),5.0)</f>
        <v>5</v>
      </c>
      <c r="G919" s="1" t="str">
        <f>IFERROR(__xludf.DUMMYFUNCTION("""COMPUTED_VALUE"""),"PR057")</f>
        <v>PR057</v>
      </c>
      <c r="H919" s="1" t="str">
        <f>IFERROR(__xludf.DUMMYFUNCTION("""COMPUTED_VALUE"""),"VD047")</f>
        <v>VD047</v>
      </c>
      <c r="I919" s="1">
        <f>IFERROR(__xludf.DUMMYFUNCTION("""COMPUTED_VALUE"""),12.0)</f>
        <v>12</v>
      </c>
      <c r="J919" s="1">
        <f>IFERROR(__xludf.DUMMYFUNCTION("""COMPUTED_VALUE"""),1121.95)</f>
        <v>1121.95</v>
      </c>
      <c r="K919" s="1">
        <f>IFERROR(__xludf.DUMMYFUNCTION("""COMPUTED_VALUE"""),1121.95)</f>
        <v>1121.95</v>
      </c>
    </row>
    <row r="920">
      <c r="A920" s="1">
        <f>IFERROR(__xludf.DUMMYFUNCTION("""COMPUTED_VALUE"""),1000.0)</f>
        <v>1000</v>
      </c>
      <c r="B920" s="1">
        <f>IFERROR(__xludf.DUMMYFUNCTION("""COMPUTED_VALUE"""),184121.0)</f>
        <v>184121</v>
      </c>
      <c r="C920" s="1">
        <f>IFERROR(__xludf.DUMMYFUNCTION("""COMPUTED_VALUE"""),2026.0)</f>
        <v>2026</v>
      </c>
      <c r="D920" s="1">
        <f>IFERROR(__xludf.DUMMYFUNCTION("""COMPUTED_VALUE"""),46206.0)</f>
        <v>46206</v>
      </c>
      <c r="E920" s="1" t="str">
        <f>IFERROR(__xludf.DUMMYFUNCTION("""COMPUTED_VALUE"""),"VF")</f>
        <v>VF</v>
      </c>
      <c r="F920" s="1">
        <f>IFERROR(__xludf.DUMMYFUNCTION("""COMPUTED_VALUE"""),1.0)</f>
        <v>1</v>
      </c>
      <c r="G920" s="1" t="str">
        <f>IFERROR(__xludf.DUMMYFUNCTION("""COMPUTED_VALUE"""),"PR050")</f>
        <v>PR050</v>
      </c>
      <c r="H920" s="1" t="str">
        <f>IFERROR(__xludf.DUMMYFUNCTION("""COMPUTED_VALUE"""),"VD031")</f>
        <v>VD031</v>
      </c>
      <c r="I920" s="1">
        <f>IFERROR(__xludf.DUMMYFUNCTION("""COMPUTED_VALUE"""),20.0)</f>
        <v>20</v>
      </c>
      <c r="J920" s="1">
        <f>IFERROR(__xludf.DUMMYFUNCTION("""COMPUTED_VALUE"""),697.48)</f>
        <v>697.48</v>
      </c>
      <c r="K920" s="1">
        <f>IFERROR(__xludf.DUMMYFUNCTION("""COMPUTED_VALUE"""),697.48)</f>
        <v>697.48</v>
      </c>
    </row>
    <row r="921">
      <c r="A921" s="1">
        <f>IFERROR(__xludf.DUMMYFUNCTION("""COMPUTED_VALUE"""),1000.0)</f>
        <v>1000</v>
      </c>
      <c r="B921" s="1">
        <f>IFERROR(__xludf.DUMMYFUNCTION("""COMPUTED_VALUE"""),184121.0)</f>
        <v>184121</v>
      </c>
      <c r="C921" s="1">
        <f>IFERROR(__xludf.DUMMYFUNCTION("""COMPUTED_VALUE"""),2026.0)</f>
        <v>2026</v>
      </c>
      <c r="D921" s="1">
        <f>IFERROR(__xludf.DUMMYFUNCTION("""COMPUTED_VALUE"""),46206.0)</f>
        <v>46206</v>
      </c>
      <c r="E921" s="1" t="str">
        <f>IFERROR(__xludf.DUMMYFUNCTION("""COMPUTED_VALUE"""),"VF")</f>
        <v>VF</v>
      </c>
      <c r="F921" s="1">
        <f>IFERROR(__xludf.DUMMYFUNCTION("""COMPUTED_VALUE"""),2.0)</f>
        <v>2</v>
      </c>
      <c r="G921" s="1" t="str">
        <f>IFERROR(__xludf.DUMMYFUNCTION("""COMPUTED_VALUE"""),"PR012")</f>
        <v>PR012</v>
      </c>
      <c r="H921" s="1" t="str">
        <f>IFERROR(__xludf.DUMMYFUNCTION("""COMPUTED_VALUE"""),"VD020")</f>
        <v>VD020</v>
      </c>
      <c r="I921" s="1">
        <f>IFERROR(__xludf.DUMMYFUNCTION("""COMPUTED_VALUE"""),14.0)</f>
        <v>14</v>
      </c>
      <c r="J921" s="1">
        <f>IFERROR(__xludf.DUMMYFUNCTION("""COMPUTED_VALUE"""),711.98)</f>
        <v>711.98</v>
      </c>
      <c r="K921" s="1">
        <f>IFERROR(__xludf.DUMMYFUNCTION("""COMPUTED_VALUE"""),711.98)</f>
        <v>711.98</v>
      </c>
    </row>
    <row r="922">
      <c r="A922" s="1">
        <f>IFERROR(__xludf.DUMMYFUNCTION("""COMPUTED_VALUE"""),1000.0)</f>
        <v>1000</v>
      </c>
      <c r="B922" s="1">
        <f>IFERROR(__xludf.DUMMYFUNCTION("""COMPUTED_VALUE"""),184121.0)</f>
        <v>184121</v>
      </c>
      <c r="C922" s="1">
        <f>IFERROR(__xludf.DUMMYFUNCTION("""COMPUTED_VALUE"""),2026.0)</f>
        <v>2026</v>
      </c>
      <c r="D922" s="1">
        <f>IFERROR(__xludf.DUMMYFUNCTION("""COMPUTED_VALUE"""),46206.0)</f>
        <v>46206</v>
      </c>
      <c r="E922" s="1" t="str">
        <f>IFERROR(__xludf.DUMMYFUNCTION("""COMPUTED_VALUE"""),"VF")</f>
        <v>VF</v>
      </c>
      <c r="F922" s="1">
        <f>IFERROR(__xludf.DUMMYFUNCTION("""COMPUTED_VALUE"""),3.0)</f>
        <v>3</v>
      </c>
      <c r="G922" s="1" t="str">
        <f>IFERROR(__xludf.DUMMYFUNCTION("""COMPUTED_VALUE"""),"PR011")</f>
        <v>PR011</v>
      </c>
      <c r="H922" s="1" t="str">
        <f>IFERROR(__xludf.DUMMYFUNCTION("""COMPUTED_VALUE"""),"VD038")</f>
        <v>VD038</v>
      </c>
      <c r="I922" s="1">
        <f>IFERROR(__xludf.DUMMYFUNCTION("""COMPUTED_VALUE"""),10.0)</f>
        <v>10</v>
      </c>
      <c r="J922" s="1">
        <f>IFERROR(__xludf.DUMMYFUNCTION("""COMPUTED_VALUE"""),492.45)</f>
        <v>492.45</v>
      </c>
      <c r="K922" s="1">
        <f>IFERROR(__xludf.DUMMYFUNCTION("""COMPUTED_VALUE"""),492.45)</f>
        <v>492.45</v>
      </c>
    </row>
    <row r="923">
      <c r="A923" s="1">
        <f>IFERROR(__xludf.DUMMYFUNCTION("""COMPUTED_VALUE"""),1000.0)</f>
        <v>1000</v>
      </c>
      <c r="B923" s="1">
        <f>IFERROR(__xludf.DUMMYFUNCTION("""COMPUTED_VALUE"""),184122.0)</f>
        <v>184122</v>
      </c>
      <c r="C923" s="1">
        <f>IFERROR(__xludf.DUMMYFUNCTION("""COMPUTED_VALUE"""),2026.0)</f>
        <v>2026</v>
      </c>
      <c r="D923" s="1">
        <f>IFERROR(__xludf.DUMMYFUNCTION("""COMPUTED_VALUE"""),46205.0)</f>
        <v>46205</v>
      </c>
      <c r="E923" s="1" t="str">
        <f>IFERROR(__xludf.DUMMYFUNCTION("""COMPUTED_VALUE"""),"VF")</f>
        <v>VF</v>
      </c>
      <c r="F923" s="1">
        <f>IFERROR(__xludf.DUMMYFUNCTION("""COMPUTED_VALUE"""),1.0)</f>
        <v>1</v>
      </c>
      <c r="G923" s="1" t="str">
        <f>IFERROR(__xludf.DUMMYFUNCTION("""COMPUTED_VALUE"""),"PR024")</f>
        <v>PR024</v>
      </c>
      <c r="H923" s="1" t="str">
        <f>IFERROR(__xludf.DUMMYFUNCTION("""COMPUTED_VALUE"""),"VD041")</f>
        <v>VD041</v>
      </c>
      <c r="I923" s="1">
        <f>IFERROR(__xludf.DUMMYFUNCTION("""COMPUTED_VALUE"""),2.0)</f>
        <v>2</v>
      </c>
      <c r="J923" s="1">
        <f>IFERROR(__xludf.DUMMYFUNCTION("""COMPUTED_VALUE"""),550.99)</f>
        <v>550.99</v>
      </c>
      <c r="K923" s="1">
        <f>IFERROR(__xludf.DUMMYFUNCTION("""COMPUTED_VALUE"""),550.99)</f>
        <v>550.99</v>
      </c>
    </row>
    <row r="924">
      <c r="A924" s="1">
        <f>IFERROR(__xludf.DUMMYFUNCTION("""COMPUTED_VALUE"""),1000.0)</f>
        <v>1000</v>
      </c>
      <c r="B924" s="1">
        <f>IFERROR(__xludf.DUMMYFUNCTION("""COMPUTED_VALUE"""),184123.0)</f>
        <v>184123</v>
      </c>
      <c r="C924" s="1">
        <f>IFERROR(__xludf.DUMMYFUNCTION("""COMPUTED_VALUE"""),2026.0)</f>
        <v>2026</v>
      </c>
      <c r="D924" s="1">
        <f>IFERROR(__xludf.DUMMYFUNCTION("""COMPUTED_VALUE"""),46205.0)</f>
        <v>46205</v>
      </c>
      <c r="E924" s="1" t="str">
        <f>IFERROR(__xludf.DUMMYFUNCTION("""COMPUTED_VALUE"""),"VF")</f>
        <v>VF</v>
      </c>
      <c r="F924" s="1">
        <f>IFERROR(__xludf.DUMMYFUNCTION("""COMPUTED_VALUE"""),1.0)</f>
        <v>1</v>
      </c>
      <c r="G924" s="1" t="str">
        <f>IFERROR(__xludf.DUMMYFUNCTION("""COMPUTED_VALUE"""),"PR049")</f>
        <v>PR049</v>
      </c>
      <c r="H924" s="1" t="str">
        <f>IFERROR(__xludf.DUMMYFUNCTION("""COMPUTED_VALUE"""),"VD017")</f>
        <v>VD017</v>
      </c>
      <c r="I924" s="1">
        <f>IFERROR(__xludf.DUMMYFUNCTION("""COMPUTED_VALUE"""),20.0)</f>
        <v>20</v>
      </c>
      <c r="J924" s="1">
        <f>IFERROR(__xludf.DUMMYFUNCTION("""COMPUTED_VALUE"""),671.16)</f>
        <v>671.16</v>
      </c>
      <c r="K924" s="1">
        <f>IFERROR(__xludf.DUMMYFUNCTION("""COMPUTED_VALUE"""),671.16)</f>
        <v>671.16</v>
      </c>
    </row>
    <row r="925">
      <c r="A925" s="1">
        <f>IFERROR(__xludf.DUMMYFUNCTION("""COMPUTED_VALUE"""),1000.0)</f>
        <v>1000</v>
      </c>
      <c r="B925" s="1">
        <f>IFERROR(__xludf.DUMMYFUNCTION("""COMPUTED_VALUE"""),184124.0)</f>
        <v>184124</v>
      </c>
      <c r="C925" s="1">
        <f>IFERROR(__xludf.DUMMYFUNCTION("""COMPUTED_VALUE"""),2026.0)</f>
        <v>2026</v>
      </c>
      <c r="D925" s="1">
        <f>IFERROR(__xludf.DUMMYFUNCTION("""COMPUTED_VALUE"""),46204.0)</f>
        <v>46204</v>
      </c>
      <c r="E925" s="1" t="str">
        <f>IFERROR(__xludf.DUMMYFUNCTION("""COMPUTED_VALUE"""),"VF")</f>
        <v>VF</v>
      </c>
      <c r="F925" s="1">
        <f>IFERROR(__xludf.DUMMYFUNCTION("""COMPUTED_VALUE"""),1.0)</f>
        <v>1</v>
      </c>
      <c r="G925" s="1" t="str">
        <f>IFERROR(__xludf.DUMMYFUNCTION("""COMPUTED_VALUE"""),"PR050")</f>
        <v>PR050</v>
      </c>
      <c r="H925" s="1" t="str">
        <f>IFERROR(__xludf.DUMMYFUNCTION("""COMPUTED_VALUE"""),"VD011")</f>
        <v>VD011</v>
      </c>
      <c r="I925" s="1">
        <f>IFERROR(__xludf.DUMMYFUNCTION("""COMPUTED_VALUE"""),2.0)</f>
        <v>2</v>
      </c>
      <c r="J925" s="1">
        <f>IFERROR(__xludf.DUMMYFUNCTION("""COMPUTED_VALUE"""),71.06)</f>
        <v>71.06</v>
      </c>
      <c r="K925" s="1">
        <f>IFERROR(__xludf.DUMMYFUNCTION("""COMPUTED_VALUE"""),71.06)</f>
        <v>71.06</v>
      </c>
    </row>
    <row r="926">
      <c r="A926" s="1">
        <f>IFERROR(__xludf.DUMMYFUNCTION("""COMPUTED_VALUE"""),2000.0)</f>
        <v>2000</v>
      </c>
      <c r="B926" s="1">
        <f>IFERROR(__xludf.DUMMYFUNCTION("""COMPUTED_VALUE"""),184124.0)</f>
        <v>184124</v>
      </c>
      <c r="C926" s="1">
        <f>IFERROR(__xludf.DUMMYFUNCTION("""COMPUTED_VALUE"""),2026.0)</f>
        <v>2026</v>
      </c>
      <c r="D926" s="1">
        <f>IFERROR(__xludf.DUMMYFUNCTION("""COMPUTED_VALUE"""),46204.0)</f>
        <v>46204</v>
      </c>
      <c r="E926" s="1" t="str">
        <f>IFERROR(__xludf.DUMMYFUNCTION("""COMPUTED_VALUE"""),"VF")</f>
        <v>VF</v>
      </c>
      <c r="F926" s="1">
        <f>IFERROR(__xludf.DUMMYFUNCTION("""COMPUTED_VALUE"""),2.0)</f>
        <v>2</v>
      </c>
      <c r="G926" s="1" t="str">
        <f>IFERROR(__xludf.DUMMYFUNCTION("""COMPUTED_VALUE"""),"PR008")</f>
        <v>PR008</v>
      </c>
      <c r="H926" s="1" t="str">
        <f>IFERROR(__xludf.DUMMYFUNCTION("""COMPUTED_VALUE"""),"VD046")</f>
        <v>VD046</v>
      </c>
      <c r="I926" s="1">
        <f>IFERROR(__xludf.DUMMYFUNCTION("""COMPUTED_VALUE"""),2.0)</f>
        <v>2</v>
      </c>
      <c r="J926" s="1">
        <f>IFERROR(__xludf.DUMMYFUNCTION("""COMPUTED_VALUE"""),186.99)</f>
        <v>186.99</v>
      </c>
      <c r="K926" s="1">
        <f>IFERROR(__xludf.DUMMYFUNCTION("""COMPUTED_VALUE"""),186.99)</f>
        <v>186.99</v>
      </c>
    </row>
    <row r="927">
      <c r="A927" s="1">
        <f>IFERROR(__xludf.DUMMYFUNCTION("""COMPUTED_VALUE"""),2000.0)</f>
        <v>2000</v>
      </c>
      <c r="B927" s="1">
        <f>IFERROR(__xludf.DUMMYFUNCTION("""COMPUTED_VALUE"""),184124.0)</f>
        <v>184124</v>
      </c>
      <c r="C927" s="1">
        <f>IFERROR(__xludf.DUMMYFUNCTION("""COMPUTED_VALUE"""),2026.0)</f>
        <v>2026</v>
      </c>
      <c r="D927" s="1">
        <f>IFERROR(__xludf.DUMMYFUNCTION("""COMPUTED_VALUE"""),46204.0)</f>
        <v>46204</v>
      </c>
      <c r="E927" s="1" t="str">
        <f>IFERROR(__xludf.DUMMYFUNCTION("""COMPUTED_VALUE"""),"VF")</f>
        <v>VF</v>
      </c>
      <c r="F927" s="1">
        <f>IFERROR(__xludf.DUMMYFUNCTION("""COMPUTED_VALUE"""),3.0)</f>
        <v>3</v>
      </c>
      <c r="G927" s="1" t="str">
        <f>IFERROR(__xludf.DUMMYFUNCTION("""COMPUTED_VALUE"""),"PR024")</f>
        <v>PR024</v>
      </c>
      <c r="H927" s="1" t="str">
        <f>IFERROR(__xludf.DUMMYFUNCTION("""COMPUTED_VALUE"""),"VD039")</f>
        <v>VD039</v>
      </c>
      <c r="I927" s="1">
        <f>IFERROR(__xludf.DUMMYFUNCTION("""COMPUTED_VALUE"""),2.0)</f>
        <v>2</v>
      </c>
      <c r="J927" s="1">
        <f>IFERROR(__xludf.DUMMYFUNCTION("""COMPUTED_VALUE"""),561.38)</f>
        <v>561.38</v>
      </c>
      <c r="K927" s="1">
        <f>IFERROR(__xludf.DUMMYFUNCTION("""COMPUTED_VALUE"""),561.38)</f>
        <v>561.38</v>
      </c>
    </row>
    <row r="928">
      <c r="A928" s="1">
        <f>IFERROR(__xludf.DUMMYFUNCTION("""COMPUTED_VALUE"""),1000.0)</f>
        <v>1000</v>
      </c>
      <c r="B928" s="1">
        <f>IFERROR(__xludf.DUMMYFUNCTION("""COMPUTED_VALUE"""),184125.0)</f>
        <v>184125</v>
      </c>
      <c r="C928" s="1">
        <f>IFERROR(__xludf.DUMMYFUNCTION("""COMPUTED_VALUE"""),2026.0)</f>
        <v>2026</v>
      </c>
      <c r="D928" s="1">
        <f>IFERROR(__xludf.DUMMYFUNCTION("""COMPUTED_VALUE"""),46203.0)</f>
        <v>46203</v>
      </c>
      <c r="E928" s="1" t="str">
        <f>IFERROR(__xludf.DUMMYFUNCTION("""COMPUTED_VALUE"""),"VF")</f>
        <v>VF</v>
      </c>
      <c r="F928" s="1">
        <f>IFERROR(__xludf.DUMMYFUNCTION("""COMPUTED_VALUE"""),1.0)</f>
        <v>1</v>
      </c>
      <c r="G928" s="1" t="str">
        <f>IFERROR(__xludf.DUMMYFUNCTION("""COMPUTED_VALUE"""),"PR016")</f>
        <v>PR016</v>
      </c>
      <c r="H928" s="1" t="str">
        <f>IFERROR(__xludf.DUMMYFUNCTION("""COMPUTED_VALUE"""),"VD028")</f>
        <v>VD028</v>
      </c>
      <c r="I928" s="1">
        <f>IFERROR(__xludf.DUMMYFUNCTION("""COMPUTED_VALUE"""),5.0)</f>
        <v>5</v>
      </c>
      <c r="J928" s="1">
        <f>IFERROR(__xludf.DUMMYFUNCTION("""COMPUTED_VALUE"""),132.09)</f>
        <v>132.09</v>
      </c>
      <c r="K928" s="1">
        <f>IFERROR(__xludf.DUMMYFUNCTION("""COMPUTED_VALUE"""),132.09)</f>
        <v>132.09</v>
      </c>
    </row>
    <row r="929">
      <c r="A929" s="1">
        <f>IFERROR(__xludf.DUMMYFUNCTION("""COMPUTED_VALUE"""),1000.0)</f>
        <v>1000</v>
      </c>
      <c r="B929" s="1">
        <f>IFERROR(__xludf.DUMMYFUNCTION("""COMPUTED_VALUE"""),184125.0)</f>
        <v>184125</v>
      </c>
      <c r="C929" s="1">
        <f>IFERROR(__xludf.DUMMYFUNCTION("""COMPUTED_VALUE"""),2026.0)</f>
        <v>2026</v>
      </c>
      <c r="D929" s="1">
        <f>IFERROR(__xludf.DUMMYFUNCTION("""COMPUTED_VALUE"""),46203.0)</f>
        <v>46203</v>
      </c>
      <c r="E929" s="1" t="str">
        <f>IFERROR(__xludf.DUMMYFUNCTION("""COMPUTED_VALUE"""),"VF")</f>
        <v>VF</v>
      </c>
      <c r="F929" s="1">
        <f>IFERROR(__xludf.DUMMYFUNCTION("""COMPUTED_VALUE"""),2.0)</f>
        <v>2</v>
      </c>
      <c r="G929" s="1" t="str">
        <f>IFERROR(__xludf.DUMMYFUNCTION("""COMPUTED_VALUE"""),"PR025")</f>
        <v>PR025</v>
      </c>
      <c r="H929" s="1" t="str">
        <f>IFERROR(__xludf.DUMMYFUNCTION("""COMPUTED_VALUE"""),"VD047")</f>
        <v>VD047</v>
      </c>
      <c r="I929" s="1">
        <f>IFERROR(__xludf.DUMMYFUNCTION("""COMPUTED_VALUE"""),20.0)</f>
        <v>20</v>
      </c>
      <c r="J929" s="1">
        <f>IFERROR(__xludf.DUMMYFUNCTION("""COMPUTED_VALUE"""),6297.9)</f>
        <v>6297.9</v>
      </c>
      <c r="K929" s="1">
        <f>IFERROR(__xludf.DUMMYFUNCTION("""COMPUTED_VALUE"""),6297.9)</f>
        <v>6297.9</v>
      </c>
    </row>
    <row r="930">
      <c r="A930" s="1">
        <f>IFERROR(__xludf.DUMMYFUNCTION("""COMPUTED_VALUE"""),2000.0)</f>
        <v>2000</v>
      </c>
      <c r="B930" s="1">
        <f>IFERROR(__xludf.DUMMYFUNCTION("""COMPUTED_VALUE"""),184126.0)</f>
        <v>184126</v>
      </c>
      <c r="C930" s="1">
        <f>IFERROR(__xludf.DUMMYFUNCTION("""COMPUTED_VALUE"""),2026.0)</f>
        <v>2026</v>
      </c>
      <c r="D930" s="1">
        <f>IFERROR(__xludf.DUMMYFUNCTION("""COMPUTED_VALUE"""),46203.0)</f>
        <v>46203</v>
      </c>
      <c r="E930" s="1" t="str">
        <f>IFERROR(__xludf.DUMMYFUNCTION("""COMPUTED_VALUE"""),"VF")</f>
        <v>VF</v>
      </c>
      <c r="F930" s="1">
        <f>IFERROR(__xludf.DUMMYFUNCTION("""COMPUTED_VALUE"""),1.0)</f>
        <v>1</v>
      </c>
      <c r="G930" s="1" t="str">
        <f>IFERROR(__xludf.DUMMYFUNCTION("""COMPUTED_VALUE"""),"PR055")</f>
        <v>PR055</v>
      </c>
      <c r="H930" s="1" t="str">
        <f>IFERROR(__xludf.DUMMYFUNCTION("""COMPUTED_VALUE"""),"VD047")</f>
        <v>VD047</v>
      </c>
      <c r="I930" s="1">
        <f>IFERROR(__xludf.DUMMYFUNCTION("""COMPUTED_VALUE"""),8.0)</f>
        <v>8</v>
      </c>
      <c r="J930" s="1">
        <f>IFERROR(__xludf.DUMMYFUNCTION("""COMPUTED_VALUE"""),783.93)</f>
        <v>783.93</v>
      </c>
      <c r="K930" s="1">
        <f>IFERROR(__xludf.DUMMYFUNCTION("""COMPUTED_VALUE"""),783.93)</f>
        <v>783.93</v>
      </c>
    </row>
    <row r="931">
      <c r="A931" s="1">
        <f>IFERROR(__xludf.DUMMYFUNCTION("""COMPUTED_VALUE"""),1000.0)</f>
        <v>1000</v>
      </c>
      <c r="B931" s="1">
        <f>IFERROR(__xludf.DUMMYFUNCTION("""COMPUTED_VALUE"""),184126.0)</f>
        <v>184126</v>
      </c>
      <c r="C931" s="1">
        <f>IFERROR(__xludf.DUMMYFUNCTION("""COMPUTED_VALUE"""),2026.0)</f>
        <v>2026</v>
      </c>
      <c r="D931" s="1">
        <f>IFERROR(__xludf.DUMMYFUNCTION("""COMPUTED_VALUE"""),46203.0)</f>
        <v>46203</v>
      </c>
      <c r="E931" s="1" t="str">
        <f>IFERROR(__xludf.DUMMYFUNCTION("""COMPUTED_VALUE"""),"VF")</f>
        <v>VF</v>
      </c>
      <c r="F931" s="1">
        <f>IFERROR(__xludf.DUMMYFUNCTION("""COMPUTED_VALUE"""),2.0)</f>
        <v>2</v>
      </c>
      <c r="G931" s="1" t="str">
        <f>IFERROR(__xludf.DUMMYFUNCTION("""COMPUTED_VALUE"""),"PR047")</f>
        <v>PR047</v>
      </c>
      <c r="H931" s="1" t="str">
        <f>IFERROR(__xludf.DUMMYFUNCTION("""COMPUTED_VALUE"""),"VD025")</f>
        <v>VD025</v>
      </c>
      <c r="I931" s="1">
        <f>IFERROR(__xludf.DUMMYFUNCTION("""COMPUTED_VALUE"""),7.0)</f>
        <v>7</v>
      </c>
      <c r="J931" s="1">
        <f>IFERROR(__xludf.DUMMYFUNCTION("""COMPUTED_VALUE"""),2110.47)</f>
        <v>2110.47</v>
      </c>
      <c r="K931" s="1">
        <f>IFERROR(__xludf.DUMMYFUNCTION("""COMPUTED_VALUE"""),2110.47)</f>
        <v>2110.47</v>
      </c>
    </row>
    <row r="932">
      <c r="A932" s="1">
        <f>IFERROR(__xludf.DUMMYFUNCTION("""COMPUTED_VALUE"""),1000.0)</f>
        <v>1000</v>
      </c>
      <c r="B932" s="1">
        <f>IFERROR(__xludf.DUMMYFUNCTION("""COMPUTED_VALUE"""),184127.0)</f>
        <v>184127</v>
      </c>
      <c r="C932" s="1">
        <f>IFERROR(__xludf.DUMMYFUNCTION("""COMPUTED_VALUE"""),2026.0)</f>
        <v>2026</v>
      </c>
      <c r="D932" s="1">
        <f>IFERROR(__xludf.DUMMYFUNCTION("""COMPUTED_VALUE"""),46203.0)</f>
        <v>46203</v>
      </c>
      <c r="E932" s="1" t="str">
        <f>IFERROR(__xludf.DUMMYFUNCTION("""COMPUTED_VALUE"""),"VF")</f>
        <v>VF</v>
      </c>
      <c r="F932" s="1">
        <f>IFERROR(__xludf.DUMMYFUNCTION("""COMPUTED_VALUE"""),1.0)</f>
        <v>1</v>
      </c>
      <c r="G932" s="1" t="str">
        <f>IFERROR(__xludf.DUMMYFUNCTION("""COMPUTED_VALUE"""),"PR001")</f>
        <v>PR001</v>
      </c>
      <c r="H932" s="1" t="str">
        <f>IFERROR(__xludf.DUMMYFUNCTION("""COMPUTED_VALUE"""),"VD012")</f>
        <v>VD012</v>
      </c>
      <c r="I932" s="1">
        <f>IFERROR(__xludf.DUMMYFUNCTION("""COMPUTED_VALUE"""),12.0)</f>
        <v>12</v>
      </c>
      <c r="J932" s="1">
        <f>IFERROR(__xludf.DUMMYFUNCTION("""COMPUTED_VALUE"""),846.16)</f>
        <v>846.16</v>
      </c>
      <c r="K932" s="1">
        <f>IFERROR(__xludf.DUMMYFUNCTION("""COMPUTED_VALUE"""),846.16)</f>
        <v>846.16</v>
      </c>
    </row>
    <row r="933">
      <c r="A933" s="1">
        <f>IFERROR(__xludf.DUMMYFUNCTION("""COMPUTED_VALUE"""),1000.0)</f>
        <v>1000</v>
      </c>
      <c r="B933" s="1">
        <f>IFERROR(__xludf.DUMMYFUNCTION("""COMPUTED_VALUE"""),184128.0)</f>
        <v>184128</v>
      </c>
      <c r="C933" s="1">
        <f>IFERROR(__xludf.DUMMYFUNCTION("""COMPUTED_VALUE"""),2026.0)</f>
        <v>2026</v>
      </c>
      <c r="D933" s="1">
        <f>IFERROR(__xludf.DUMMYFUNCTION("""COMPUTED_VALUE"""),46203.0)</f>
        <v>46203</v>
      </c>
      <c r="E933" s="1" t="str">
        <f>IFERROR(__xludf.DUMMYFUNCTION("""COMPUTED_VALUE"""),"VF")</f>
        <v>VF</v>
      </c>
      <c r="F933" s="1">
        <f>IFERROR(__xludf.DUMMYFUNCTION("""COMPUTED_VALUE"""),1.0)</f>
        <v>1</v>
      </c>
      <c r="G933" s="1" t="str">
        <f>IFERROR(__xludf.DUMMYFUNCTION("""COMPUTED_VALUE"""),"PR017")</f>
        <v>PR017</v>
      </c>
      <c r="H933" s="1" t="str">
        <f>IFERROR(__xludf.DUMMYFUNCTION("""COMPUTED_VALUE"""),"VD032")</f>
        <v>VD032</v>
      </c>
      <c r="I933" s="1">
        <f>IFERROR(__xludf.DUMMYFUNCTION("""COMPUTED_VALUE"""),18.0)</f>
        <v>18</v>
      </c>
      <c r="J933" s="1">
        <f>IFERROR(__xludf.DUMMYFUNCTION("""COMPUTED_VALUE"""),559.73)</f>
        <v>559.73</v>
      </c>
      <c r="K933" s="1">
        <f>IFERROR(__xludf.DUMMYFUNCTION("""COMPUTED_VALUE"""),559.73)</f>
        <v>559.73</v>
      </c>
    </row>
    <row r="934">
      <c r="A934" s="1">
        <f>IFERROR(__xludf.DUMMYFUNCTION("""COMPUTED_VALUE"""),1000.0)</f>
        <v>1000</v>
      </c>
      <c r="B934" s="1">
        <f>IFERROR(__xludf.DUMMYFUNCTION("""COMPUTED_VALUE"""),184129.0)</f>
        <v>184129</v>
      </c>
      <c r="C934" s="1">
        <f>IFERROR(__xludf.DUMMYFUNCTION("""COMPUTED_VALUE"""),2026.0)</f>
        <v>2026</v>
      </c>
      <c r="D934" s="1">
        <f>IFERROR(__xludf.DUMMYFUNCTION("""COMPUTED_VALUE"""),46203.0)</f>
        <v>46203</v>
      </c>
      <c r="E934" s="1" t="str">
        <f>IFERROR(__xludf.DUMMYFUNCTION("""COMPUTED_VALUE"""),"VF")</f>
        <v>VF</v>
      </c>
      <c r="F934" s="1">
        <f>IFERROR(__xludf.DUMMYFUNCTION("""COMPUTED_VALUE"""),1.0)</f>
        <v>1</v>
      </c>
      <c r="G934" s="1" t="str">
        <f>IFERROR(__xludf.DUMMYFUNCTION("""COMPUTED_VALUE"""),"PR031")</f>
        <v>PR031</v>
      </c>
      <c r="H934" s="1" t="str">
        <f>IFERROR(__xludf.DUMMYFUNCTION("""COMPUTED_VALUE"""),"VD039")</f>
        <v>VD039</v>
      </c>
      <c r="I934" s="1">
        <f>IFERROR(__xludf.DUMMYFUNCTION("""COMPUTED_VALUE"""),2.0)</f>
        <v>2</v>
      </c>
      <c r="J934" s="1">
        <f>IFERROR(__xludf.DUMMYFUNCTION("""COMPUTED_VALUE"""),529.2)</f>
        <v>529.2</v>
      </c>
      <c r="K934" s="1">
        <f>IFERROR(__xludf.DUMMYFUNCTION("""COMPUTED_VALUE"""),529.2)</f>
        <v>529.2</v>
      </c>
    </row>
    <row r="935">
      <c r="A935" s="1">
        <f>IFERROR(__xludf.DUMMYFUNCTION("""COMPUTED_VALUE"""),1000.0)</f>
        <v>1000</v>
      </c>
      <c r="B935" s="1">
        <f>IFERROR(__xludf.DUMMYFUNCTION("""COMPUTED_VALUE"""),184130.0)</f>
        <v>184130</v>
      </c>
      <c r="C935" s="1">
        <f>IFERROR(__xludf.DUMMYFUNCTION("""COMPUTED_VALUE"""),2026.0)</f>
        <v>2026</v>
      </c>
      <c r="D935" s="1">
        <f>IFERROR(__xludf.DUMMYFUNCTION("""COMPUTED_VALUE"""),46203.0)</f>
        <v>46203</v>
      </c>
      <c r="E935" s="1" t="str">
        <f>IFERROR(__xludf.DUMMYFUNCTION("""COMPUTED_VALUE"""),"VF")</f>
        <v>VF</v>
      </c>
      <c r="F935" s="1">
        <f>IFERROR(__xludf.DUMMYFUNCTION("""COMPUTED_VALUE"""),1.0)</f>
        <v>1</v>
      </c>
      <c r="G935" s="1" t="str">
        <f>IFERROR(__xludf.DUMMYFUNCTION("""COMPUTED_VALUE"""),"PR059")</f>
        <v>PR059</v>
      </c>
      <c r="H935" s="1" t="str">
        <f>IFERROR(__xludf.DUMMYFUNCTION("""COMPUTED_VALUE"""),"VD024")</f>
        <v>VD024</v>
      </c>
      <c r="I935" s="1">
        <f>IFERROR(__xludf.DUMMYFUNCTION("""COMPUTED_VALUE"""),14.0)</f>
        <v>14</v>
      </c>
      <c r="J935" s="1">
        <f>IFERROR(__xludf.DUMMYFUNCTION("""COMPUTED_VALUE"""),2570.4)</f>
        <v>2570.4</v>
      </c>
      <c r="K935" s="1">
        <f>IFERROR(__xludf.DUMMYFUNCTION("""COMPUTED_VALUE"""),2570.4)</f>
        <v>2570.4</v>
      </c>
    </row>
    <row r="936">
      <c r="A936" s="1">
        <f>IFERROR(__xludf.DUMMYFUNCTION("""COMPUTED_VALUE"""),1000.0)</f>
        <v>1000</v>
      </c>
      <c r="B936" s="1">
        <f>IFERROR(__xludf.DUMMYFUNCTION("""COMPUTED_VALUE"""),184131.0)</f>
        <v>184131</v>
      </c>
      <c r="C936" s="1">
        <f>IFERROR(__xludf.DUMMYFUNCTION("""COMPUTED_VALUE"""),2026.0)</f>
        <v>2026</v>
      </c>
      <c r="D936" s="1">
        <f>IFERROR(__xludf.DUMMYFUNCTION("""COMPUTED_VALUE"""),46203.0)</f>
        <v>46203</v>
      </c>
      <c r="E936" s="1" t="str">
        <f>IFERROR(__xludf.DUMMYFUNCTION("""COMPUTED_VALUE"""),"VF")</f>
        <v>VF</v>
      </c>
      <c r="F936" s="1">
        <f>IFERROR(__xludf.DUMMYFUNCTION("""COMPUTED_VALUE"""),1.0)</f>
        <v>1</v>
      </c>
      <c r="G936" s="1" t="str">
        <f>IFERROR(__xludf.DUMMYFUNCTION("""COMPUTED_VALUE"""),"PR008")</f>
        <v>PR008</v>
      </c>
      <c r="H936" s="1" t="str">
        <f>IFERROR(__xludf.DUMMYFUNCTION("""COMPUTED_VALUE"""),"VD046")</f>
        <v>VD046</v>
      </c>
      <c r="I936" s="1">
        <f>IFERROR(__xludf.DUMMYFUNCTION("""COMPUTED_VALUE"""),8.0)</f>
        <v>8</v>
      </c>
      <c r="J936" s="1">
        <f>IFERROR(__xludf.DUMMYFUNCTION("""COMPUTED_VALUE"""),776.74)</f>
        <v>776.74</v>
      </c>
      <c r="K936" s="1">
        <f>IFERROR(__xludf.DUMMYFUNCTION("""COMPUTED_VALUE"""),776.74)</f>
        <v>776.74</v>
      </c>
    </row>
    <row r="937">
      <c r="A937" s="1">
        <f>IFERROR(__xludf.DUMMYFUNCTION("""COMPUTED_VALUE"""),1000.0)</f>
        <v>1000</v>
      </c>
      <c r="B937" s="1">
        <f>IFERROR(__xludf.DUMMYFUNCTION("""COMPUTED_VALUE"""),184131.0)</f>
        <v>184131</v>
      </c>
      <c r="C937" s="1">
        <f>IFERROR(__xludf.DUMMYFUNCTION("""COMPUTED_VALUE"""),2026.0)</f>
        <v>2026</v>
      </c>
      <c r="D937" s="1">
        <f>IFERROR(__xludf.DUMMYFUNCTION("""COMPUTED_VALUE"""),46203.0)</f>
        <v>46203</v>
      </c>
      <c r="E937" s="1" t="str">
        <f>IFERROR(__xludf.DUMMYFUNCTION("""COMPUTED_VALUE"""),"VF")</f>
        <v>VF</v>
      </c>
      <c r="F937" s="1">
        <f>IFERROR(__xludf.DUMMYFUNCTION("""COMPUTED_VALUE"""),2.0)</f>
        <v>2</v>
      </c>
      <c r="G937" s="1" t="str">
        <f>IFERROR(__xludf.DUMMYFUNCTION("""COMPUTED_VALUE"""),"PR044")</f>
        <v>PR044</v>
      </c>
      <c r="H937" s="1" t="str">
        <f>IFERROR(__xludf.DUMMYFUNCTION("""COMPUTED_VALUE"""),"VD037")</f>
        <v>VD037</v>
      </c>
      <c r="I937" s="1">
        <f>IFERROR(__xludf.DUMMYFUNCTION("""COMPUTED_VALUE"""),8.0)</f>
        <v>8</v>
      </c>
      <c r="J937" s="1">
        <f>IFERROR(__xludf.DUMMYFUNCTION("""COMPUTED_VALUE"""),585.8)</f>
        <v>585.8</v>
      </c>
      <c r="K937" s="1">
        <f>IFERROR(__xludf.DUMMYFUNCTION("""COMPUTED_VALUE"""),585.8)</f>
        <v>585.8</v>
      </c>
    </row>
    <row r="938">
      <c r="A938" s="1">
        <f>IFERROR(__xludf.DUMMYFUNCTION("""COMPUTED_VALUE"""),1000.0)</f>
        <v>1000</v>
      </c>
      <c r="B938" s="1">
        <f>IFERROR(__xludf.DUMMYFUNCTION("""COMPUTED_VALUE"""),184131.0)</f>
        <v>184131</v>
      </c>
      <c r="C938" s="1">
        <f>IFERROR(__xludf.DUMMYFUNCTION("""COMPUTED_VALUE"""),2026.0)</f>
        <v>2026</v>
      </c>
      <c r="D938" s="1">
        <f>IFERROR(__xludf.DUMMYFUNCTION("""COMPUTED_VALUE"""),46202.0)</f>
        <v>46202</v>
      </c>
      <c r="E938" s="1" t="str">
        <f>IFERROR(__xludf.DUMMYFUNCTION("""COMPUTED_VALUE"""),"VF")</f>
        <v>VF</v>
      </c>
      <c r="F938" s="1">
        <f>IFERROR(__xludf.DUMMYFUNCTION("""COMPUTED_VALUE"""),3.0)</f>
        <v>3</v>
      </c>
      <c r="G938" s="1" t="str">
        <f>IFERROR(__xludf.DUMMYFUNCTION("""COMPUTED_VALUE"""),"PR034")</f>
        <v>PR034</v>
      </c>
      <c r="H938" s="1" t="str">
        <f>IFERROR(__xludf.DUMMYFUNCTION("""COMPUTED_VALUE"""),"VD020")</f>
        <v>VD020</v>
      </c>
      <c r="I938" s="1">
        <f>IFERROR(__xludf.DUMMYFUNCTION("""COMPUTED_VALUE"""),2.0)</f>
        <v>2</v>
      </c>
      <c r="J938" s="1">
        <f>IFERROR(__xludf.DUMMYFUNCTION("""COMPUTED_VALUE"""),183.4)</f>
        <v>183.4</v>
      </c>
      <c r="K938" s="1">
        <f>IFERROR(__xludf.DUMMYFUNCTION("""COMPUTED_VALUE"""),183.4)</f>
        <v>183.4</v>
      </c>
    </row>
    <row r="939">
      <c r="A939" s="1">
        <f>IFERROR(__xludf.DUMMYFUNCTION("""COMPUTED_VALUE"""),1000.0)</f>
        <v>1000</v>
      </c>
      <c r="B939" s="1">
        <f>IFERROR(__xludf.DUMMYFUNCTION("""COMPUTED_VALUE"""),184131.0)</f>
        <v>184131</v>
      </c>
      <c r="C939" s="1">
        <f>IFERROR(__xludf.DUMMYFUNCTION("""COMPUTED_VALUE"""),2026.0)</f>
        <v>2026</v>
      </c>
      <c r="D939" s="1">
        <f>IFERROR(__xludf.DUMMYFUNCTION("""COMPUTED_VALUE"""),46202.0)</f>
        <v>46202</v>
      </c>
      <c r="E939" s="1" t="str">
        <f>IFERROR(__xludf.DUMMYFUNCTION("""COMPUTED_VALUE"""),"VF")</f>
        <v>VF</v>
      </c>
      <c r="F939" s="1">
        <f>IFERROR(__xludf.DUMMYFUNCTION("""COMPUTED_VALUE"""),4.0)</f>
        <v>4</v>
      </c>
      <c r="G939" s="1" t="str">
        <f>IFERROR(__xludf.DUMMYFUNCTION("""COMPUTED_VALUE"""),"PR020")</f>
        <v>PR020</v>
      </c>
      <c r="H939" s="1" t="str">
        <f>IFERROR(__xludf.DUMMYFUNCTION("""COMPUTED_VALUE"""),"VD014")</f>
        <v>VD014</v>
      </c>
      <c r="I939" s="1">
        <f>IFERROR(__xludf.DUMMYFUNCTION("""COMPUTED_VALUE"""),8.0)</f>
        <v>8</v>
      </c>
      <c r="J939" s="1">
        <f>IFERROR(__xludf.DUMMYFUNCTION("""COMPUTED_VALUE"""),2639.12)</f>
        <v>2639.12</v>
      </c>
      <c r="K939" s="1">
        <f>IFERROR(__xludf.DUMMYFUNCTION("""COMPUTED_VALUE"""),2639.12)</f>
        <v>2639.12</v>
      </c>
    </row>
    <row r="940">
      <c r="A940" s="1">
        <f>IFERROR(__xludf.DUMMYFUNCTION("""COMPUTED_VALUE"""),1000.0)</f>
        <v>1000</v>
      </c>
      <c r="B940" s="1">
        <f>IFERROR(__xludf.DUMMYFUNCTION("""COMPUTED_VALUE"""),184132.0)</f>
        <v>184132</v>
      </c>
      <c r="C940" s="1">
        <f>IFERROR(__xludf.DUMMYFUNCTION("""COMPUTED_VALUE"""),2026.0)</f>
        <v>2026</v>
      </c>
      <c r="D940" s="1">
        <f>IFERROR(__xludf.DUMMYFUNCTION("""COMPUTED_VALUE"""),46201.0)</f>
        <v>46201</v>
      </c>
      <c r="E940" s="1" t="str">
        <f>IFERROR(__xludf.DUMMYFUNCTION("""COMPUTED_VALUE"""),"VF")</f>
        <v>VF</v>
      </c>
      <c r="F940" s="1">
        <f>IFERROR(__xludf.DUMMYFUNCTION("""COMPUTED_VALUE"""),1.0)</f>
        <v>1</v>
      </c>
      <c r="G940" s="1" t="str">
        <f>IFERROR(__xludf.DUMMYFUNCTION("""COMPUTED_VALUE"""),"PR056")</f>
        <v>PR056</v>
      </c>
      <c r="H940" s="1" t="str">
        <f>IFERROR(__xludf.DUMMYFUNCTION("""COMPUTED_VALUE"""),"VD013")</f>
        <v>VD013</v>
      </c>
      <c r="I940" s="1">
        <f>IFERROR(__xludf.DUMMYFUNCTION("""COMPUTED_VALUE"""),16.0)</f>
        <v>16</v>
      </c>
      <c r="J940" s="1">
        <f>IFERROR(__xludf.DUMMYFUNCTION("""COMPUTED_VALUE"""),1438.4)</f>
        <v>1438.4</v>
      </c>
      <c r="K940" s="1">
        <f>IFERROR(__xludf.DUMMYFUNCTION("""COMPUTED_VALUE"""),1438.4)</f>
        <v>1438.4</v>
      </c>
    </row>
    <row r="941">
      <c r="A941" s="1">
        <f>IFERROR(__xludf.DUMMYFUNCTION("""COMPUTED_VALUE"""),1000.0)</f>
        <v>1000</v>
      </c>
      <c r="B941" s="1">
        <f>IFERROR(__xludf.DUMMYFUNCTION("""COMPUTED_VALUE"""),184132.0)</f>
        <v>184132</v>
      </c>
      <c r="C941" s="1">
        <f>IFERROR(__xludf.DUMMYFUNCTION("""COMPUTED_VALUE"""),2026.0)</f>
        <v>2026</v>
      </c>
      <c r="D941" s="1">
        <f>IFERROR(__xludf.DUMMYFUNCTION("""COMPUTED_VALUE"""),46201.0)</f>
        <v>46201</v>
      </c>
      <c r="E941" s="1" t="str">
        <f>IFERROR(__xludf.DUMMYFUNCTION("""COMPUTED_VALUE"""),"VF")</f>
        <v>VF</v>
      </c>
      <c r="F941" s="1">
        <f>IFERROR(__xludf.DUMMYFUNCTION("""COMPUTED_VALUE"""),2.0)</f>
        <v>2</v>
      </c>
      <c r="G941" s="1" t="str">
        <f>IFERROR(__xludf.DUMMYFUNCTION("""COMPUTED_VALUE"""),"PR057")</f>
        <v>PR057</v>
      </c>
      <c r="H941" s="1" t="str">
        <f>IFERROR(__xludf.DUMMYFUNCTION("""COMPUTED_VALUE"""),"VD018")</f>
        <v>VD018</v>
      </c>
      <c r="I941" s="1">
        <f>IFERROR(__xludf.DUMMYFUNCTION("""COMPUTED_VALUE"""),14.0)</f>
        <v>14</v>
      </c>
      <c r="J941" s="1">
        <f>IFERROR(__xludf.DUMMYFUNCTION("""COMPUTED_VALUE"""),1346.7)</f>
        <v>1346.7</v>
      </c>
      <c r="K941" s="1">
        <f>IFERROR(__xludf.DUMMYFUNCTION("""COMPUTED_VALUE"""),1346.7)</f>
        <v>1346.7</v>
      </c>
    </row>
    <row r="942">
      <c r="A942" s="1">
        <f>IFERROR(__xludf.DUMMYFUNCTION("""COMPUTED_VALUE"""),1000.0)</f>
        <v>1000</v>
      </c>
      <c r="B942" s="1">
        <f>IFERROR(__xludf.DUMMYFUNCTION("""COMPUTED_VALUE"""),184132.0)</f>
        <v>184132</v>
      </c>
      <c r="C942" s="1">
        <f>IFERROR(__xludf.DUMMYFUNCTION("""COMPUTED_VALUE"""),2026.0)</f>
        <v>2026</v>
      </c>
      <c r="D942" s="1">
        <f>IFERROR(__xludf.DUMMYFUNCTION("""COMPUTED_VALUE"""),46201.0)</f>
        <v>46201</v>
      </c>
      <c r="E942" s="1" t="str">
        <f>IFERROR(__xludf.DUMMYFUNCTION("""COMPUTED_VALUE"""),"VF")</f>
        <v>VF</v>
      </c>
      <c r="F942" s="1">
        <f>IFERROR(__xludf.DUMMYFUNCTION("""COMPUTED_VALUE"""),3.0)</f>
        <v>3</v>
      </c>
      <c r="G942" s="1" t="str">
        <f>IFERROR(__xludf.DUMMYFUNCTION("""COMPUTED_VALUE"""),"PR038")</f>
        <v>PR038</v>
      </c>
      <c r="H942" s="1" t="str">
        <f>IFERROR(__xludf.DUMMYFUNCTION("""COMPUTED_VALUE"""),"VD031")</f>
        <v>VD031</v>
      </c>
      <c r="I942" s="1">
        <f>IFERROR(__xludf.DUMMYFUNCTION("""COMPUTED_VALUE"""),14.0)</f>
        <v>14</v>
      </c>
      <c r="J942" s="1">
        <f>IFERROR(__xludf.DUMMYFUNCTION("""COMPUTED_VALUE"""),2180.65)</f>
        <v>2180.65</v>
      </c>
      <c r="K942" s="1">
        <f>IFERROR(__xludf.DUMMYFUNCTION("""COMPUTED_VALUE"""),2180.65)</f>
        <v>2180.65</v>
      </c>
    </row>
    <row r="943">
      <c r="A943" s="1">
        <f>IFERROR(__xludf.DUMMYFUNCTION("""COMPUTED_VALUE"""),1000.0)</f>
        <v>1000</v>
      </c>
      <c r="B943" s="1">
        <f>IFERROR(__xludf.DUMMYFUNCTION("""COMPUTED_VALUE"""),184133.0)</f>
        <v>184133</v>
      </c>
      <c r="C943" s="1">
        <f>IFERROR(__xludf.DUMMYFUNCTION("""COMPUTED_VALUE"""),2026.0)</f>
        <v>2026</v>
      </c>
      <c r="D943" s="1">
        <f>IFERROR(__xludf.DUMMYFUNCTION("""COMPUTED_VALUE"""),46201.0)</f>
        <v>46201</v>
      </c>
      <c r="E943" s="1" t="str">
        <f>IFERROR(__xludf.DUMMYFUNCTION("""COMPUTED_VALUE"""),"VF")</f>
        <v>VF</v>
      </c>
      <c r="F943" s="1">
        <f>IFERROR(__xludf.DUMMYFUNCTION("""COMPUTED_VALUE"""),1.0)</f>
        <v>1</v>
      </c>
      <c r="G943" s="1" t="str">
        <f>IFERROR(__xludf.DUMMYFUNCTION("""COMPUTED_VALUE"""),"PR033")</f>
        <v>PR033</v>
      </c>
      <c r="H943" s="1" t="str">
        <f>IFERROR(__xludf.DUMMYFUNCTION("""COMPUTED_VALUE"""),"VD041")</f>
        <v>VD041</v>
      </c>
      <c r="I943" s="1">
        <f>IFERROR(__xludf.DUMMYFUNCTION("""COMPUTED_VALUE"""),2.0)</f>
        <v>2</v>
      </c>
      <c r="J943" s="1">
        <f>IFERROR(__xludf.DUMMYFUNCTION("""COMPUTED_VALUE"""),535.39)</f>
        <v>535.39</v>
      </c>
      <c r="K943" s="1">
        <f>IFERROR(__xludf.DUMMYFUNCTION("""COMPUTED_VALUE"""),535.39)</f>
        <v>535.39</v>
      </c>
    </row>
    <row r="944">
      <c r="A944" s="1">
        <f>IFERROR(__xludf.DUMMYFUNCTION("""COMPUTED_VALUE"""),1000.0)</f>
        <v>1000</v>
      </c>
      <c r="B944" s="1">
        <f>IFERROR(__xludf.DUMMYFUNCTION("""COMPUTED_VALUE"""),184134.0)</f>
        <v>184134</v>
      </c>
      <c r="C944" s="1">
        <f>IFERROR(__xludf.DUMMYFUNCTION("""COMPUTED_VALUE"""),2026.0)</f>
        <v>2026</v>
      </c>
      <c r="D944" s="1">
        <f>IFERROR(__xludf.DUMMYFUNCTION("""COMPUTED_VALUE"""),46200.0)</f>
        <v>46200</v>
      </c>
      <c r="E944" s="1" t="str">
        <f>IFERROR(__xludf.DUMMYFUNCTION("""COMPUTED_VALUE"""),"VF")</f>
        <v>VF</v>
      </c>
      <c r="F944" s="1">
        <f>IFERROR(__xludf.DUMMYFUNCTION("""COMPUTED_VALUE"""),1.0)</f>
        <v>1</v>
      </c>
      <c r="G944" s="1" t="str">
        <f>IFERROR(__xludf.DUMMYFUNCTION("""COMPUTED_VALUE"""),"PR008")</f>
        <v>PR008</v>
      </c>
      <c r="H944" s="1" t="str">
        <f>IFERROR(__xludf.DUMMYFUNCTION("""COMPUTED_VALUE"""),"VD019")</f>
        <v>VD019</v>
      </c>
      <c r="I944" s="1">
        <f>IFERROR(__xludf.DUMMYFUNCTION("""COMPUTED_VALUE"""),10.0)</f>
        <v>10</v>
      </c>
      <c r="J944" s="1">
        <f>IFERROR(__xludf.DUMMYFUNCTION("""COMPUTED_VALUE"""),934.96)</f>
        <v>934.96</v>
      </c>
      <c r="K944" s="1">
        <f>IFERROR(__xludf.DUMMYFUNCTION("""COMPUTED_VALUE"""),934.96)</f>
        <v>934.96</v>
      </c>
    </row>
    <row r="945">
      <c r="A945" s="1">
        <f>IFERROR(__xludf.DUMMYFUNCTION("""COMPUTED_VALUE"""),2000.0)</f>
        <v>2000</v>
      </c>
      <c r="B945" s="1">
        <f>IFERROR(__xludf.DUMMYFUNCTION("""COMPUTED_VALUE"""),184135.0)</f>
        <v>184135</v>
      </c>
      <c r="C945" s="1">
        <f>IFERROR(__xludf.DUMMYFUNCTION("""COMPUTED_VALUE"""),2026.0)</f>
        <v>2026</v>
      </c>
      <c r="D945" s="1">
        <f>IFERROR(__xludf.DUMMYFUNCTION("""COMPUTED_VALUE"""),46200.0)</f>
        <v>46200</v>
      </c>
      <c r="E945" s="1" t="str">
        <f>IFERROR(__xludf.DUMMYFUNCTION("""COMPUTED_VALUE"""),"VF")</f>
        <v>VF</v>
      </c>
      <c r="F945" s="1">
        <f>IFERROR(__xludf.DUMMYFUNCTION("""COMPUTED_VALUE"""),1.0)</f>
        <v>1</v>
      </c>
      <c r="G945" s="1" t="str">
        <f>IFERROR(__xludf.DUMMYFUNCTION("""COMPUTED_VALUE"""),"PR051")</f>
        <v>PR051</v>
      </c>
      <c r="H945" s="1" t="str">
        <f>IFERROR(__xludf.DUMMYFUNCTION("""COMPUTED_VALUE"""),"VD037")</f>
        <v>VD037</v>
      </c>
      <c r="I945" s="1">
        <f>IFERROR(__xludf.DUMMYFUNCTION("""COMPUTED_VALUE"""),4.0)</f>
        <v>4</v>
      </c>
      <c r="J945" s="1">
        <f>IFERROR(__xludf.DUMMYFUNCTION("""COMPUTED_VALUE"""),135.55)</f>
        <v>135.55</v>
      </c>
      <c r="K945" s="1">
        <f>IFERROR(__xludf.DUMMYFUNCTION("""COMPUTED_VALUE"""),135.55)</f>
        <v>135.55</v>
      </c>
    </row>
    <row r="946">
      <c r="A946" s="1">
        <f>IFERROR(__xludf.DUMMYFUNCTION("""COMPUTED_VALUE"""),2000.0)</f>
        <v>2000</v>
      </c>
      <c r="B946" s="1">
        <f>IFERROR(__xludf.DUMMYFUNCTION("""COMPUTED_VALUE"""),184136.0)</f>
        <v>184136</v>
      </c>
      <c r="C946" s="1">
        <f>IFERROR(__xludf.DUMMYFUNCTION("""COMPUTED_VALUE"""),2026.0)</f>
        <v>2026</v>
      </c>
      <c r="D946" s="1">
        <f>IFERROR(__xludf.DUMMYFUNCTION("""COMPUTED_VALUE"""),46199.0)</f>
        <v>46199</v>
      </c>
      <c r="E946" s="1" t="str">
        <f>IFERROR(__xludf.DUMMYFUNCTION("""COMPUTED_VALUE"""),"VF")</f>
        <v>VF</v>
      </c>
      <c r="F946" s="1">
        <f>IFERROR(__xludf.DUMMYFUNCTION("""COMPUTED_VALUE"""),1.0)</f>
        <v>1</v>
      </c>
      <c r="G946" s="1" t="str">
        <f>IFERROR(__xludf.DUMMYFUNCTION("""COMPUTED_VALUE"""),"PR038")</f>
        <v>PR038</v>
      </c>
      <c r="H946" s="1" t="str">
        <f>IFERROR(__xludf.DUMMYFUNCTION("""COMPUTED_VALUE"""),"VD022")</f>
        <v>VD022</v>
      </c>
      <c r="I946" s="1">
        <f>IFERROR(__xludf.DUMMYFUNCTION("""COMPUTED_VALUE"""),7.0)</f>
        <v>7</v>
      </c>
      <c r="J946" s="1">
        <f>IFERROR(__xludf.DUMMYFUNCTION("""COMPUTED_VALUE"""),1100.33)</f>
        <v>1100.33</v>
      </c>
      <c r="K946" s="1">
        <f>IFERROR(__xludf.DUMMYFUNCTION("""COMPUTED_VALUE"""),1100.33)</f>
        <v>1100.33</v>
      </c>
    </row>
    <row r="947">
      <c r="A947" s="1">
        <f>IFERROR(__xludf.DUMMYFUNCTION("""COMPUTED_VALUE"""),1000.0)</f>
        <v>1000</v>
      </c>
      <c r="B947" s="1">
        <f>IFERROR(__xludf.DUMMYFUNCTION("""COMPUTED_VALUE"""),184137.0)</f>
        <v>184137</v>
      </c>
      <c r="C947" s="1">
        <f>IFERROR(__xludf.DUMMYFUNCTION("""COMPUTED_VALUE"""),2026.0)</f>
        <v>2026</v>
      </c>
      <c r="D947" s="1">
        <f>IFERROR(__xludf.DUMMYFUNCTION("""COMPUTED_VALUE"""),46199.0)</f>
        <v>46199</v>
      </c>
      <c r="E947" s="1" t="str">
        <f>IFERROR(__xludf.DUMMYFUNCTION("""COMPUTED_VALUE"""),"VF")</f>
        <v>VF</v>
      </c>
      <c r="F947" s="1">
        <f>IFERROR(__xludf.DUMMYFUNCTION("""COMPUTED_VALUE"""),1.0)</f>
        <v>1</v>
      </c>
      <c r="G947" s="1" t="str">
        <f>IFERROR(__xludf.DUMMYFUNCTION("""COMPUTED_VALUE"""),"PR009")</f>
        <v>PR009</v>
      </c>
      <c r="H947" s="1" t="str">
        <f>IFERROR(__xludf.DUMMYFUNCTION("""COMPUTED_VALUE"""),"VD013")</f>
        <v>VD013</v>
      </c>
      <c r="I947" s="1">
        <f>IFERROR(__xludf.DUMMYFUNCTION("""COMPUTED_VALUE"""),2.0)</f>
        <v>2</v>
      </c>
      <c r="J947" s="1">
        <f>IFERROR(__xludf.DUMMYFUNCTION("""COMPUTED_VALUE"""),195.09)</f>
        <v>195.09</v>
      </c>
      <c r="K947" s="1">
        <f>IFERROR(__xludf.DUMMYFUNCTION("""COMPUTED_VALUE"""),195.09)</f>
        <v>195.09</v>
      </c>
    </row>
    <row r="948">
      <c r="A948" s="1">
        <f>IFERROR(__xludf.DUMMYFUNCTION("""COMPUTED_VALUE"""),1000.0)</f>
        <v>1000</v>
      </c>
      <c r="B948" s="1">
        <f>IFERROR(__xludf.DUMMYFUNCTION("""COMPUTED_VALUE"""),184137.0)</f>
        <v>184137</v>
      </c>
      <c r="C948" s="1">
        <f>IFERROR(__xludf.DUMMYFUNCTION("""COMPUTED_VALUE"""),2026.0)</f>
        <v>2026</v>
      </c>
      <c r="D948" s="1">
        <f>IFERROR(__xludf.DUMMYFUNCTION("""COMPUTED_VALUE"""),46198.0)</f>
        <v>46198</v>
      </c>
      <c r="E948" s="1" t="str">
        <f>IFERROR(__xludf.DUMMYFUNCTION("""COMPUTED_VALUE"""),"VF")</f>
        <v>VF</v>
      </c>
      <c r="F948" s="1">
        <f>IFERROR(__xludf.DUMMYFUNCTION("""COMPUTED_VALUE"""),2.0)</f>
        <v>2</v>
      </c>
      <c r="G948" s="1" t="str">
        <f>IFERROR(__xludf.DUMMYFUNCTION("""COMPUTED_VALUE"""),"PR017")</f>
        <v>PR017</v>
      </c>
      <c r="H948" s="1" t="str">
        <f>IFERROR(__xludf.DUMMYFUNCTION("""COMPUTED_VALUE"""),"VD022")</f>
        <v>VD022</v>
      </c>
      <c r="I948" s="1">
        <f>IFERROR(__xludf.DUMMYFUNCTION("""COMPUTED_VALUE"""),8.0)</f>
        <v>8</v>
      </c>
      <c r="J948" s="1">
        <f>IFERROR(__xludf.DUMMYFUNCTION("""COMPUTED_VALUE"""),263.12)</f>
        <v>263.12</v>
      </c>
      <c r="K948" s="1">
        <f>IFERROR(__xludf.DUMMYFUNCTION("""COMPUTED_VALUE"""),263.12)</f>
        <v>263.12</v>
      </c>
    </row>
    <row r="949">
      <c r="A949" s="1">
        <f>IFERROR(__xludf.DUMMYFUNCTION("""COMPUTED_VALUE"""),1000.0)</f>
        <v>1000</v>
      </c>
      <c r="B949" s="1">
        <f>IFERROR(__xludf.DUMMYFUNCTION("""COMPUTED_VALUE"""),184138.0)</f>
        <v>184138</v>
      </c>
      <c r="C949" s="1">
        <f>IFERROR(__xludf.DUMMYFUNCTION("""COMPUTED_VALUE"""),2026.0)</f>
        <v>2026</v>
      </c>
      <c r="D949" s="1">
        <f>IFERROR(__xludf.DUMMYFUNCTION("""COMPUTED_VALUE"""),46198.0)</f>
        <v>46198</v>
      </c>
      <c r="E949" s="1" t="str">
        <f>IFERROR(__xludf.DUMMYFUNCTION("""COMPUTED_VALUE"""),"VF")</f>
        <v>VF</v>
      </c>
      <c r="F949" s="1">
        <f>IFERROR(__xludf.DUMMYFUNCTION("""COMPUTED_VALUE"""),1.0)</f>
        <v>1</v>
      </c>
      <c r="G949" s="1" t="str">
        <f>IFERROR(__xludf.DUMMYFUNCTION("""COMPUTED_VALUE"""),"PR036")</f>
        <v>PR036</v>
      </c>
      <c r="H949" s="1" t="str">
        <f>IFERROR(__xludf.DUMMYFUNCTION("""COMPUTED_VALUE"""),"VD048")</f>
        <v>VD048</v>
      </c>
      <c r="I949" s="1">
        <f>IFERROR(__xludf.DUMMYFUNCTION("""COMPUTED_VALUE"""),14.0)</f>
        <v>14</v>
      </c>
      <c r="J949" s="1">
        <f>IFERROR(__xludf.DUMMYFUNCTION("""COMPUTED_VALUE"""),1374.45)</f>
        <v>1374.45</v>
      </c>
      <c r="K949" s="1">
        <f>IFERROR(__xludf.DUMMYFUNCTION("""COMPUTED_VALUE"""),1374.45)</f>
        <v>1374.45</v>
      </c>
    </row>
    <row r="950">
      <c r="A950" s="1">
        <f>IFERROR(__xludf.DUMMYFUNCTION("""COMPUTED_VALUE"""),1000.0)</f>
        <v>1000</v>
      </c>
      <c r="B950" s="1">
        <f>IFERROR(__xludf.DUMMYFUNCTION("""COMPUTED_VALUE"""),184138.0)</f>
        <v>184138</v>
      </c>
      <c r="C950" s="1">
        <f>IFERROR(__xludf.DUMMYFUNCTION("""COMPUTED_VALUE"""),2026.0)</f>
        <v>2026</v>
      </c>
      <c r="D950" s="1">
        <f>IFERROR(__xludf.DUMMYFUNCTION("""COMPUTED_VALUE"""),46198.0)</f>
        <v>46198</v>
      </c>
      <c r="E950" s="1" t="str">
        <f>IFERROR(__xludf.DUMMYFUNCTION("""COMPUTED_VALUE"""),"VF")</f>
        <v>VF</v>
      </c>
      <c r="F950" s="1">
        <f>IFERROR(__xludf.DUMMYFUNCTION("""COMPUTED_VALUE"""),2.0)</f>
        <v>2</v>
      </c>
      <c r="G950" s="1" t="str">
        <f>IFERROR(__xludf.DUMMYFUNCTION("""COMPUTED_VALUE"""),"PR008")</f>
        <v>PR008</v>
      </c>
      <c r="H950" s="1" t="str">
        <f>IFERROR(__xludf.DUMMYFUNCTION("""COMPUTED_VALUE"""),"VD014")</f>
        <v>VD014</v>
      </c>
      <c r="I950" s="1">
        <f>IFERROR(__xludf.DUMMYFUNCTION("""COMPUTED_VALUE"""),8.0)</f>
        <v>8</v>
      </c>
      <c r="J950" s="1">
        <f>IFERROR(__xludf.DUMMYFUNCTION("""COMPUTED_VALUE"""),783.93)</f>
        <v>783.93</v>
      </c>
      <c r="K950" s="1">
        <f>IFERROR(__xludf.DUMMYFUNCTION("""COMPUTED_VALUE"""),783.93)</f>
        <v>783.93</v>
      </c>
    </row>
    <row r="951">
      <c r="A951" s="1">
        <f>IFERROR(__xludf.DUMMYFUNCTION("""COMPUTED_VALUE"""),1000.0)</f>
        <v>1000</v>
      </c>
      <c r="B951" s="1">
        <f>IFERROR(__xludf.DUMMYFUNCTION("""COMPUTED_VALUE"""),184138.0)</f>
        <v>184138</v>
      </c>
      <c r="C951" s="1">
        <f>IFERROR(__xludf.DUMMYFUNCTION("""COMPUTED_VALUE"""),2026.0)</f>
        <v>2026</v>
      </c>
      <c r="D951" s="1">
        <f>IFERROR(__xludf.DUMMYFUNCTION("""COMPUTED_VALUE"""),46197.0)</f>
        <v>46197</v>
      </c>
      <c r="E951" s="1" t="str">
        <f>IFERROR(__xludf.DUMMYFUNCTION("""COMPUTED_VALUE"""),"VF")</f>
        <v>VF</v>
      </c>
      <c r="F951" s="1">
        <f>IFERROR(__xludf.DUMMYFUNCTION("""COMPUTED_VALUE"""),3.0)</f>
        <v>3</v>
      </c>
      <c r="G951" s="1" t="str">
        <f>IFERROR(__xludf.DUMMYFUNCTION("""COMPUTED_VALUE"""),"PR047")</f>
        <v>PR047</v>
      </c>
      <c r="H951" s="1" t="str">
        <f>IFERROR(__xludf.DUMMYFUNCTION("""COMPUTED_VALUE"""),"VD019")</f>
        <v>VD019</v>
      </c>
      <c r="I951" s="1">
        <f>IFERROR(__xludf.DUMMYFUNCTION("""COMPUTED_VALUE"""),5.0)</f>
        <v>5</v>
      </c>
      <c r="J951" s="1">
        <f>IFERROR(__xludf.DUMMYFUNCTION("""COMPUTED_VALUE"""),1550.97)</f>
        <v>1550.97</v>
      </c>
      <c r="K951" s="1">
        <f>IFERROR(__xludf.DUMMYFUNCTION("""COMPUTED_VALUE"""),1550.97)</f>
        <v>1550.97</v>
      </c>
    </row>
    <row r="952">
      <c r="A952" s="1">
        <f>IFERROR(__xludf.DUMMYFUNCTION("""COMPUTED_VALUE"""),2000.0)</f>
        <v>2000</v>
      </c>
      <c r="B952" s="1">
        <f>IFERROR(__xludf.DUMMYFUNCTION("""COMPUTED_VALUE"""),184139.0)</f>
        <v>184139</v>
      </c>
      <c r="C952" s="1">
        <f>IFERROR(__xludf.DUMMYFUNCTION("""COMPUTED_VALUE"""),2026.0)</f>
        <v>2026</v>
      </c>
      <c r="D952" s="1">
        <f>IFERROR(__xludf.DUMMYFUNCTION("""COMPUTED_VALUE"""),46197.0)</f>
        <v>46197</v>
      </c>
      <c r="E952" s="1" t="str">
        <f>IFERROR(__xludf.DUMMYFUNCTION("""COMPUTED_VALUE"""),"VF")</f>
        <v>VF</v>
      </c>
      <c r="F952" s="1">
        <f>IFERROR(__xludf.DUMMYFUNCTION("""COMPUTED_VALUE"""),1.0)</f>
        <v>1</v>
      </c>
      <c r="G952" s="1" t="str">
        <f>IFERROR(__xludf.DUMMYFUNCTION("""COMPUTED_VALUE"""),"PR046")</f>
        <v>PR046</v>
      </c>
      <c r="H952" s="1" t="str">
        <f>IFERROR(__xludf.DUMMYFUNCTION("""COMPUTED_VALUE"""),"VD021")</f>
        <v>VD021</v>
      </c>
      <c r="I952" s="1">
        <f>IFERROR(__xludf.DUMMYFUNCTION("""COMPUTED_VALUE"""),3.0)</f>
        <v>3</v>
      </c>
      <c r="J952" s="1">
        <f>IFERROR(__xludf.DUMMYFUNCTION("""COMPUTED_VALUE"""),930.58)</f>
        <v>930.58</v>
      </c>
      <c r="K952" s="1">
        <f>IFERROR(__xludf.DUMMYFUNCTION("""COMPUTED_VALUE"""),930.58)</f>
        <v>930.58</v>
      </c>
    </row>
    <row r="953">
      <c r="A953" s="1">
        <f>IFERROR(__xludf.DUMMYFUNCTION("""COMPUTED_VALUE"""),1000.0)</f>
        <v>1000</v>
      </c>
      <c r="B953" s="1">
        <f>IFERROR(__xludf.DUMMYFUNCTION("""COMPUTED_VALUE"""),184140.0)</f>
        <v>184140</v>
      </c>
      <c r="C953" s="1">
        <f>IFERROR(__xludf.DUMMYFUNCTION("""COMPUTED_VALUE"""),2026.0)</f>
        <v>2026</v>
      </c>
      <c r="D953" s="1">
        <f>IFERROR(__xludf.DUMMYFUNCTION("""COMPUTED_VALUE"""),46196.0)</f>
        <v>46196</v>
      </c>
      <c r="E953" s="1" t="str">
        <f>IFERROR(__xludf.DUMMYFUNCTION("""COMPUTED_VALUE"""),"VF")</f>
        <v>VF</v>
      </c>
      <c r="F953" s="1">
        <f>IFERROR(__xludf.DUMMYFUNCTION("""COMPUTED_VALUE"""),1.0)</f>
        <v>1</v>
      </c>
      <c r="G953" s="1" t="str">
        <f>IFERROR(__xludf.DUMMYFUNCTION("""COMPUTED_VALUE"""),"PR050")</f>
        <v>PR050</v>
      </c>
      <c r="H953" s="1" t="str">
        <f>IFERROR(__xludf.DUMMYFUNCTION("""COMPUTED_VALUE"""),"VD018")</f>
        <v>VD018</v>
      </c>
      <c r="I953" s="1">
        <f>IFERROR(__xludf.DUMMYFUNCTION("""COMPUTED_VALUE"""),4.0)</f>
        <v>4</v>
      </c>
      <c r="J953" s="1">
        <f>IFERROR(__xludf.DUMMYFUNCTION("""COMPUTED_VALUE"""),144.76)</f>
        <v>144.76</v>
      </c>
      <c r="K953" s="1">
        <f>IFERROR(__xludf.DUMMYFUNCTION("""COMPUTED_VALUE"""),144.76)</f>
        <v>144.76</v>
      </c>
    </row>
    <row r="954">
      <c r="A954" s="1">
        <f>IFERROR(__xludf.DUMMYFUNCTION("""COMPUTED_VALUE"""),1000.0)</f>
        <v>1000</v>
      </c>
      <c r="B954" s="1">
        <f>IFERROR(__xludf.DUMMYFUNCTION("""COMPUTED_VALUE"""),184141.0)</f>
        <v>184141</v>
      </c>
      <c r="C954" s="1">
        <f>IFERROR(__xludf.DUMMYFUNCTION("""COMPUTED_VALUE"""),2026.0)</f>
        <v>2026</v>
      </c>
      <c r="D954" s="1">
        <f>IFERROR(__xludf.DUMMYFUNCTION("""COMPUTED_VALUE"""),46196.0)</f>
        <v>46196</v>
      </c>
      <c r="E954" s="1" t="str">
        <f>IFERROR(__xludf.DUMMYFUNCTION("""COMPUTED_VALUE"""),"VF")</f>
        <v>VF</v>
      </c>
      <c r="F954" s="1">
        <f>IFERROR(__xludf.DUMMYFUNCTION("""COMPUTED_VALUE"""),1.0)</f>
        <v>1</v>
      </c>
      <c r="G954" s="1" t="str">
        <f>IFERROR(__xludf.DUMMYFUNCTION("""COMPUTED_VALUE"""),"PR038")</f>
        <v>PR038</v>
      </c>
      <c r="H954" s="1" t="str">
        <f>IFERROR(__xludf.DUMMYFUNCTION("""COMPUTED_VALUE"""),"VD034")</f>
        <v>VD034</v>
      </c>
      <c r="I954" s="1">
        <f>IFERROR(__xludf.DUMMYFUNCTION("""COMPUTED_VALUE"""),1.0)</f>
        <v>1</v>
      </c>
      <c r="J954" s="1">
        <f>IFERROR(__xludf.DUMMYFUNCTION("""COMPUTED_VALUE"""),148.62)</f>
        <v>148.62</v>
      </c>
      <c r="K954" s="1">
        <f>IFERROR(__xludf.DUMMYFUNCTION("""COMPUTED_VALUE"""),148.62)</f>
        <v>148.62</v>
      </c>
    </row>
    <row r="955">
      <c r="A955" s="1">
        <f>IFERROR(__xludf.DUMMYFUNCTION("""COMPUTED_VALUE"""),1000.0)</f>
        <v>1000</v>
      </c>
      <c r="B955" s="1">
        <f>IFERROR(__xludf.DUMMYFUNCTION("""COMPUTED_VALUE"""),184142.0)</f>
        <v>184142</v>
      </c>
      <c r="C955" s="1">
        <f>IFERROR(__xludf.DUMMYFUNCTION("""COMPUTED_VALUE"""),2026.0)</f>
        <v>2026</v>
      </c>
      <c r="D955" s="1">
        <f>IFERROR(__xludf.DUMMYFUNCTION("""COMPUTED_VALUE"""),46196.0)</f>
        <v>46196</v>
      </c>
      <c r="E955" s="1" t="str">
        <f>IFERROR(__xludf.DUMMYFUNCTION("""COMPUTED_VALUE"""),"VF")</f>
        <v>VF</v>
      </c>
      <c r="F955" s="1">
        <f>IFERROR(__xludf.DUMMYFUNCTION("""COMPUTED_VALUE"""),1.0)</f>
        <v>1</v>
      </c>
      <c r="G955" s="1" t="str">
        <f>IFERROR(__xludf.DUMMYFUNCTION("""COMPUTED_VALUE"""),"PR046")</f>
        <v>PR046</v>
      </c>
      <c r="H955" s="1" t="str">
        <f>IFERROR(__xludf.DUMMYFUNCTION("""COMPUTED_VALUE"""),"VD018")</f>
        <v>VD018</v>
      </c>
      <c r="I955" s="1">
        <f>IFERROR(__xludf.DUMMYFUNCTION("""COMPUTED_VALUE"""),3.0)</f>
        <v>3</v>
      </c>
      <c r="J955" s="1">
        <f>IFERROR(__xludf.DUMMYFUNCTION("""COMPUTED_VALUE"""),947.97)</f>
        <v>947.97</v>
      </c>
      <c r="K955" s="1">
        <f>IFERROR(__xludf.DUMMYFUNCTION("""COMPUTED_VALUE"""),947.97)</f>
        <v>947.97</v>
      </c>
    </row>
    <row r="956">
      <c r="A956" s="1">
        <f>IFERROR(__xludf.DUMMYFUNCTION("""COMPUTED_VALUE"""),1000.0)</f>
        <v>1000</v>
      </c>
      <c r="B956" s="1">
        <f>IFERROR(__xludf.DUMMYFUNCTION("""COMPUTED_VALUE"""),184142.0)</f>
        <v>184142</v>
      </c>
      <c r="C956" s="1">
        <f>IFERROR(__xludf.DUMMYFUNCTION("""COMPUTED_VALUE"""),2026.0)</f>
        <v>2026</v>
      </c>
      <c r="D956" s="1">
        <f>IFERROR(__xludf.DUMMYFUNCTION("""COMPUTED_VALUE"""),46196.0)</f>
        <v>46196</v>
      </c>
      <c r="E956" s="1" t="str">
        <f>IFERROR(__xludf.DUMMYFUNCTION("""COMPUTED_VALUE"""),"VF")</f>
        <v>VF</v>
      </c>
      <c r="F956" s="1">
        <f>IFERROR(__xludf.DUMMYFUNCTION("""COMPUTED_VALUE"""),2.0)</f>
        <v>2</v>
      </c>
      <c r="G956" s="1" t="str">
        <f>IFERROR(__xludf.DUMMYFUNCTION("""COMPUTED_VALUE"""),"PR004")</f>
        <v>PR004</v>
      </c>
      <c r="H956" s="1" t="str">
        <f>IFERROR(__xludf.DUMMYFUNCTION("""COMPUTED_VALUE"""),"VD026")</f>
        <v>VD026</v>
      </c>
      <c r="I956" s="1">
        <f>IFERROR(__xludf.DUMMYFUNCTION("""COMPUTED_VALUE"""),2.0)</f>
        <v>2</v>
      </c>
      <c r="J956" s="1">
        <f>IFERROR(__xludf.DUMMYFUNCTION("""COMPUTED_VALUE"""),301.6)</f>
        <v>301.6</v>
      </c>
      <c r="K956" s="1">
        <f>IFERROR(__xludf.DUMMYFUNCTION("""COMPUTED_VALUE"""),301.6)</f>
        <v>301.6</v>
      </c>
    </row>
    <row r="957">
      <c r="A957" s="1">
        <f>IFERROR(__xludf.DUMMYFUNCTION("""COMPUTED_VALUE"""),1000.0)</f>
        <v>1000</v>
      </c>
      <c r="B957" s="1">
        <f>IFERROR(__xludf.DUMMYFUNCTION("""COMPUTED_VALUE"""),184143.0)</f>
        <v>184143</v>
      </c>
      <c r="C957" s="1">
        <f>IFERROR(__xludf.DUMMYFUNCTION("""COMPUTED_VALUE"""),2026.0)</f>
        <v>2026</v>
      </c>
      <c r="D957" s="1">
        <f>IFERROR(__xludf.DUMMYFUNCTION("""COMPUTED_VALUE"""),46196.0)</f>
        <v>46196</v>
      </c>
      <c r="E957" s="1" t="str">
        <f>IFERROR(__xludf.DUMMYFUNCTION("""COMPUTED_VALUE"""),"VF")</f>
        <v>VF</v>
      </c>
      <c r="F957" s="1">
        <f>IFERROR(__xludf.DUMMYFUNCTION("""COMPUTED_VALUE"""),1.0)</f>
        <v>1</v>
      </c>
      <c r="G957" s="1" t="str">
        <f>IFERROR(__xludf.DUMMYFUNCTION("""COMPUTED_VALUE"""),"PR030")</f>
        <v>PR030</v>
      </c>
      <c r="H957" s="1" t="str">
        <f>IFERROR(__xludf.DUMMYFUNCTION("""COMPUTED_VALUE"""),"VD012")</f>
        <v>VD012</v>
      </c>
      <c r="I957" s="1">
        <f>IFERROR(__xludf.DUMMYFUNCTION("""COMPUTED_VALUE"""),9.0)</f>
        <v>9</v>
      </c>
      <c r="J957" s="1">
        <f>IFERROR(__xludf.DUMMYFUNCTION("""COMPUTED_VALUE"""),2339.1)</f>
        <v>2339.1</v>
      </c>
      <c r="K957" s="1">
        <f>IFERROR(__xludf.DUMMYFUNCTION("""COMPUTED_VALUE"""),2339.1)</f>
        <v>2339.1</v>
      </c>
    </row>
    <row r="958">
      <c r="A958" s="1">
        <f>IFERROR(__xludf.DUMMYFUNCTION("""COMPUTED_VALUE"""),1000.0)</f>
        <v>1000</v>
      </c>
      <c r="B958" s="1">
        <f>IFERROR(__xludf.DUMMYFUNCTION("""COMPUTED_VALUE"""),184143.0)</f>
        <v>184143</v>
      </c>
      <c r="C958" s="1">
        <f>IFERROR(__xludf.DUMMYFUNCTION("""COMPUTED_VALUE"""),2026.0)</f>
        <v>2026</v>
      </c>
      <c r="D958" s="1">
        <f>IFERROR(__xludf.DUMMYFUNCTION("""COMPUTED_VALUE"""),46196.0)</f>
        <v>46196</v>
      </c>
      <c r="E958" s="1" t="str">
        <f>IFERROR(__xludf.DUMMYFUNCTION("""COMPUTED_VALUE"""),"VF")</f>
        <v>VF</v>
      </c>
      <c r="F958" s="1">
        <f>IFERROR(__xludf.DUMMYFUNCTION("""COMPUTED_VALUE"""),2.0)</f>
        <v>2</v>
      </c>
      <c r="G958" s="1" t="str">
        <f>IFERROR(__xludf.DUMMYFUNCTION("""COMPUTED_VALUE"""),"PR019")</f>
        <v>PR019</v>
      </c>
      <c r="H958" s="1" t="str">
        <f>IFERROR(__xludf.DUMMYFUNCTION("""COMPUTED_VALUE"""),"VD027")</f>
        <v>VD027</v>
      </c>
      <c r="I958" s="1">
        <f>IFERROR(__xludf.DUMMYFUNCTION("""COMPUTED_VALUE"""),1.0)</f>
        <v>1</v>
      </c>
      <c r="J958" s="1">
        <f>IFERROR(__xludf.DUMMYFUNCTION("""COMPUTED_VALUE"""),49.9)</f>
        <v>49.9</v>
      </c>
      <c r="K958" s="1">
        <f>IFERROR(__xludf.DUMMYFUNCTION("""COMPUTED_VALUE"""),49.9)</f>
        <v>49.9</v>
      </c>
    </row>
    <row r="959">
      <c r="A959" s="1">
        <f>IFERROR(__xludf.DUMMYFUNCTION("""COMPUTED_VALUE"""),1000.0)</f>
        <v>1000</v>
      </c>
      <c r="B959" s="1">
        <f>IFERROR(__xludf.DUMMYFUNCTION("""COMPUTED_VALUE"""),184144.0)</f>
        <v>184144</v>
      </c>
      <c r="C959" s="1">
        <f>IFERROR(__xludf.DUMMYFUNCTION("""COMPUTED_VALUE"""),2026.0)</f>
        <v>2026</v>
      </c>
      <c r="D959" s="1">
        <f>IFERROR(__xludf.DUMMYFUNCTION("""COMPUTED_VALUE"""),46196.0)</f>
        <v>46196</v>
      </c>
      <c r="E959" s="1" t="str">
        <f>IFERROR(__xludf.DUMMYFUNCTION("""COMPUTED_VALUE"""),"VF")</f>
        <v>VF</v>
      </c>
      <c r="F959" s="1">
        <f>IFERROR(__xludf.DUMMYFUNCTION("""COMPUTED_VALUE"""),1.0)</f>
        <v>1</v>
      </c>
      <c r="G959" s="1" t="str">
        <f>IFERROR(__xludf.DUMMYFUNCTION("""COMPUTED_VALUE"""),"PR019")</f>
        <v>PR019</v>
      </c>
      <c r="H959" s="1" t="str">
        <f>IFERROR(__xludf.DUMMYFUNCTION("""COMPUTED_VALUE"""),"VD019")</f>
        <v>VD019</v>
      </c>
      <c r="I959" s="1">
        <f>IFERROR(__xludf.DUMMYFUNCTION("""COMPUTED_VALUE"""),20.0)</f>
        <v>20</v>
      </c>
      <c r="J959" s="1">
        <f>IFERROR(__xludf.DUMMYFUNCTION("""COMPUTED_VALUE"""),1027.94)</f>
        <v>1027.94</v>
      </c>
      <c r="K959" s="1">
        <f>IFERROR(__xludf.DUMMYFUNCTION("""COMPUTED_VALUE"""),1027.94)</f>
        <v>1027.94</v>
      </c>
    </row>
    <row r="960">
      <c r="A960" s="1">
        <f>IFERROR(__xludf.DUMMYFUNCTION("""COMPUTED_VALUE"""),1000.0)</f>
        <v>1000</v>
      </c>
      <c r="B960" s="1">
        <f>IFERROR(__xludf.DUMMYFUNCTION("""COMPUTED_VALUE"""),184145.0)</f>
        <v>184145</v>
      </c>
      <c r="C960" s="1">
        <f>IFERROR(__xludf.DUMMYFUNCTION("""COMPUTED_VALUE"""),2026.0)</f>
        <v>2026</v>
      </c>
      <c r="D960" s="1">
        <f>IFERROR(__xludf.DUMMYFUNCTION("""COMPUTED_VALUE"""),46196.0)</f>
        <v>46196</v>
      </c>
      <c r="E960" s="1" t="str">
        <f>IFERROR(__xludf.DUMMYFUNCTION("""COMPUTED_VALUE"""),"VF")</f>
        <v>VF</v>
      </c>
      <c r="F960" s="1">
        <f>IFERROR(__xludf.DUMMYFUNCTION("""COMPUTED_VALUE"""),1.0)</f>
        <v>1</v>
      </c>
      <c r="G960" s="1" t="str">
        <f>IFERROR(__xludf.DUMMYFUNCTION("""COMPUTED_VALUE"""),"PR020")</f>
        <v>PR020</v>
      </c>
      <c r="H960" s="1" t="str">
        <f>IFERROR(__xludf.DUMMYFUNCTION("""COMPUTED_VALUE"""),"VD038")</f>
        <v>VD038</v>
      </c>
      <c r="I960" s="1">
        <f>IFERROR(__xludf.DUMMYFUNCTION("""COMPUTED_VALUE"""),7.0)</f>
        <v>7</v>
      </c>
      <c r="J960" s="1">
        <f>IFERROR(__xludf.DUMMYFUNCTION("""COMPUTED_VALUE"""),2225.26)</f>
        <v>2225.26</v>
      </c>
      <c r="K960" s="1">
        <f>IFERROR(__xludf.DUMMYFUNCTION("""COMPUTED_VALUE"""),2225.26)</f>
        <v>2225.26</v>
      </c>
    </row>
    <row r="961">
      <c r="A961" s="1">
        <f>IFERROR(__xludf.DUMMYFUNCTION("""COMPUTED_VALUE"""),1000.0)</f>
        <v>1000</v>
      </c>
      <c r="B961" s="1">
        <f>IFERROR(__xludf.DUMMYFUNCTION("""COMPUTED_VALUE"""),184146.0)</f>
        <v>184146</v>
      </c>
      <c r="C961" s="1">
        <f>IFERROR(__xludf.DUMMYFUNCTION("""COMPUTED_VALUE"""),2026.0)</f>
        <v>2026</v>
      </c>
      <c r="D961" s="1">
        <f>IFERROR(__xludf.DUMMYFUNCTION("""COMPUTED_VALUE"""),46196.0)</f>
        <v>46196</v>
      </c>
      <c r="E961" s="1" t="str">
        <f>IFERROR(__xludf.DUMMYFUNCTION("""COMPUTED_VALUE"""),"VF")</f>
        <v>VF</v>
      </c>
      <c r="F961" s="1">
        <f>IFERROR(__xludf.DUMMYFUNCTION("""COMPUTED_VALUE"""),1.0)</f>
        <v>1</v>
      </c>
      <c r="G961" s="1" t="str">
        <f>IFERROR(__xludf.DUMMYFUNCTION("""COMPUTED_VALUE"""),"PR041")</f>
        <v>PR041</v>
      </c>
      <c r="H961" s="1" t="str">
        <f>IFERROR(__xludf.DUMMYFUNCTION("""COMPUTED_VALUE"""),"VD023")</f>
        <v>VD023</v>
      </c>
      <c r="I961" s="1">
        <f>IFERROR(__xludf.DUMMYFUNCTION("""COMPUTED_VALUE"""),16.0)</f>
        <v>16</v>
      </c>
      <c r="J961" s="1">
        <f>IFERROR(__xludf.DUMMYFUNCTION("""COMPUTED_VALUE"""),887.18)</f>
        <v>887.18</v>
      </c>
      <c r="K961" s="1">
        <f>IFERROR(__xludf.DUMMYFUNCTION("""COMPUTED_VALUE"""),887.18)</f>
        <v>887.18</v>
      </c>
    </row>
    <row r="962">
      <c r="A962" s="1">
        <f>IFERROR(__xludf.DUMMYFUNCTION("""COMPUTED_VALUE"""),2000.0)</f>
        <v>2000</v>
      </c>
      <c r="B962" s="1">
        <f>IFERROR(__xludf.DUMMYFUNCTION("""COMPUTED_VALUE"""),184147.0)</f>
        <v>184147</v>
      </c>
      <c r="C962" s="1">
        <f>IFERROR(__xludf.DUMMYFUNCTION("""COMPUTED_VALUE"""),2026.0)</f>
        <v>2026</v>
      </c>
      <c r="D962" s="1">
        <f>IFERROR(__xludf.DUMMYFUNCTION("""COMPUTED_VALUE"""),46196.0)</f>
        <v>46196</v>
      </c>
      <c r="E962" s="1" t="str">
        <f>IFERROR(__xludf.DUMMYFUNCTION("""COMPUTED_VALUE"""),"VF")</f>
        <v>VF</v>
      </c>
      <c r="F962" s="1">
        <f>IFERROR(__xludf.DUMMYFUNCTION("""COMPUTED_VALUE"""),1.0)</f>
        <v>1</v>
      </c>
      <c r="G962" s="1" t="str">
        <f>IFERROR(__xludf.DUMMYFUNCTION("""COMPUTED_VALUE"""),"PR004")</f>
        <v>PR004</v>
      </c>
      <c r="H962" s="1" t="str">
        <f>IFERROR(__xludf.DUMMYFUNCTION("""COMPUTED_VALUE"""),"VD039")</f>
        <v>VD039</v>
      </c>
      <c r="I962" s="1">
        <f>IFERROR(__xludf.DUMMYFUNCTION("""COMPUTED_VALUE"""),8.0)</f>
        <v>8</v>
      </c>
      <c r="J962" s="1">
        <f>IFERROR(__xludf.DUMMYFUNCTION("""COMPUTED_VALUE"""),1160.0)</f>
        <v>1160</v>
      </c>
      <c r="K962" s="1">
        <f>IFERROR(__xludf.DUMMYFUNCTION("""COMPUTED_VALUE"""),1160.0)</f>
        <v>1160</v>
      </c>
    </row>
    <row r="963">
      <c r="A963" s="1">
        <f>IFERROR(__xludf.DUMMYFUNCTION("""COMPUTED_VALUE"""),1000.0)</f>
        <v>1000</v>
      </c>
      <c r="B963" s="1">
        <f>IFERROR(__xludf.DUMMYFUNCTION("""COMPUTED_VALUE"""),184147.0)</f>
        <v>184147</v>
      </c>
      <c r="C963" s="1">
        <f>IFERROR(__xludf.DUMMYFUNCTION("""COMPUTED_VALUE"""),2026.0)</f>
        <v>2026</v>
      </c>
      <c r="D963" s="1">
        <f>IFERROR(__xludf.DUMMYFUNCTION("""COMPUTED_VALUE"""),46196.0)</f>
        <v>46196</v>
      </c>
      <c r="E963" s="1" t="str">
        <f>IFERROR(__xludf.DUMMYFUNCTION("""COMPUTED_VALUE"""),"VF")</f>
        <v>VF</v>
      </c>
      <c r="F963" s="1">
        <f>IFERROR(__xludf.DUMMYFUNCTION("""COMPUTED_VALUE"""),2.0)</f>
        <v>2</v>
      </c>
      <c r="G963" s="1" t="str">
        <f>IFERROR(__xludf.DUMMYFUNCTION("""COMPUTED_VALUE"""),"PR028")</f>
        <v>PR028</v>
      </c>
      <c r="H963" s="1" t="str">
        <f>IFERROR(__xludf.DUMMYFUNCTION("""COMPUTED_VALUE"""),"VD038")</f>
        <v>VD038</v>
      </c>
      <c r="I963" s="1">
        <f>IFERROR(__xludf.DUMMYFUNCTION("""COMPUTED_VALUE"""),6.0)</f>
        <v>6</v>
      </c>
      <c r="J963" s="1">
        <f>IFERROR(__xludf.DUMMYFUNCTION("""COMPUTED_VALUE"""),1544.38)</f>
        <v>1544.38</v>
      </c>
      <c r="K963" s="1">
        <f>IFERROR(__xludf.DUMMYFUNCTION("""COMPUTED_VALUE"""),1544.38)</f>
        <v>1544.38</v>
      </c>
    </row>
    <row r="964">
      <c r="A964" s="1">
        <f>IFERROR(__xludf.DUMMYFUNCTION("""COMPUTED_VALUE"""),1000.0)</f>
        <v>1000</v>
      </c>
      <c r="B964" s="1">
        <f>IFERROR(__xludf.DUMMYFUNCTION("""COMPUTED_VALUE"""),184148.0)</f>
        <v>184148</v>
      </c>
      <c r="C964" s="1">
        <f>IFERROR(__xludf.DUMMYFUNCTION("""COMPUTED_VALUE"""),2026.0)</f>
        <v>2026</v>
      </c>
      <c r="D964" s="1">
        <f>IFERROR(__xludf.DUMMYFUNCTION("""COMPUTED_VALUE"""),46195.0)</f>
        <v>46195</v>
      </c>
      <c r="E964" s="1" t="str">
        <f>IFERROR(__xludf.DUMMYFUNCTION("""COMPUTED_VALUE"""),"VF")</f>
        <v>VF</v>
      </c>
      <c r="F964" s="1">
        <f>IFERROR(__xludf.DUMMYFUNCTION("""COMPUTED_VALUE"""),1.0)</f>
        <v>1</v>
      </c>
      <c r="G964" s="1" t="str">
        <f>IFERROR(__xludf.DUMMYFUNCTION("""COMPUTED_VALUE"""),"PR023")</f>
        <v>PR023</v>
      </c>
      <c r="H964" s="1" t="str">
        <f>IFERROR(__xludf.DUMMYFUNCTION("""COMPUTED_VALUE"""),"VD012")</f>
        <v>VD012</v>
      </c>
      <c r="I964" s="1">
        <f>IFERROR(__xludf.DUMMYFUNCTION("""COMPUTED_VALUE"""),10.0)</f>
        <v>10</v>
      </c>
      <c r="J964" s="1">
        <f>IFERROR(__xludf.DUMMYFUNCTION("""COMPUTED_VALUE"""),2673.93)</f>
        <v>2673.93</v>
      </c>
      <c r="K964" s="1">
        <f>IFERROR(__xludf.DUMMYFUNCTION("""COMPUTED_VALUE"""),2673.93)</f>
        <v>2673.93</v>
      </c>
    </row>
    <row r="965">
      <c r="A965" s="1">
        <f>IFERROR(__xludf.DUMMYFUNCTION("""COMPUTED_VALUE"""),1000.0)</f>
        <v>1000</v>
      </c>
      <c r="B965" s="1">
        <f>IFERROR(__xludf.DUMMYFUNCTION("""COMPUTED_VALUE"""),184149.0)</f>
        <v>184149</v>
      </c>
      <c r="C965" s="1">
        <f>IFERROR(__xludf.DUMMYFUNCTION("""COMPUTED_VALUE"""),2026.0)</f>
        <v>2026</v>
      </c>
      <c r="D965" s="1">
        <f>IFERROR(__xludf.DUMMYFUNCTION("""COMPUTED_VALUE"""),46195.0)</f>
        <v>46195</v>
      </c>
      <c r="E965" s="1" t="str">
        <f>IFERROR(__xludf.DUMMYFUNCTION("""COMPUTED_VALUE"""),"VF")</f>
        <v>VF</v>
      </c>
      <c r="F965" s="1">
        <f>IFERROR(__xludf.DUMMYFUNCTION("""COMPUTED_VALUE"""),1.0)</f>
        <v>1</v>
      </c>
      <c r="G965" s="1" t="str">
        <f>IFERROR(__xludf.DUMMYFUNCTION("""COMPUTED_VALUE"""),"PR033")</f>
        <v>PR033</v>
      </c>
      <c r="H965" s="1" t="str">
        <f>IFERROR(__xludf.DUMMYFUNCTION("""COMPUTED_VALUE"""),"VD015")</f>
        <v>VD015</v>
      </c>
      <c r="I965" s="1">
        <f>IFERROR(__xludf.DUMMYFUNCTION("""COMPUTED_VALUE"""),7.0)</f>
        <v>7</v>
      </c>
      <c r="J965" s="1">
        <f>IFERROR(__xludf.DUMMYFUNCTION("""COMPUTED_VALUE"""),1910.27)</f>
        <v>1910.27</v>
      </c>
      <c r="K965" s="1">
        <f>IFERROR(__xludf.DUMMYFUNCTION("""COMPUTED_VALUE"""),1910.27)</f>
        <v>1910.27</v>
      </c>
    </row>
    <row r="966">
      <c r="A966" s="1">
        <f>IFERROR(__xludf.DUMMYFUNCTION("""COMPUTED_VALUE"""),1000.0)</f>
        <v>1000</v>
      </c>
      <c r="B966" s="1">
        <f>IFERROR(__xludf.DUMMYFUNCTION("""COMPUTED_VALUE"""),184150.0)</f>
        <v>184150</v>
      </c>
      <c r="C966" s="1">
        <f>IFERROR(__xludf.DUMMYFUNCTION("""COMPUTED_VALUE"""),2026.0)</f>
        <v>2026</v>
      </c>
      <c r="D966" s="1">
        <f>IFERROR(__xludf.DUMMYFUNCTION("""COMPUTED_VALUE"""),46195.0)</f>
        <v>46195</v>
      </c>
      <c r="E966" s="1" t="str">
        <f>IFERROR(__xludf.DUMMYFUNCTION("""COMPUTED_VALUE"""),"VF")</f>
        <v>VF</v>
      </c>
      <c r="F966" s="1">
        <f>IFERROR(__xludf.DUMMYFUNCTION("""COMPUTED_VALUE"""),1.0)</f>
        <v>1</v>
      </c>
      <c r="G966" s="1" t="str">
        <f>IFERROR(__xludf.DUMMYFUNCTION("""COMPUTED_VALUE"""),"PR014")</f>
        <v>PR014</v>
      </c>
      <c r="H966" s="1" t="str">
        <f>IFERROR(__xludf.DUMMYFUNCTION("""COMPUTED_VALUE"""),"VD028")</f>
        <v>VD028</v>
      </c>
      <c r="I966" s="1">
        <f>IFERROR(__xludf.DUMMYFUNCTION("""COMPUTED_VALUE"""),10.0)</f>
        <v>10</v>
      </c>
      <c r="J966" s="1">
        <f>IFERROR(__xludf.DUMMYFUNCTION("""COMPUTED_VALUE"""),430.92)</f>
        <v>430.92</v>
      </c>
      <c r="K966" s="1">
        <f>IFERROR(__xludf.DUMMYFUNCTION("""COMPUTED_VALUE"""),430.92)</f>
        <v>430.92</v>
      </c>
    </row>
    <row r="967">
      <c r="A967" s="1">
        <f>IFERROR(__xludf.DUMMYFUNCTION("""COMPUTED_VALUE"""),2000.0)</f>
        <v>2000</v>
      </c>
      <c r="B967" s="1">
        <f>IFERROR(__xludf.DUMMYFUNCTION("""COMPUTED_VALUE"""),184151.0)</f>
        <v>184151</v>
      </c>
      <c r="C967" s="1">
        <f>IFERROR(__xludf.DUMMYFUNCTION("""COMPUTED_VALUE"""),2026.0)</f>
        <v>2026</v>
      </c>
      <c r="D967" s="1">
        <f>IFERROR(__xludf.DUMMYFUNCTION("""COMPUTED_VALUE"""),46194.0)</f>
        <v>46194</v>
      </c>
      <c r="E967" s="1" t="str">
        <f>IFERROR(__xludf.DUMMYFUNCTION("""COMPUTED_VALUE"""),"VF")</f>
        <v>VF</v>
      </c>
      <c r="F967" s="1">
        <f>IFERROR(__xludf.DUMMYFUNCTION("""COMPUTED_VALUE"""),1.0)</f>
        <v>1</v>
      </c>
      <c r="G967" s="1" t="str">
        <f>IFERROR(__xludf.DUMMYFUNCTION("""COMPUTED_VALUE"""),"PR003")</f>
        <v>PR003</v>
      </c>
      <c r="H967" s="1" t="str">
        <f>IFERROR(__xludf.DUMMYFUNCTION("""COMPUTED_VALUE"""),"VD043")</f>
        <v>VD043</v>
      </c>
      <c r="I967" s="1">
        <f>IFERROR(__xludf.DUMMYFUNCTION("""COMPUTED_VALUE"""),12.0)</f>
        <v>12</v>
      </c>
      <c r="J967" s="1">
        <f>IFERROR(__xludf.DUMMYFUNCTION("""COMPUTED_VALUE"""),893.34)</f>
        <v>893.34</v>
      </c>
      <c r="K967" s="1">
        <f>IFERROR(__xludf.DUMMYFUNCTION("""COMPUTED_VALUE"""),893.34)</f>
        <v>893.34</v>
      </c>
    </row>
    <row r="968">
      <c r="A968" s="1">
        <f>IFERROR(__xludf.DUMMYFUNCTION("""COMPUTED_VALUE"""),1000.0)</f>
        <v>1000</v>
      </c>
      <c r="B968" s="1">
        <f>IFERROR(__xludf.DUMMYFUNCTION("""COMPUTED_VALUE"""),184151.0)</f>
        <v>184151</v>
      </c>
      <c r="C968" s="1">
        <f>IFERROR(__xludf.DUMMYFUNCTION("""COMPUTED_VALUE"""),2026.0)</f>
        <v>2026</v>
      </c>
      <c r="D968" s="1">
        <f>IFERROR(__xludf.DUMMYFUNCTION("""COMPUTED_VALUE"""),46194.0)</f>
        <v>46194</v>
      </c>
      <c r="E968" s="1" t="str">
        <f>IFERROR(__xludf.DUMMYFUNCTION("""COMPUTED_VALUE"""),"VF")</f>
        <v>VF</v>
      </c>
      <c r="F968" s="1">
        <f>IFERROR(__xludf.DUMMYFUNCTION("""COMPUTED_VALUE"""),2.0)</f>
        <v>2</v>
      </c>
      <c r="G968" s="1" t="str">
        <f>IFERROR(__xludf.DUMMYFUNCTION("""COMPUTED_VALUE"""),"PR037")</f>
        <v>PR037</v>
      </c>
      <c r="H968" s="1" t="str">
        <f>IFERROR(__xludf.DUMMYFUNCTION("""COMPUTED_VALUE"""),"VD047")</f>
        <v>VD047</v>
      </c>
      <c r="I968" s="1">
        <f>IFERROR(__xludf.DUMMYFUNCTION("""COMPUTED_VALUE"""),16.0)</f>
        <v>16</v>
      </c>
      <c r="J968" s="1">
        <f>IFERROR(__xludf.DUMMYFUNCTION("""COMPUTED_VALUE"""),2307.2)</f>
        <v>2307.2</v>
      </c>
      <c r="K968" s="1">
        <f>IFERROR(__xludf.DUMMYFUNCTION("""COMPUTED_VALUE"""),2307.2)</f>
        <v>2307.2</v>
      </c>
    </row>
    <row r="969">
      <c r="A969" s="1">
        <f>IFERROR(__xludf.DUMMYFUNCTION("""COMPUTED_VALUE"""),1000.0)</f>
        <v>1000</v>
      </c>
      <c r="B969" s="1">
        <f>IFERROR(__xludf.DUMMYFUNCTION("""COMPUTED_VALUE"""),184152.0)</f>
        <v>184152</v>
      </c>
      <c r="C969" s="1">
        <f>IFERROR(__xludf.DUMMYFUNCTION("""COMPUTED_VALUE"""),2026.0)</f>
        <v>2026</v>
      </c>
      <c r="D969" s="1">
        <f>IFERROR(__xludf.DUMMYFUNCTION("""COMPUTED_VALUE"""),46194.0)</f>
        <v>46194</v>
      </c>
      <c r="E969" s="1" t="str">
        <f>IFERROR(__xludf.DUMMYFUNCTION("""COMPUTED_VALUE"""),"VF")</f>
        <v>VF</v>
      </c>
      <c r="F969" s="1">
        <f>IFERROR(__xludf.DUMMYFUNCTION("""COMPUTED_VALUE"""),1.0)</f>
        <v>1</v>
      </c>
      <c r="G969" s="1" t="str">
        <f>IFERROR(__xludf.DUMMYFUNCTION("""COMPUTED_VALUE"""),"PR010")</f>
        <v>PR010</v>
      </c>
      <c r="H969" s="1" t="str">
        <f>IFERROR(__xludf.DUMMYFUNCTION("""COMPUTED_VALUE"""),"VD048")</f>
        <v>VD048</v>
      </c>
      <c r="I969" s="1">
        <f>IFERROR(__xludf.DUMMYFUNCTION("""COMPUTED_VALUE"""),20.0)</f>
        <v>20</v>
      </c>
      <c r="J969" s="1">
        <f>IFERROR(__xludf.DUMMYFUNCTION("""COMPUTED_VALUE"""),915.96)</f>
        <v>915.96</v>
      </c>
      <c r="K969" s="1">
        <f>IFERROR(__xludf.DUMMYFUNCTION("""COMPUTED_VALUE"""),915.96)</f>
        <v>915.96</v>
      </c>
    </row>
    <row r="970">
      <c r="A970" s="1">
        <f>IFERROR(__xludf.DUMMYFUNCTION("""COMPUTED_VALUE"""),1000.0)</f>
        <v>1000</v>
      </c>
      <c r="B970" s="1">
        <f>IFERROR(__xludf.DUMMYFUNCTION("""COMPUTED_VALUE"""),184153.0)</f>
        <v>184153</v>
      </c>
      <c r="C970" s="1">
        <f>IFERROR(__xludf.DUMMYFUNCTION("""COMPUTED_VALUE"""),2026.0)</f>
        <v>2026</v>
      </c>
      <c r="D970" s="1">
        <f>IFERROR(__xludf.DUMMYFUNCTION("""COMPUTED_VALUE"""),46194.0)</f>
        <v>46194</v>
      </c>
      <c r="E970" s="1" t="str">
        <f>IFERROR(__xludf.DUMMYFUNCTION("""COMPUTED_VALUE"""),"VF")</f>
        <v>VF</v>
      </c>
      <c r="F970" s="1">
        <f>IFERROR(__xludf.DUMMYFUNCTION("""COMPUTED_VALUE"""),1.0)</f>
        <v>1</v>
      </c>
      <c r="G970" s="1" t="str">
        <f>IFERROR(__xludf.DUMMYFUNCTION("""COMPUTED_VALUE"""),"PR023")</f>
        <v>PR023</v>
      </c>
      <c r="H970" s="1" t="str">
        <f>IFERROR(__xludf.DUMMYFUNCTION("""COMPUTED_VALUE"""),"VD034")</f>
        <v>VD034</v>
      </c>
      <c r="I970" s="1">
        <f>IFERROR(__xludf.DUMMYFUNCTION("""COMPUTED_VALUE"""),4.0)</f>
        <v>4</v>
      </c>
      <c r="J970" s="1">
        <f>IFERROR(__xludf.DUMMYFUNCTION("""COMPUTED_VALUE"""),1059.58)</f>
        <v>1059.58</v>
      </c>
      <c r="K970" s="1">
        <f>IFERROR(__xludf.DUMMYFUNCTION("""COMPUTED_VALUE"""),1059.58)</f>
        <v>1059.58</v>
      </c>
    </row>
    <row r="971">
      <c r="A971" s="1">
        <f>IFERROR(__xludf.DUMMYFUNCTION("""COMPUTED_VALUE"""),1000.0)</f>
        <v>1000</v>
      </c>
      <c r="B971" s="1">
        <f>IFERROR(__xludf.DUMMYFUNCTION("""COMPUTED_VALUE"""),184154.0)</f>
        <v>184154</v>
      </c>
      <c r="C971" s="1">
        <f>IFERROR(__xludf.DUMMYFUNCTION("""COMPUTED_VALUE"""),2026.0)</f>
        <v>2026</v>
      </c>
      <c r="D971" s="1">
        <f>IFERROR(__xludf.DUMMYFUNCTION("""COMPUTED_VALUE"""),46194.0)</f>
        <v>46194</v>
      </c>
      <c r="E971" s="1" t="str">
        <f>IFERROR(__xludf.DUMMYFUNCTION("""COMPUTED_VALUE"""),"VF")</f>
        <v>VF</v>
      </c>
      <c r="F971" s="1">
        <f>IFERROR(__xludf.DUMMYFUNCTION("""COMPUTED_VALUE"""),1.0)</f>
        <v>1</v>
      </c>
      <c r="G971" s="1" t="str">
        <f>IFERROR(__xludf.DUMMYFUNCTION("""COMPUTED_VALUE"""),"PR038")</f>
        <v>PR038</v>
      </c>
      <c r="H971" s="1" t="str">
        <f>IFERROR(__xludf.DUMMYFUNCTION("""COMPUTED_VALUE"""),"VD024")</f>
        <v>VD024</v>
      </c>
      <c r="I971" s="1">
        <f>IFERROR(__xludf.DUMMYFUNCTION("""COMPUTED_VALUE"""),1.0)</f>
        <v>1</v>
      </c>
      <c r="J971" s="1">
        <f>IFERROR(__xludf.DUMMYFUNCTION("""COMPUTED_VALUE"""),142.9)</f>
        <v>142.9</v>
      </c>
      <c r="K971" s="1">
        <f>IFERROR(__xludf.DUMMYFUNCTION("""COMPUTED_VALUE"""),142.9)</f>
        <v>142.9</v>
      </c>
    </row>
    <row r="972">
      <c r="A972" s="1">
        <f>IFERROR(__xludf.DUMMYFUNCTION("""COMPUTED_VALUE"""),1000.0)</f>
        <v>1000</v>
      </c>
      <c r="B972" s="1">
        <f>IFERROR(__xludf.DUMMYFUNCTION("""COMPUTED_VALUE"""),184155.0)</f>
        <v>184155</v>
      </c>
      <c r="C972" s="1">
        <f>IFERROR(__xludf.DUMMYFUNCTION("""COMPUTED_VALUE"""),2026.0)</f>
        <v>2026</v>
      </c>
      <c r="D972" s="1">
        <f>IFERROR(__xludf.DUMMYFUNCTION("""COMPUTED_VALUE"""),46193.0)</f>
        <v>46193</v>
      </c>
      <c r="E972" s="1" t="str">
        <f>IFERROR(__xludf.DUMMYFUNCTION("""COMPUTED_VALUE"""),"VF")</f>
        <v>VF</v>
      </c>
      <c r="F972" s="1">
        <f>IFERROR(__xludf.DUMMYFUNCTION("""COMPUTED_VALUE"""),1.0)</f>
        <v>1</v>
      </c>
      <c r="G972" s="1" t="str">
        <f>IFERROR(__xludf.DUMMYFUNCTION("""COMPUTED_VALUE"""),"PR021")</f>
        <v>PR021</v>
      </c>
      <c r="H972" s="1" t="str">
        <f>IFERROR(__xludf.DUMMYFUNCTION("""COMPUTED_VALUE"""),"VD018")</f>
        <v>VD018</v>
      </c>
      <c r="I972" s="1">
        <f>IFERROR(__xludf.DUMMYFUNCTION("""COMPUTED_VALUE"""),4.0)</f>
        <v>4</v>
      </c>
      <c r="J972" s="1">
        <f>IFERROR(__xludf.DUMMYFUNCTION("""COMPUTED_VALUE"""),1211.6)</f>
        <v>1211.6</v>
      </c>
      <c r="K972" s="1">
        <f>IFERROR(__xludf.DUMMYFUNCTION("""COMPUTED_VALUE"""),1211.6)</f>
        <v>1211.6</v>
      </c>
    </row>
    <row r="973">
      <c r="A973" s="1">
        <f>IFERROR(__xludf.DUMMYFUNCTION("""COMPUTED_VALUE"""),1000.0)</f>
        <v>1000</v>
      </c>
      <c r="B973" s="1">
        <f>IFERROR(__xludf.DUMMYFUNCTION("""COMPUTED_VALUE"""),184156.0)</f>
        <v>184156</v>
      </c>
      <c r="C973" s="1">
        <f>IFERROR(__xludf.DUMMYFUNCTION("""COMPUTED_VALUE"""),2026.0)</f>
        <v>2026</v>
      </c>
      <c r="D973" s="1">
        <f>IFERROR(__xludf.DUMMYFUNCTION("""COMPUTED_VALUE"""),46193.0)</f>
        <v>46193</v>
      </c>
      <c r="E973" s="1" t="str">
        <f>IFERROR(__xludf.DUMMYFUNCTION("""COMPUTED_VALUE"""),"VF")</f>
        <v>VF</v>
      </c>
      <c r="F973" s="1">
        <f>IFERROR(__xludf.DUMMYFUNCTION("""COMPUTED_VALUE"""),1.0)</f>
        <v>1</v>
      </c>
      <c r="G973" s="1" t="str">
        <f>IFERROR(__xludf.DUMMYFUNCTION("""COMPUTED_VALUE"""),"PR022")</f>
        <v>PR022</v>
      </c>
      <c r="H973" s="1" t="str">
        <f>IFERROR(__xludf.DUMMYFUNCTION("""COMPUTED_VALUE"""),"VD045")</f>
        <v>VD045</v>
      </c>
      <c r="I973" s="1">
        <f>IFERROR(__xludf.DUMMYFUNCTION("""COMPUTED_VALUE"""),20.0)</f>
        <v>20</v>
      </c>
      <c r="J973" s="1">
        <f>IFERROR(__xludf.DUMMYFUNCTION("""COMPUTED_VALUE"""),6000.0)</f>
        <v>6000</v>
      </c>
      <c r="K973" s="1">
        <f>IFERROR(__xludf.DUMMYFUNCTION("""COMPUTED_VALUE"""),6000.0)</f>
        <v>6000</v>
      </c>
    </row>
    <row r="974">
      <c r="A974" s="1">
        <f>IFERROR(__xludf.DUMMYFUNCTION("""COMPUTED_VALUE"""),1000.0)</f>
        <v>1000</v>
      </c>
      <c r="B974" s="1">
        <f>IFERROR(__xludf.DUMMYFUNCTION("""COMPUTED_VALUE"""),184156.0)</f>
        <v>184156</v>
      </c>
      <c r="C974" s="1">
        <f>IFERROR(__xludf.DUMMYFUNCTION("""COMPUTED_VALUE"""),2026.0)</f>
        <v>2026</v>
      </c>
      <c r="D974" s="1">
        <f>IFERROR(__xludf.DUMMYFUNCTION("""COMPUTED_VALUE"""),46192.0)</f>
        <v>46192</v>
      </c>
      <c r="E974" s="1" t="str">
        <f>IFERROR(__xludf.DUMMYFUNCTION("""COMPUTED_VALUE"""),"VF")</f>
        <v>VF</v>
      </c>
      <c r="F974" s="1">
        <f>IFERROR(__xludf.DUMMYFUNCTION("""COMPUTED_VALUE"""),2.0)</f>
        <v>2</v>
      </c>
      <c r="G974" s="1" t="str">
        <f>IFERROR(__xludf.DUMMYFUNCTION("""COMPUTED_VALUE"""),"PR002")</f>
        <v>PR002</v>
      </c>
      <c r="H974" s="1" t="str">
        <f>IFERROR(__xludf.DUMMYFUNCTION("""COMPUTED_VALUE"""),"VD023")</f>
        <v>VD023</v>
      </c>
      <c r="I974" s="1">
        <f>IFERROR(__xludf.DUMMYFUNCTION("""COMPUTED_VALUE"""),3.0)</f>
        <v>3</v>
      </c>
      <c r="J974" s="1">
        <f>IFERROR(__xludf.DUMMYFUNCTION("""COMPUTED_VALUE"""),220.19)</f>
        <v>220.19</v>
      </c>
      <c r="K974" s="1">
        <f>IFERROR(__xludf.DUMMYFUNCTION("""COMPUTED_VALUE"""),220.19)</f>
        <v>220.19</v>
      </c>
    </row>
    <row r="975">
      <c r="A975" s="1">
        <f>IFERROR(__xludf.DUMMYFUNCTION("""COMPUTED_VALUE"""),1000.0)</f>
        <v>1000</v>
      </c>
      <c r="B975" s="1">
        <f>IFERROR(__xludf.DUMMYFUNCTION("""COMPUTED_VALUE"""),184157.0)</f>
        <v>184157</v>
      </c>
      <c r="C975" s="1">
        <f>IFERROR(__xludf.DUMMYFUNCTION("""COMPUTED_VALUE"""),2026.0)</f>
        <v>2026</v>
      </c>
      <c r="D975" s="1">
        <f>IFERROR(__xludf.DUMMYFUNCTION("""COMPUTED_VALUE"""),46192.0)</f>
        <v>46192</v>
      </c>
      <c r="E975" s="1" t="str">
        <f>IFERROR(__xludf.DUMMYFUNCTION("""COMPUTED_VALUE"""),"VF")</f>
        <v>VF</v>
      </c>
      <c r="F975" s="1">
        <f>IFERROR(__xludf.DUMMYFUNCTION("""COMPUTED_VALUE"""),1.0)</f>
        <v>1</v>
      </c>
      <c r="G975" s="1" t="str">
        <f>IFERROR(__xludf.DUMMYFUNCTION("""COMPUTED_VALUE"""),"PR035")</f>
        <v>PR035</v>
      </c>
      <c r="H975" s="1" t="str">
        <f>IFERROR(__xludf.DUMMYFUNCTION("""COMPUTED_VALUE"""),"VD010")</f>
        <v>VD010</v>
      </c>
      <c r="I975" s="1">
        <f>IFERROR(__xludf.DUMMYFUNCTION("""COMPUTED_VALUE"""),6.0)</f>
        <v>6</v>
      </c>
      <c r="J975" s="1">
        <f>IFERROR(__xludf.DUMMYFUNCTION("""COMPUTED_VALUE"""),559.37)</f>
        <v>559.37</v>
      </c>
      <c r="K975" s="1">
        <f>IFERROR(__xludf.DUMMYFUNCTION("""COMPUTED_VALUE"""),559.37)</f>
        <v>559.37</v>
      </c>
    </row>
    <row r="976">
      <c r="A976" s="1">
        <f>IFERROR(__xludf.DUMMYFUNCTION("""COMPUTED_VALUE"""),2000.0)</f>
        <v>2000</v>
      </c>
      <c r="B976" s="1">
        <f>IFERROR(__xludf.DUMMYFUNCTION("""COMPUTED_VALUE"""),184158.0)</f>
        <v>184158</v>
      </c>
      <c r="C976" s="1">
        <f>IFERROR(__xludf.DUMMYFUNCTION("""COMPUTED_VALUE"""),2026.0)</f>
        <v>2026</v>
      </c>
      <c r="D976" s="1">
        <f>IFERROR(__xludf.DUMMYFUNCTION("""COMPUTED_VALUE"""),46192.0)</f>
        <v>46192</v>
      </c>
      <c r="E976" s="1" t="str">
        <f>IFERROR(__xludf.DUMMYFUNCTION("""COMPUTED_VALUE"""),"VF")</f>
        <v>VF</v>
      </c>
      <c r="F976" s="1">
        <f>IFERROR(__xludf.DUMMYFUNCTION("""COMPUTED_VALUE"""),1.0)</f>
        <v>1</v>
      </c>
      <c r="G976" s="1" t="str">
        <f>IFERROR(__xludf.DUMMYFUNCTION("""COMPUTED_VALUE"""),"PR045")</f>
        <v>PR045</v>
      </c>
      <c r="H976" s="1" t="str">
        <f>IFERROR(__xludf.DUMMYFUNCTION("""COMPUTED_VALUE"""),"VD031")</f>
        <v>VD031</v>
      </c>
      <c r="I976" s="1">
        <f>IFERROR(__xludf.DUMMYFUNCTION("""COMPUTED_VALUE"""),2.0)</f>
        <v>2</v>
      </c>
      <c r="J976" s="1">
        <f>IFERROR(__xludf.DUMMYFUNCTION("""COMPUTED_VALUE"""),146.45)</f>
        <v>146.45</v>
      </c>
      <c r="K976" s="1">
        <f>IFERROR(__xludf.DUMMYFUNCTION("""COMPUTED_VALUE"""),146.45)</f>
        <v>146.45</v>
      </c>
    </row>
    <row r="977">
      <c r="A977" s="1">
        <f>IFERROR(__xludf.DUMMYFUNCTION("""COMPUTED_VALUE"""),1000.0)</f>
        <v>1000</v>
      </c>
      <c r="B977" s="1">
        <f>IFERROR(__xludf.DUMMYFUNCTION("""COMPUTED_VALUE"""),184158.0)</f>
        <v>184158</v>
      </c>
      <c r="C977" s="1">
        <f>IFERROR(__xludf.DUMMYFUNCTION("""COMPUTED_VALUE"""),2026.0)</f>
        <v>2026</v>
      </c>
      <c r="D977" s="1">
        <f>IFERROR(__xludf.DUMMYFUNCTION("""COMPUTED_VALUE"""),46191.0)</f>
        <v>46191</v>
      </c>
      <c r="E977" s="1" t="str">
        <f>IFERROR(__xludf.DUMMYFUNCTION("""COMPUTED_VALUE"""),"VF")</f>
        <v>VF</v>
      </c>
      <c r="F977" s="1">
        <f>IFERROR(__xludf.DUMMYFUNCTION("""COMPUTED_VALUE"""),2.0)</f>
        <v>2</v>
      </c>
      <c r="G977" s="1" t="str">
        <f>IFERROR(__xludf.DUMMYFUNCTION("""COMPUTED_VALUE"""),"PR011")</f>
        <v>PR011</v>
      </c>
      <c r="H977" s="1" t="str">
        <f>IFERROR(__xludf.DUMMYFUNCTION("""COMPUTED_VALUE"""),"VD040")</f>
        <v>VD040</v>
      </c>
      <c r="I977" s="1">
        <f>IFERROR(__xludf.DUMMYFUNCTION("""COMPUTED_VALUE"""),4.0)</f>
        <v>4</v>
      </c>
      <c r="J977" s="1">
        <f>IFERROR(__xludf.DUMMYFUNCTION("""COMPUTED_VALUE"""),202.61)</f>
        <v>202.61</v>
      </c>
      <c r="K977" s="1">
        <f>IFERROR(__xludf.DUMMYFUNCTION("""COMPUTED_VALUE"""),202.61)</f>
        <v>202.61</v>
      </c>
    </row>
    <row r="978">
      <c r="A978" s="1">
        <f>IFERROR(__xludf.DUMMYFUNCTION("""COMPUTED_VALUE"""),2000.0)</f>
        <v>2000</v>
      </c>
      <c r="B978" s="1">
        <f>IFERROR(__xludf.DUMMYFUNCTION("""COMPUTED_VALUE"""),184159.0)</f>
        <v>184159</v>
      </c>
      <c r="C978" s="1">
        <f>IFERROR(__xludf.DUMMYFUNCTION("""COMPUTED_VALUE"""),2026.0)</f>
        <v>2026</v>
      </c>
      <c r="D978" s="1">
        <f>IFERROR(__xludf.DUMMYFUNCTION("""COMPUTED_VALUE"""),46191.0)</f>
        <v>46191</v>
      </c>
      <c r="E978" s="1" t="str">
        <f>IFERROR(__xludf.DUMMYFUNCTION("""COMPUTED_VALUE"""),"VF")</f>
        <v>VF</v>
      </c>
      <c r="F978" s="1">
        <f>IFERROR(__xludf.DUMMYFUNCTION("""COMPUTED_VALUE"""),1.0)</f>
        <v>1</v>
      </c>
      <c r="G978" s="1" t="str">
        <f>IFERROR(__xludf.DUMMYFUNCTION("""COMPUTED_VALUE"""),"PR028")</f>
        <v>PR028</v>
      </c>
      <c r="H978" s="1" t="str">
        <f>IFERROR(__xludf.DUMMYFUNCTION("""COMPUTED_VALUE"""),"VD010")</f>
        <v>VD010</v>
      </c>
      <c r="I978" s="1">
        <f>IFERROR(__xludf.DUMMYFUNCTION("""COMPUTED_VALUE"""),10.0)</f>
        <v>10</v>
      </c>
      <c r="J978" s="1">
        <f>IFERROR(__xludf.DUMMYFUNCTION("""COMPUTED_VALUE"""),2673.93)</f>
        <v>2673.93</v>
      </c>
      <c r="K978" s="1">
        <f>IFERROR(__xludf.DUMMYFUNCTION("""COMPUTED_VALUE"""),2673.93)</f>
        <v>2673.93</v>
      </c>
    </row>
    <row r="979">
      <c r="A979" s="1">
        <f>IFERROR(__xludf.DUMMYFUNCTION("""COMPUTED_VALUE"""),1000.0)</f>
        <v>1000</v>
      </c>
      <c r="B979" s="1">
        <f>IFERROR(__xludf.DUMMYFUNCTION("""COMPUTED_VALUE"""),184160.0)</f>
        <v>184160</v>
      </c>
      <c r="C979" s="1">
        <f>IFERROR(__xludf.DUMMYFUNCTION("""COMPUTED_VALUE"""),2026.0)</f>
        <v>2026</v>
      </c>
      <c r="D979" s="1">
        <f>IFERROR(__xludf.DUMMYFUNCTION("""COMPUTED_VALUE"""),46190.0)</f>
        <v>46190</v>
      </c>
      <c r="E979" s="1" t="str">
        <f>IFERROR(__xludf.DUMMYFUNCTION("""COMPUTED_VALUE"""),"VF")</f>
        <v>VF</v>
      </c>
      <c r="F979" s="1">
        <f>IFERROR(__xludf.DUMMYFUNCTION("""COMPUTED_VALUE"""),1.0)</f>
        <v>1</v>
      </c>
      <c r="G979" s="1" t="str">
        <f>IFERROR(__xludf.DUMMYFUNCTION("""COMPUTED_VALUE"""),"PR007")</f>
        <v>PR007</v>
      </c>
      <c r="H979" s="1" t="str">
        <f>IFERROR(__xludf.DUMMYFUNCTION("""COMPUTED_VALUE"""),"VD017")</f>
        <v>VD017</v>
      </c>
      <c r="I979" s="1">
        <f>IFERROR(__xludf.DUMMYFUNCTION("""COMPUTED_VALUE"""),14.0)</f>
        <v>14</v>
      </c>
      <c r="J979" s="1">
        <f>IFERROR(__xludf.DUMMYFUNCTION("""COMPUTED_VALUE"""),1274.76)</f>
        <v>1274.76</v>
      </c>
      <c r="K979" s="1">
        <f>IFERROR(__xludf.DUMMYFUNCTION("""COMPUTED_VALUE"""),1274.76)</f>
        <v>1274.76</v>
      </c>
    </row>
    <row r="980">
      <c r="A980" s="1">
        <f>IFERROR(__xludf.DUMMYFUNCTION("""COMPUTED_VALUE"""),2000.0)</f>
        <v>2000</v>
      </c>
      <c r="B980" s="1">
        <f>IFERROR(__xludf.DUMMYFUNCTION("""COMPUTED_VALUE"""),184160.0)</f>
        <v>184160</v>
      </c>
      <c r="C980" s="1">
        <f>IFERROR(__xludf.DUMMYFUNCTION("""COMPUTED_VALUE"""),2026.0)</f>
        <v>2026</v>
      </c>
      <c r="D980" s="1">
        <f>IFERROR(__xludf.DUMMYFUNCTION("""COMPUTED_VALUE"""),46190.0)</f>
        <v>46190</v>
      </c>
      <c r="E980" s="1" t="str">
        <f>IFERROR(__xludf.DUMMYFUNCTION("""COMPUTED_VALUE"""),"VF")</f>
        <v>VF</v>
      </c>
      <c r="F980" s="1">
        <f>IFERROR(__xludf.DUMMYFUNCTION("""COMPUTED_VALUE"""),2.0)</f>
        <v>2</v>
      </c>
      <c r="G980" s="1" t="str">
        <f>IFERROR(__xludf.DUMMYFUNCTION("""COMPUTED_VALUE"""),"PR052")</f>
        <v>PR052</v>
      </c>
      <c r="H980" s="1" t="str">
        <f>IFERROR(__xludf.DUMMYFUNCTION("""COMPUTED_VALUE"""),"VD029")</f>
        <v>VD029</v>
      </c>
      <c r="I980" s="1">
        <f>IFERROR(__xludf.DUMMYFUNCTION("""COMPUTED_VALUE"""),6.0)</f>
        <v>6</v>
      </c>
      <c r="J980" s="1">
        <f>IFERROR(__xludf.DUMMYFUNCTION("""COMPUTED_VALUE"""),326.35)</f>
        <v>326.35</v>
      </c>
      <c r="K980" s="1">
        <f>IFERROR(__xludf.DUMMYFUNCTION("""COMPUTED_VALUE"""),326.35)</f>
        <v>326.35</v>
      </c>
    </row>
    <row r="981">
      <c r="A981" s="1">
        <f>IFERROR(__xludf.DUMMYFUNCTION("""COMPUTED_VALUE"""),1000.0)</f>
        <v>1000</v>
      </c>
      <c r="B981" s="1">
        <f>IFERROR(__xludf.DUMMYFUNCTION("""COMPUTED_VALUE"""),184160.0)</f>
        <v>184160</v>
      </c>
      <c r="C981" s="1">
        <f>IFERROR(__xludf.DUMMYFUNCTION("""COMPUTED_VALUE"""),2026.0)</f>
        <v>2026</v>
      </c>
      <c r="D981" s="1">
        <f>IFERROR(__xludf.DUMMYFUNCTION("""COMPUTED_VALUE"""),46189.0)</f>
        <v>46189</v>
      </c>
      <c r="E981" s="1" t="str">
        <f>IFERROR(__xludf.DUMMYFUNCTION("""COMPUTED_VALUE"""),"VF")</f>
        <v>VF</v>
      </c>
      <c r="F981" s="1">
        <f>IFERROR(__xludf.DUMMYFUNCTION("""COMPUTED_VALUE"""),3.0)</f>
        <v>3</v>
      </c>
      <c r="G981" s="1" t="str">
        <f>IFERROR(__xludf.DUMMYFUNCTION("""COMPUTED_VALUE"""),"PR046")</f>
        <v>PR046</v>
      </c>
      <c r="H981" s="1" t="str">
        <f>IFERROR(__xludf.DUMMYFUNCTION("""COMPUTED_VALUE"""),"VD022")</f>
        <v>VD022</v>
      </c>
      <c r="I981" s="1">
        <f>IFERROR(__xludf.DUMMYFUNCTION("""COMPUTED_VALUE"""),4.0)</f>
        <v>4</v>
      </c>
      <c r="J981" s="1">
        <f>IFERROR(__xludf.DUMMYFUNCTION("""COMPUTED_VALUE"""),1263.96)</f>
        <v>1263.96</v>
      </c>
      <c r="K981" s="1">
        <f>IFERROR(__xludf.DUMMYFUNCTION("""COMPUTED_VALUE"""),1263.96)</f>
        <v>1263.96</v>
      </c>
    </row>
    <row r="982">
      <c r="A982" s="1">
        <f>IFERROR(__xludf.DUMMYFUNCTION("""COMPUTED_VALUE"""),1000.0)</f>
        <v>1000</v>
      </c>
      <c r="B982" s="1">
        <f>IFERROR(__xludf.DUMMYFUNCTION("""COMPUTED_VALUE"""),184160.0)</f>
        <v>184160</v>
      </c>
      <c r="C982" s="1">
        <f>IFERROR(__xludf.DUMMYFUNCTION("""COMPUTED_VALUE"""),2026.0)</f>
        <v>2026</v>
      </c>
      <c r="D982" s="1">
        <f>IFERROR(__xludf.DUMMYFUNCTION("""COMPUTED_VALUE"""),46189.0)</f>
        <v>46189</v>
      </c>
      <c r="E982" s="1" t="str">
        <f>IFERROR(__xludf.DUMMYFUNCTION("""COMPUTED_VALUE"""),"VF")</f>
        <v>VF</v>
      </c>
      <c r="F982" s="1">
        <f>IFERROR(__xludf.DUMMYFUNCTION("""COMPUTED_VALUE"""),4.0)</f>
        <v>4</v>
      </c>
      <c r="G982" s="1" t="str">
        <f>IFERROR(__xludf.DUMMYFUNCTION("""COMPUTED_VALUE"""),"PR008")</f>
        <v>PR008</v>
      </c>
      <c r="H982" s="1" t="str">
        <f>IFERROR(__xludf.DUMMYFUNCTION("""COMPUTED_VALUE"""),"VD038")</f>
        <v>VD038</v>
      </c>
      <c r="I982" s="1">
        <f>IFERROR(__xludf.DUMMYFUNCTION("""COMPUTED_VALUE"""),8.0)</f>
        <v>8</v>
      </c>
      <c r="J982" s="1">
        <f>IFERROR(__xludf.DUMMYFUNCTION("""COMPUTED_VALUE"""),769.54)</f>
        <v>769.54</v>
      </c>
      <c r="K982" s="1">
        <f>IFERROR(__xludf.DUMMYFUNCTION("""COMPUTED_VALUE"""),769.54)</f>
        <v>769.54</v>
      </c>
    </row>
    <row r="983">
      <c r="A983" s="1">
        <f>IFERROR(__xludf.DUMMYFUNCTION("""COMPUTED_VALUE"""),1000.0)</f>
        <v>1000</v>
      </c>
      <c r="B983" s="1">
        <f>IFERROR(__xludf.DUMMYFUNCTION("""COMPUTED_VALUE"""),184161.0)</f>
        <v>184161</v>
      </c>
      <c r="C983" s="1">
        <f>IFERROR(__xludf.DUMMYFUNCTION("""COMPUTED_VALUE"""),2026.0)</f>
        <v>2026</v>
      </c>
      <c r="D983" s="1">
        <f>IFERROR(__xludf.DUMMYFUNCTION("""COMPUTED_VALUE"""),46189.0)</f>
        <v>46189</v>
      </c>
      <c r="E983" s="1" t="str">
        <f>IFERROR(__xludf.DUMMYFUNCTION("""COMPUTED_VALUE"""),"VF")</f>
        <v>VF</v>
      </c>
      <c r="F983" s="1">
        <f>IFERROR(__xludf.DUMMYFUNCTION("""COMPUTED_VALUE"""),1.0)</f>
        <v>1</v>
      </c>
      <c r="G983" s="1" t="str">
        <f>IFERROR(__xludf.DUMMYFUNCTION("""COMPUTED_VALUE"""),"PR039")</f>
        <v>PR039</v>
      </c>
      <c r="H983" s="1" t="str">
        <f>IFERROR(__xludf.DUMMYFUNCTION("""COMPUTED_VALUE"""),"VD038")</f>
        <v>VD038</v>
      </c>
      <c r="I983" s="1">
        <f>IFERROR(__xludf.DUMMYFUNCTION("""COMPUTED_VALUE"""),1.0)</f>
        <v>1</v>
      </c>
      <c r="J983" s="1">
        <f>IFERROR(__xludf.DUMMYFUNCTION("""COMPUTED_VALUE"""),146.0)</f>
        <v>146</v>
      </c>
      <c r="K983" s="1">
        <f>IFERROR(__xludf.DUMMYFUNCTION("""COMPUTED_VALUE"""),146.0)</f>
        <v>146</v>
      </c>
    </row>
    <row r="984">
      <c r="A984" s="1">
        <f>IFERROR(__xludf.DUMMYFUNCTION("""COMPUTED_VALUE"""),2000.0)</f>
        <v>2000</v>
      </c>
      <c r="B984" s="1">
        <f>IFERROR(__xludf.DUMMYFUNCTION("""COMPUTED_VALUE"""),184162.0)</f>
        <v>184162</v>
      </c>
      <c r="C984" s="1">
        <f>IFERROR(__xludf.DUMMYFUNCTION("""COMPUTED_VALUE"""),2026.0)</f>
        <v>2026</v>
      </c>
      <c r="D984" s="1">
        <f>IFERROR(__xludf.DUMMYFUNCTION("""COMPUTED_VALUE"""),46188.0)</f>
        <v>46188</v>
      </c>
      <c r="E984" s="1" t="str">
        <f>IFERROR(__xludf.DUMMYFUNCTION("""COMPUTED_VALUE"""),"VF")</f>
        <v>VF</v>
      </c>
      <c r="F984" s="1">
        <f>IFERROR(__xludf.DUMMYFUNCTION("""COMPUTED_VALUE"""),1.0)</f>
        <v>1</v>
      </c>
      <c r="G984" s="1" t="str">
        <f>IFERROR(__xludf.DUMMYFUNCTION("""COMPUTED_VALUE"""),"PR038")</f>
        <v>PR038</v>
      </c>
      <c r="H984" s="1" t="str">
        <f>IFERROR(__xludf.DUMMYFUNCTION("""COMPUTED_VALUE"""),"VD012")</f>
        <v>VD012</v>
      </c>
      <c r="I984" s="1">
        <f>IFERROR(__xludf.DUMMYFUNCTION("""COMPUTED_VALUE"""),4.0)</f>
        <v>4</v>
      </c>
      <c r="J984" s="1">
        <f>IFERROR(__xludf.DUMMYFUNCTION("""COMPUTED_VALUE"""),577.32)</f>
        <v>577.32</v>
      </c>
      <c r="K984" s="1">
        <f>IFERROR(__xludf.DUMMYFUNCTION("""COMPUTED_VALUE"""),577.32)</f>
        <v>577.32</v>
      </c>
    </row>
    <row r="985">
      <c r="A985" s="1">
        <f>IFERROR(__xludf.DUMMYFUNCTION("""COMPUTED_VALUE"""),1000.0)</f>
        <v>1000</v>
      </c>
      <c r="B985" s="1">
        <f>IFERROR(__xludf.DUMMYFUNCTION("""COMPUTED_VALUE"""),184163.0)</f>
        <v>184163</v>
      </c>
      <c r="C985" s="1">
        <f>IFERROR(__xludf.DUMMYFUNCTION("""COMPUTED_VALUE"""),2026.0)</f>
        <v>2026</v>
      </c>
      <c r="D985" s="1">
        <f>IFERROR(__xludf.DUMMYFUNCTION("""COMPUTED_VALUE"""),46188.0)</f>
        <v>46188</v>
      </c>
      <c r="E985" s="1" t="str">
        <f>IFERROR(__xludf.DUMMYFUNCTION("""COMPUTED_VALUE"""),"VF")</f>
        <v>VF</v>
      </c>
      <c r="F985" s="1">
        <f>IFERROR(__xludf.DUMMYFUNCTION("""COMPUTED_VALUE"""),1.0)</f>
        <v>1</v>
      </c>
      <c r="G985" s="1" t="str">
        <f>IFERROR(__xludf.DUMMYFUNCTION("""COMPUTED_VALUE"""),"PR030")</f>
        <v>PR030</v>
      </c>
      <c r="H985" s="1" t="str">
        <f>IFERROR(__xludf.DUMMYFUNCTION("""COMPUTED_VALUE"""),"VD035")</f>
        <v>VD035</v>
      </c>
      <c r="I985" s="1">
        <f>IFERROR(__xludf.DUMMYFUNCTION("""COMPUTED_VALUE"""),2.0)</f>
        <v>2</v>
      </c>
      <c r="J985" s="1">
        <f>IFERROR(__xludf.DUMMYFUNCTION("""COMPUTED_VALUE"""),571.78)</f>
        <v>571.78</v>
      </c>
      <c r="K985" s="1">
        <f>IFERROR(__xludf.DUMMYFUNCTION("""COMPUTED_VALUE"""),571.78)</f>
        <v>571.78</v>
      </c>
    </row>
    <row r="986">
      <c r="A986" s="1">
        <f>IFERROR(__xludf.DUMMYFUNCTION("""COMPUTED_VALUE"""),1000.0)</f>
        <v>1000</v>
      </c>
      <c r="B986" s="1">
        <f>IFERROR(__xludf.DUMMYFUNCTION("""COMPUTED_VALUE"""),184164.0)</f>
        <v>184164</v>
      </c>
      <c r="C986" s="1">
        <f>IFERROR(__xludf.DUMMYFUNCTION("""COMPUTED_VALUE"""),2026.0)</f>
        <v>2026</v>
      </c>
      <c r="D986" s="1">
        <f>IFERROR(__xludf.DUMMYFUNCTION("""COMPUTED_VALUE"""),46188.0)</f>
        <v>46188</v>
      </c>
      <c r="E986" s="1" t="str">
        <f>IFERROR(__xludf.DUMMYFUNCTION("""COMPUTED_VALUE"""),"VF")</f>
        <v>VF</v>
      </c>
      <c r="F986" s="1">
        <f>IFERROR(__xludf.DUMMYFUNCTION("""COMPUTED_VALUE"""),1.0)</f>
        <v>1</v>
      </c>
      <c r="G986" s="1" t="str">
        <f>IFERROR(__xludf.DUMMYFUNCTION("""COMPUTED_VALUE"""),"PR015")</f>
        <v>PR015</v>
      </c>
      <c r="H986" s="1" t="str">
        <f>IFERROR(__xludf.DUMMYFUNCTION("""COMPUTED_VALUE"""),"VD013")</f>
        <v>VD013</v>
      </c>
      <c r="I986" s="1">
        <f>IFERROR(__xludf.DUMMYFUNCTION("""COMPUTED_VALUE"""),20.0)</f>
        <v>20</v>
      </c>
      <c r="J986" s="1">
        <f>IFERROR(__xludf.DUMMYFUNCTION("""COMPUTED_VALUE"""),901.0)</f>
        <v>901</v>
      </c>
      <c r="K986" s="1">
        <f>IFERROR(__xludf.DUMMYFUNCTION("""COMPUTED_VALUE"""),901.0)</f>
        <v>901</v>
      </c>
    </row>
    <row r="987">
      <c r="A987" s="1">
        <f>IFERROR(__xludf.DUMMYFUNCTION("""COMPUTED_VALUE"""),1000.0)</f>
        <v>1000</v>
      </c>
      <c r="B987" s="1">
        <f>IFERROR(__xludf.DUMMYFUNCTION("""COMPUTED_VALUE"""),184165.0)</f>
        <v>184165</v>
      </c>
      <c r="C987" s="1">
        <f>IFERROR(__xludf.DUMMYFUNCTION("""COMPUTED_VALUE"""),2026.0)</f>
        <v>2026</v>
      </c>
      <c r="D987" s="1">
        <f>IFERROR(__xludf.DUMMYFUNCTION("""COMPUTED_VALUE"""),46187.0)</f>
        <v>46187</v>
      </c>
      <c r="E987" s="1" t="str">
        <f>IFERROR(__xludf.DUMMYFUNCTION("""COMPUTED_VALUE"""),"VF")</f>
        <v>VF</v>
      </c>
      <c r="F987" s="1">
        <f>IFERROR(__xludf.DUMMYFUNCTION("""COMPUTED_VALUE"""),1.0)</f>
        <v>1</v>
      </c>
      <c r="G987" s="1" t="str">
        <f>IFERROR(__xludf.DUMMYFUNCTION("""COMPUTED_VALUE"""),"PR025")</f>
        <v>PR025</v>
      </c>
      <c r="H987" s="1" t="str">
        <f>IFERROR(__xludf.DUMMYFUNCTION("""COMPUTED_VALUE"""),"VD021")</f>
        <v>VD021</v>
      </c>
      <c r="I987" s="1">
        <f>IFERROR(__xludf.DUMMYFUNCTION("""COMPUTED_VALUE"""),12.0)</f>
        <v>12</v>
      </c>
      <c r="J987" s="1">
        <f>IFERROR(__xludf.DUMMYFUNCTION("""COMPUTED_VALUE"""),3850.72)</f>
        <v>3850.72</v>
      </c>
      <c r="K987" s="1">
        <f>IFERROR(__xludf.DUMMYFUNCTION("""COMPUTED_VALUE"""),3850.72)</f>
        <v>3850.72</v>
      </c>
    </row>
    <row r="988">
      <c r="A988" s="1">
        <f>IFERROR(__xludf.DUMMYFUNCTION("""COMPUTED_VALUE"""),1000.0)</f>
        <v>1000</v>
      </c>
      <c r="B988" s="1">
        <f>IFERROR(__xludf.DUMMYFUNCTION("""COMPUTED_VALUE"""),184166.0)</f>
        <v>184166</v>
      </c>
      <c r="C988" s="1">
        <f>IFERROR(__xludf.DUMMYFUNCTION("""COMPUTED_VALUE"""),2026.0)</f>
        <v>2026</v>
      </c>
      <c r="D988" s="1">
        <f>IFERROR(__xludf.DUMMYFUNCTION("""COMPUTED_VALUE"""),46187.0)</f>
        <v>46187</v>
      </c>
      <c r="E988" s="1" t="str">
        <f>IFERROR(__xludf.DUMMYFUNCTION("""COMPUTED_VALUE"""),"VF")</f>
        <v>VF</v>
      </c>
      <c r="F988" s="1">
        <f>IFERROR(__xludf.DUMMYFUNCTION("""COMPUTED_VALUE"""),1.0)</f>
        <v>1</v>
      </c>
      <c r="G988" s="1" t="str">
        <f>IFERROR(__xludf.DUMMYFUNCTION("""COMPUTED_VALUE"""),"PR016")</f>
        <v>PR016</v>
      </c>
      <c r="H988" s="1" t="str">
        <f>IFERROR(__xludf.DUMMYFUNCTION("""COMPUTED_VALUE"""),"VD023")</f>
        <v>VD023</v>
      </c>
      <c r="I988" s="1">
        <f>IFERROR(__xludf.DUMMYFUNCTION("""COMPUTED_VALUE"""),14.0)</f>
        <v>14</v>
      </c>
      <c r="J988" s="1">
        <f>IFERROR(__xludf.DUMMYFUNCTION("""COMPUTED_VALUE"""),398.86)</f>
        <v>398.86</v>
      </c>
      <c r="K988" s="1">
        <f>IFERROR(__xludf.DUMMYFUNCTION("""COMPUTED_VALUE"""),398.86)</f>
        <v>398.86</v>
      </c>
    </row>
    <row r="989">
      <c r="A989" s="1">
        <f>IFERROR(__xludf.DUMMYFUNCTION("""COMPUTED_VALUE"""),1000.0)</f>
        <v>1000</v>
      </c>
      <c r="B989" s="1">
        <f>IFERROR(__xludf.DUMMYFUNCTION("""COMPUTED_VALUE"""),184167.0)</f>
        <v>184167</v>
      </c>
      <c r="C989" s="1">
        <f>IFERROR(__xludf.DUMMYFUNCTION("""COMPUTED_VALUE"""),2026.0)</f>
        <v>2026</v>
      </c>
      <c r="D989" s="1">
        <f>IFERROR(__xludf.DUMMYFUNCTION("""COMPUTED_VALUE"""),46187.0)</f>
        <v>46187</v>
      </c>
      <c r="E989" s="1" t="str">
        <f>IFERROR(__xludf.DUMMYFUNCTION("""COMPUTED_VALUE"""),"VF")</f>
        <v>VF</v>
      </c>
      <c r="F989" s="1">
        <f>IFERROR(__xludf.DUMMYFUNCTION("""COMPUTED_VALUE"""),1.0)</f>
        <v>1</v>
      </c>
      <c r="G989" s="1" t="str">
        <f>IFERROR(__xludf.DUMMYFUNCTION("""COMPUTED_VALUE"""),"PR048")</f>
        <v>PR048</v>
      </c>
      <c r="H989" s="1" t="str">
        <f>IFERROR(__xludf.DUMMYFUNCTION("""COMPUTED_VALUE"""),"VD038")</f>
        <v>VD038</v>
      </c>
      <c r="I989" s="1">
        <f>IFERROR(__xludf.DUMMYFUNCTION("""COMPUTED_VALUE"""),2.0)</f>
        <v>2</v>
      </c>
      <c r="J989" s="1">
        <f>IFERROR(__xludf.DUMMYFUNCTION("""COMPUTED_VALUE"""),620.39)</f>
        <v>620.39</v>
      </c>
      <c r="K989" s="1">
        <f>IFERROR(__xludf.DUMMYFUNCTION("""COMPUTED_VALUE"""),620.39)</f>
        <v>620.39</v>
      </c>
    </row>
    <row r="990">
      <c r="A990" s="1">
        <f>IFERROR(__xludf.DUMMYFUNCTION("""COMPUTED_VALUE"""),1000.0)</f>
        <v>1000</v>
      </c>
      <c r="B990" s="1">
        <f>IFERROR(__xludf.DUMMYFUNCTION("""COMPUTED_VALUE"""),184168.0)</f>
        <v>184168</v>
      </c>
      <c r="C990" s="1">
        <f>IFERROR(__xludf.DUMMYFUNCTION("""COMPUTED_VALUE"""),2026.0)</f>
        <v>2026</v>
      </c>
      <c r="D990" s="1">
        <f>IFERROR(__xludf.DUMMYFUNCTION("""COMPUTED_VALUE"""),46186.0)</f>
        <v>46186</v>
      </c>
      <c r="E990" s="1" t="str">
        <f>IFERROR(__xludf.DUMMYFUNCTION("""COMPUTED_VALUE"""),"VF")</f>
        <v>VF</v>
      </c>
      <c r="F990" s="1">
        <f>IFERROR(__xludf.DUMMYFUNCTION("""COMPUTED_VALUE"""),1.0)</f>
        <v>1</v>
      </c>
      <c r="G990" s="1" t="str">
        <f>IFERROR(__xludf.DUMMYFUNCTION("""COMPUTED_VALUE"""),"PR051")</f>
        <v>PR051</v>
      </c>
      <c r="H990" s="1" t="str">
        <f>IFERROR(__xludf.DUMMYFUNCTION("""COMPUTED_VALUE"""),"VD010")</f>
        <v>VD010</v>
      </c>
      <c r="I990" s="1">
        <f>IFERROR(__xludf.DUMMYFUNCTION("""COMPUTED_VALUE"""),10.0)</f>
        <v>10</v>
      </c>
      <c r="J990" s="1">
        <f>IFERROR(__xludf.DUMMYFUNCTION("""COMPUTED_VALUE"""),342.16)</f>
        <v>342.16</v>
      </c>
      <c r="K990" s="1">
        <f>IFERROR(__xludf.DUMMYFUNCTION("""COMPUTED_VALUE"""),342.16)</f>
        <v>342.16</v>
      </c>
    </row>
    <row r="991">
      <c r="A991" s="1">
        <f>IFERROR(__xludf.DUMMYFUNCTION("""COMPUTED_VALUE"""),1000.0)</f>
        <v>1000</v>
      </c>
      <c r="B991" s="1">
        <f>IFERROR(__xludf.DUMMYFUNCTION("""COMPUTED_VALUE"""),184169.0)</f>
        <v>184169</v>
      </c>
      <c r="C991" s="1">
        <f>IFERROR(__xludf.DUMMYFUNCTION("""COMPUTED_VALUE"""),2026.0)</f>
        <v>2026</v>
      </c>
      <c r="D991" s="1">
        <f>IFERROR(__xludf.DUMMYFUNCTION("""COMPUTED_VALUE"""),46186.0)</f>
        <v>46186</v>
      </c>
      <c r="E991" s="1" t="str">
        <f>IFERROR(__xludf.DUMMYFUNCTION("""COMPUTED_VALUE"""),"VF")</f>
        <v>VF</v>
      </c>
      <c r="F991" s="1">
        <f>IFERROR(__xludf.DUMMYFUNCTION("""COMPUTED_VALUE"""),1.0)</f>
        <v>1</v>
      </c>
      <c r="G991" s="1" t="str">
        <f>IFERROR(__xludf.DUMMYFUNCTION("""COMPUTED_VALUE"""),"PR060")</f>
        <v>PR060</v>
      </c>
      <c r="H991" s="1" t="str">
        <f>IFERROR(__xludf.DUMMYFUNCTION("""COMPUTED_VALUE"""),"VD025")</f>
        <v>VD025</v>
      </c>
      <c r="I991" s="1">
        <f>IFERROR(__xludf.DUMMYFUNCTION("""COMPUTED_VALUE"""),7.0)</f>
        <v>7</v>
      </c>
      <c r="J991" s="1">
        <f>IFERROR(__xludf.DUMMYFUNCTION("""COMPUTED_VALUE"""),1335.6)</f>
        <v>1335.6</v>
      </c>
      <c r="K991" s="1">
        <f>IFERROR(__xludf.DUMMYFUNCTION("""COMPUTED_VALUE"""),1335.6)</f>
        <v>1335.6</v>
      </c>
    </row>
    <row r="992">
      <c r="A992" s="1">
        <f>IFERROR(__xludf.DUMMYFUNCTION("""COMPUTED_VALUE"""),2000.0)</f>
        <v>2000</v>
      </c>
      <c r="B992" s="1">
        <f>IFERROR(__xludf.DUMMYFUNCTION("""COMPUTED_VALUE"""),184170.0)</f>
        <v>184170</v>
      </c>
      <c r="C992" s="1">
        <f>IFERROR(__xludf.DUMMYFUNCTION("""COMPUTED_VALUE"""),2026.0)</f>
        <v>2026</v>
      </c>
      <c r="D992" s="1">
        <f>IFERROR(__xludf.DUMMYFUNCTION("""COMPUTED_VALUE"""),46185.0)</f>
        <v>46185</v>
      </c>
      <c r="E992" s="1" t="str">
        <f>IFERROR(__xludf.DUMMYFUNCTION("""COMPUTED_VALUE"""),"VF")</f>
        <v>VF</v>
      </c>
      <c r="F992" s="1">
        <f>IFERROR(__xludf.DUMMYFUNCTION("""COMPUTED_VALUE"""),1.0)</f>
        <v>1</v>
      </c>
      <c r="G992" s="1" t="str">
        <f>IFERROR(__xludf.DUMMYFUNCTION("""COMPUTED_VALUE"""),"PR056")</f>
        <v>PR056</v>
      </c>
      <c r="H992" s="1" t="str">
        <f>IFERROR(__xludf.DUMMYFUNCTION("""COMPUTED_VALUE"""),"VD035")</f>
        <v>VD035</v>
      </c>
      <c r="I992" s="1">
        <f>IFERROR(__xludf.DUMMYFUNCTION("""COMPUTED_VALUE"""),4.0)</f>
        <v>4</v>
      </c>
      <c r="J992" s="1">
        <f>IFERROR(__xludf.DUMMYFUNCTION("""COMPUTED_VALUE"""),370.39)</f>
        <v>370.39</v>
      </c>
      <c r="K992" s="1">
        <f>IFERROR(__xludf.DUMMYFUNCTION("""COMPUTED_VALUE"""),370.39)</f>
        <v>370.39</v>
      </c>
    </row>
    <row r="993">
      <c r="A993" s="1">
        <f>IFERROR(__xludf.DUMMYFUNCTION("""COMPUTED_VALUE"""),1000.0)</f>
        <v>1000</v>
      </c>
      <c r="B993" s="1">
        <f>IFERROR(__xludf.DUMMYFUNCTION("""COMPUTED_VALUE"""),184170.0)</f>
        <v>184170</v>
      </c>
      <c r="C993" s="1">
        <f>IFERROR(__xludf.DUMMYFUNCTION("""COMPUTED_VALUE"""),2026.0)</f>
        <v>2026</v>
      </c>
      <c r="D993" s="1">
        <f>IFERROR(__xludf.DUMMYFUNCTION("""COMPUTED_VALUE"""),46185.0)</f>
        <v>46185</v>
      </c>
      <c r="E993" s="1" t="str">
        <f>IFERROR(__xludf.DUMMYFUNCTION("""COMPUTED_VALUE"""),"VF")</f>
        <v>VF</v>
      </c>
      <c r="F993" s="1">
        <f>IFERROR(__xludf.DUMMYFUNCTION("""COMPUTED_VALUE"""),2.0)</f>
        <v>2</v>
      </c>
      <c r="G993" s="1" t="str">
        <f>IFERROR(__xludf.DUMMYFUNCTION("""COMPUTED_VALUE"""),"PR033")</f>
        <v>PR033</v>
      </c>
      <c r="H993" s="1" t="str">
        <f>IFERROR(__xludf.DUMMYFUNCTION("""COMPUTED_VALUE"""),"VD036")</f>
        <v>VD036</v>
      </c>
      <c r="I993" s="1">
        <f>IFERROR(__xludf.DUMMYFUNCTION("""COMPUTED_VALUE"""),1.0)</f>
        <v>1</v>
      </c>
      <c r="J993" s="1">
        <f>IFERROR(__xludf.DUMMYFUNCTION("""COMPUTED_VALUE"""),262.5)</f>
        <v>262.5</v>
      </c>
      <c r="K993" s="1">
        <f>IFERROR(__xludf.DUMMYFUNCTION("""COMPUTED_VALUE"""),262.5)</f>
        <v>262.5</v>
      </c>
    </row>
    <row r="994">
      <c r="A994" s="1">
        <f>IFERROR(__xludf.DUMMYFUNCTION("""COMPUTED_VALUE"""),1000.0)</f>
        <v>1000</v>
      </c>
      <c r="B994" s="1">
        <f>IFERROR(__xludf.DUMMYFUNCTION("""COMPUTED_VALUE"""),184171.0)</f>
        <v>184171</v>
      </c>
      <c r="C994" s="1">
        <f>IFERROR(__xludf.DUMMYFUNCTION("""COMPUTED_VALUE"""),2026.0)</f>
        <v>2026</v>
      </c>
      <c r="D994" s="1">
        <f>IFERROR(__xludf.DUMMYFUNCTION("""COMPUTED_VALUE"""),46185.0)</f>
        <v>46185</v>
      </c>
      <c r="E994" s="1" t="str">
        <f>IFERROR(__xludf.DUMMYFUNCTION("""COMPUTED_VALUE"""),"VF")</f>
        <v>VF</v>
      </c>
      <c r="F994" s="1">
        <f>IFERROR(__xludf.DUMMYFUNCTION("""COMPUTED_VALUE"""),1.0)</f>
        <v>1</v>
      </c>
      <c r="G994" s="1" t="str">
        <f>IFERROR(__xludf.DUMMYFUNCTION("""COMPUTED_VALUE"""),"PR040")</f>
        <v>PR040</v>
      </c>
      <c r="H994" s="1" t="str">
        <f>IFERROR(__xludf.DUMMYFUNCTION("""COMPUTED_VALUE"""),"VD036")</f>
        <v>VD036</v>
      </c>
      <c r="I994" s="1">
        <f>IFERROR(__xludf.DUMMYFUNCTION("""COMPUTED_VALUE"""),8.0)</f>
        <v>8</v>
      </c>
      <c r="J994" s="1">
        <f>IFERROR(__xludf.DUMMYFUNCTION("""COMPUTED_VALUE"""),576.8)</f>
        <v>576.8</v>
      </c>
      <c r="K994" s="1">
        <f>IFERROR(__xludf.DUMMYFUNCTION("""COMPUTED_VALUE"""),576.8)</f>
        <v>576.8</v>
      </c>
    </row>
    <row r="995">
      <c r="A995" s="1">
        <f>IFERROR(__xludf.DUMMYFUNCTION("""COMPUTED_VALUE"""),1000.0)</f>
        <v>1000</v>
      </c>
      <c r="B995" s="1">
        <f>IFERROR(__xludf.DUMMYFUNCTION("""COMPUTED_VALUE"""),184172.0)</f>
        <v>184172</v>
      </c>
      <c r="C995" s="1">
        <f>IFERROR(__xludf.DUMMYFUNCTION("""COMPUTED_VALUE"""),2026.0)</f>
        <v>2026</v>
      </c>
      <c r="D995" s="1">
        <f>IFERROR(__xludf.DUMMYFUNCTION("""COMPUTED_VALUE"""),46185.0)</f>
        <v>46185</v>
      </c>
      <c r="E995" s="1" t="str">
        <f>IFERROR(__xludf.DUMMYFUNCTION("""COMPUTED_VALUE"""),"VF")</f>
        <v>VF</v>
      </c>
      <c r="F995" s="1">
        <f>IFERROR(__xludf.DUMMYFUNCTION("""COMPUTED_VALUE"""),1.0)</f>
        <v>1</v>
      </c>
      <c r="G995" s="1" t="str">
        <f>IFERROR(__xludf.DUMMYFUNCTION("""COMPUTED_VALUE"""),"PR045")</f>
        <v>PR045</v>
      </c>
      <c r="H995" s="1" t="str">
        <f>IFERROR(__xludf.DUMMYFUNCTION("""COMPUTED_VALUE"""),"VD020")</f>
        <v>VD020</v>
      </c>
      <c r="I995" s="1">
        <f>IFERROR(__xludf.DUMMYFUNCTION("""COMPUTED_VALUE"""),6.0)</f>
        <v>6</v>
      </c>
      <c r="J995" s="1">
        <f>IFERROR(__xludf.DUMMYFUNCTION("""COMPUTED_VALUE"""),435.0)</f>
        <v>435</v>
      </c>
      <c r="K995" s="1">
        <f>IFERROR(__xludf.DUMMYFUNCTION("""COMPUTED_VALUE"""),435.0)</f>
        <v>435</v>
      </c>
    </row>
    <row r="996">
      <c r="A996" s="1">
        <f>IFERROR(__xludf.DUMMYFUNCTION("""COMPUTED_VALUE"""),2000.0)</f>
        <v>2000</v>
      </c>
      <c r="B996" s="1">
        <f>IFERROR(__xludf.DUMMYFUNCTION("""COMPUTED_VALUE"""),184173.0)</f>
        <v>184173</v>
      </c>
      <c r="C996" s="1">
        <f>IFERROR(__xludf.DUMMYFUNCTION("""COMPUTED_VALUE"""),2026.0)</f>
        <v>2026</v>
      </c>
      <c r="D996" s="1">
        <f>IFERROR(__xludf.DUMMYFUNCTION("""COMPUTED_VALUE"""),46185.0)</f>
        <v>46185</v>
      </c>
      <c r="E996" s="1" t="str">
        <f>IFERROR(__xludf.DUMMYFUNCTION("""COMPUTED_VALUE"""),"VF")</f>
        <v>VF</v>
      </c>
      <c r="F996" s="1">
        <f>IFERROR(__xludf.DUMMYFUNCTION("""COMPUTED_VALUE"""),1.0)</f>
        <v>1</v>
      </c>
      <c r="G996" s="1" t="str">
        <f>IFERROR(__xludf.DUMMYFUNCTION("""COMPUTED_VALUE"""),"PR017")</f>
        <v>PR017</v>
      </c>
      <c r="H996" s="1" t="str">
        <f>IFERROR(__xludf.DUMMYFUNCTION("""COMPUTED_VALUE"""),"VD022")</f>
        <v>VD022</v>
      </c>
      <c r="I996" s="1">
        <f>IFERROR(__xludf.DUMMYFUNCTION("""COMPUTED_VALUE"""),10.0)</f>
        <v>10</v>
      </c>
      <c r="J996" s="1">
        <f>IFERROR(__xludf.DUMMYFUNCTION("""COMPUTED_VALUE"""),325.91)</f>
        <v>325.91</v>
      </c>
      <c r="K996" s="1">
        <f>IFERROR(__xludf.DUMMYFUNCTION("""COMPUTED_VALUE"""),325.91)</f>
        <v>325.91</v>
      </c>
    </row>
    <row r="997">
      <c r="A997" s="1">
        <f>IFERROR(__xludf.DUMMYFUNCTION("""COMPUTED_VALUE"""),2000.0)</f>
        <v>2000</v>
      </c>
      <c r="B997" s="1">
        <f>IFERROR(__xludf.DUMMYFUNCTION("""COMPUTED_VALUE"""),184174.0)</f>
        <v>184174</v>
      </c>
      <c r="C997" s="1">
        <f>IFERROR(__xludf.DUMMYFUNCTION("""COMPUTED_VALUE"""),2026.0)</f>
        <v>2026</v>
      </c>
      <c r="D997" s="1">
        <f>IFERROR(__xludf.DUMMYFUNCTION("""COMPUTED_VALUE"""),46185.0)</f>
        <v>46185</v>
      </c>
      <c r="E997" s="1" t="str">
        <f>IFERROR(__xludf.DUMMYFUNCTION("""COMPUTED_VALUE"""),"VF")</f>
        <v>VF</v>
      </c>
      <c r="F997" s="1">
        <f>IFERROR(__xludf.DUMMYFUNCTION("""COMPUTED_VALUE"""),1.0)</f>
        <v>1</v>
      </c>
      <c r="G997" s="1" t="str">
        <f>IFERROR(__xludf.DUMMYFUNCTION("""COMPUTED_VALUE"""),"PR033")</f>
        <v>PR033</v>
      </c>
      <c r="H997" s="1" t="str">
        <f>IFERROR(__xludf.DUMMYFUNCTION("""COMPUTED_VALUE"""),"VD036")</f>
        <v>VD036</v>
      </c>
      <c r="I997" s="1">
        <f>IFERROR(__xludf.DUMMYFUNCTION("""COMPUTED_VALUE"""),10.0)</f>
        <v>10</v>
      </c>
      <c r="J997" s="1">
        <f>IFERROR(__xludf.DUMMYFUNCTION("""COMPUTED_VALUE"""),2780.93)</f>
        <v>2780.93</v>
      </c>
      <c r="K997" s="1">
        <f>IFERROR(__xludf.DUMMYFUNCTION("""COMPUTED_VALUE"""),2780.93)</f>
        <v>2780.93</v>
      </c>
    </row>
    <row r="998">
      <c r="A998" s="1">
        <f>IFERROR(__xludf.DUMMYFUNCTION("""COMPUTED_VALUE"""),1000.0)</f>
        <v>1000</v>
      </c>
      <c r="B998" s="1">
        <f>IFERROR(__xludf.DUMMYFUNCTION("""COMPUTED_VALUE"""),184175.0)</f>
        <v>184175</v>
      </c>
      <c r="C998" s="1">
        <f>IFERROR(__xludf.DUMMYFUNCTION("""COMPUTED_VALUE"""),2026.0)</f>
        <v>2026</v>
      </c>
      <c r="D998" s="1">
        <f>IFERROR(__xludf.DUMMYFUNCTION("""COMPUTED_VALUE"""),46185.0)</f>
        <v>46185</v>
      </c>
      <c r="E998" s="1" t="str">
        <f>IFERROR(__xludf.DUMMYFUNCTION("""COMPUTED_VALUE"""),"VF")</f>
        <v>VF</v>
      </c>
      <c r="F998" s="1">
        <f>IFERROR(__xludf.DUMMYFUNCTION("""COMPUTED_VALUE"""),1.0)</f>
        <v>1</v>
      </c>
      <c r="G998" s="1" t="str">
        <f>IFERROR(__xludf.DUMMYFUNCTION("""COMPUTED_VALUE"""),"PR017")</f>
        <v>PR017</v>
      </c>
      <c r="H998" s="1" t="str">
        <f>IFERROR(__xludf.DUMMYFUNCTION("""COMPUTED_VALUE"""),"VD025")</f>
        <v>VD025</v>
      </c>
      <c r="I998" s="1">
        <f>IFERROR(__xludf.DUMMYFUNCTION("""COMPUTED_VALUE"""),1.0)</f>
        <v>1</v>
      </c>
      <c r="J998" s="1">
        <f>IFERROR(__xludf.DUMMYFUNCTION("""COMPUTED_VALUE"""),30.2)</f>
        <v>30.2</v>
      </c>
      <c r="K998" s="1">
        <f>IFERROR(__xludf.DUMMYFUNCTION("""COMPUTED_VALUE"""),30.2)</f>
        <v>30.2</v>
      </c>
    </row>
    <row r="999">
      <c r="A999" s="1">
        <f>IFERROR(__xludf.DUMMYFUNCTION("""COMPUTED_VALUE"""),1000.0)</f>
        <v>1000</v>
      </c>
      <c r="B999" s="1">
        <f>IFERROR(__xludf.DUMMYFUNCTION("""COMPUTED_VALUE"""),184176.0)</f>
        <v>184176</v>
      </c>
      <c r="C999" s="1">
        <f>IFERROR(__xludf.DUMMYFUNCTION("""COMPUTED_VALUE"""),2026.0)</f>
        <v>2026</v>
      </c>
      <c r="D999" s="1">
        <f>IFERROR(__xludf.DUMMYFUNCTION("""COMPUTED_VALUE"""),46185.0)</f>
        <v>46185</v>
      </c>
      <c r="E999" s="1" t="str">
        <f>IFERROR(__xludf.DUMMYFUNCTION("""COMPUTED_VALUE"""),"VF")</f>
        <v>VF</v>
      </c>
      <c r="F999" s="1">
        <f>IFERROR(__xludf.DUMMYFUNCTION("""COMPUTED_VALUE"""),1.0)</f>
        <v>1</v>
      </c>
      <c r="G999" s="1" t="str">
        <f>IFERROR(__xludf.DUMMYFUNCTION("""COMPUTED_VALUE"""),"PR055")</f>
        <v>PR055</v>
      </c>
      <c r="H999" s="1" t="str">
        <f>IFERROR(__xludf.DUMMYFUNCTION("""COMPUTED_VALUE"""),"VD037")</f>
        <v>VD037</v>
      </c>
      <c r="I999" s="1">
        <f>IFERROR(__xludf.DUMMYFUNCTION("""COMPUTED_VALUE"""),3.0)</f>
        <v>3</v>
      </c>
      <c r="J999" s="1">
        <f>IFERROR(__xludf.DUMMYFUNCTION("""COMPUTED_VALUE"""),296.67)</f>
        <v>296.67</v>
      </c>
      <c r="K999" s="1">
        <f>IFERROR(__xludf.DUMMYFUNCTION("""COMPUTED_VALUE"""),296.67)</f>
        <v>296.67</v>
      </c>
    </row>
    <row r="1000">
      <c r="A1000" s="1">
        <f>IFERROR(__xludf.DUMMYFUNCTION("""COMPUTED_VALUE"""),1000.0)</f>
        <v>1000</v>
      </c>
      <c r="B1000" s="1">
        <f>IFERROR(__xludf.DUMMYFUNCTION("""COMPUTED_VALUE"""),184177.0)</f>
        <v>184177</v>
      </c>
      <c r="C1000" s="1">
        <f>IFERROR(__xludf.DUMMYFUNCTION("""COMPUTED_VALUE"""),2026.0)</f>
        <v>2026</v>
      </c>
      <c r="D1000" s="1">
        <f>IFERROR(__xludf.DUMMYFUNCTION("""COMPUTED_VALUE"""),46185.0)</f>
        <v>46185</v>
      </c>
      <c r="E1000" s="1" t="str">
        <f>IFERROR(__xludf.DUMMYFUNCTION("""COMPUTED_VALUE"""),"VF")</f>
        <v>VF</v>
      </c>
      <c r="F1000" s="1">
        <f>IFERROR(__xludf.DUMMYFUNCTION("""COMPUTED_VALUE"""),1.0)</f>
        <v>1</v>
      </c>
      <c r="G1000" s="1" t="str">
        <f>IFERROR(__xludf.DUMMYFUNCTION("""COMPUTED_VALUE"""),"PR019")</f>
        <v>PR019</v>
      </c>
      <c r="H1000" s="1" t="str">
        <f>IFERROR(__xludf.DUMMYFUNCTION("""COMPUTED_VALUE"""),"VD027")</f>
        <v>VD027</v>
      </c>
      <c r="I1000" s="1">
        <f>IFERROR(__xludf.DUMMYFUNCTION("""COMPUTED_VALUE"""),4.0)</f>
        <v>4</v>
      </c>
      <c r="J1000" s="1">
        <f>IFERROR(__xludf.DUMMYFUNCTION("""COMPUTED_VALUE"""),217.56)</f>
        <v>217.56</v>
      </c>
      <c r="K1000" s="1">
        <f>IFERROR(__xludf.DUMMYFUNCTION("""COMPUTED_VALUE"""),217.56)</f>
        <v>217.56</v>
      </c>
    </row>
    <row r="1001">
      <c r="A1001" s="1">
        <f>IFERROR(__xludf.DUMMYFUNCTION("""COMPUTED_VALUE"""),1000.0)</f>
        <v>1000</v>
      </c>
      <c r="B1001" s="1">
        <f>IFERROR(__xludf.DUMMYFUNCTION("""COMPUTED_VALUE"""),184178.0)</f>
        <v>184178</v>
      </c>
      <c r="C1001" s="1">
        <f>IFERROR(__xludf.DUMMYFUNCTION("""COMPUTED_VALUE"""),2026.0)</f>
        <v>2026</v>
      </c>
      <c r="D1001" s="1">
        <f>IFERROR(__xludf.DUMMYFUNCTION("""COMPUTED_VALUE"""),46184.0)</f>
        <v>46184</v>
      </c>
      <c r="E1001" s="1" t="str">
        <f>IFERROR(__xludf.DUMMYFUNCTION("""COMPUTED_VALUE"""),"VF")</f>
        <v>VF</v>
      </c>
      <c r="F1001" s="1">
        <f>IFERROR(__xludf.DUMMYFUNCTION("""COMPUTED_VALUE"""),1.0)</f>
        <v>1</v>
      </c>
      <c r="G1001" s="1" t="str">
        <f>IFERROR(__xludf.DUMMYFUNCTION("""COMPUTED_VALUE"""),"PR014")</f>
        <v>PR014</v>
      </c>
      <c r="H1001" s="1" t="str">
        <f>IFERROR(__xludf.DUMMYFUNCTION("""COMPUTED_VALUE"""),"VD018")</f>
        <v>VD018</v>
      </c>
      <c r="I1001" s="1">
        <f>IFERROR(__xludf.DUMMYFUNCTION("""COMPUTED_VALUE"""),18.0)</f>
        <v>18</v>
      </c>
      <c r="J1001" s="1">
        <f>IFERROR(__xludf.DUMMYFUNCTION("""COMPUTED_VALUE"""),775.66)</f>
        <v>775.66</v>
      </c>
      <c r="K1001" s="1">
        <f>IFERROR(__xludf.DUMMYFUNCTION("""COMPUTED_VALUE"""),775.66)</f>
        <v>775.66</v>
      </c>
    </row>
    <row r="1002">
      <c r="A1002" s="1">
        <f>IFERROR(__xludf.DUMMYFUNCTION("""COMPUTED_VALUE"""),1000.0)</f>
        <v>1000</v>
      </c>
      <c r="B1002" s="1">
        <f>IFERROR(__xludf.DUMMYFUNCTION("""COMPUTED_VALUE"""),184179.0)</f>
        <v>184179</v>
      </c>
      <c r="C1002" s="1">
        <f>IFERROR(__xludf.DUMMYFUNCTION("""COMPUTED_VALUE"""),2026.0)</f>
        <v>2026</v>
      </c>
      <c r="D1002" s="1">
        <f>IFERROR(__xludf.DUMMYFUNCTION("""COMPUTED_VALUE"""),46184.0)</f>
        <v>46184</v>
      </c>
      <c r="E1002" s="1" t="str">
        <f>IFERROR(__xludf.DUMMYFUNCTION("""COMPUTED_VALUE"""),"VF")</f>
        <v>VF</v>
      </c>
      <c r="F1002" s="1">
        <f>IFERROR(__xludf.DUMMYFUNCTION("""COMPUTED_VALUE"""),1.0)</f>
        <v>1</v>
      </c>
      <c r="G1002" s="1" t="str">
        <f>IFERROR(__xludf.DUMMYFUNCTION("""COMPUTED_VALUE"""),"PR045")</f>
        <v>PR045</v>
      </c>
      <c r="H1002" s="1" t="str">
        <f>IFERROR(__xludf.DUMMYFUNCTION("""COMPUTED_VALUE"""),"VD036")</f>
        <v>VD036</v>
      </c>
      <c r="I1002" s="1">
        <f>IFERROR(__xludf.DUMMYFUNCTION("""COMPUTED_VALUE"""),14.0)</f>
        <v>14</v>
      </c>
      <c r="J1002" s="1">
        <f>IFERROR(__xludf.DUMMYFUNCTION("""COMPUTED_VALUE"""),1025.15)</f>
        <v>1025.15</v>
      </c>
      <c r="K1002" s="1">
        <f>IFERROR(__xludf.DUMMYFUNCTION("""COMPUTED_VALUE"""),1025.15)</f>
        <v>1025.15</v>
      </c>
    </row>
    <row r="1003">
      <c r="A1003" s="1">
        <f>IFERROR(__xludf.DUMMYFUNCTION("""COMPUTED_VALUE"""),1000.0)</f>
        <v>1000</v>
      </c>
      <c r="B1003" s="1">
        <f>IFERROR(__xludf.DUMMYFUNCTION("""COMPUTED_VALUE"""),184180.0)</f>
        <v>184180</v>
      </c>
      <c r="C1003" s="1">
        <f>IFERROR(__xludf.DUMMYFUNCTION("""COMPUTED_VALUE"""),2026.0)</f>
        <v>2026</v>
      </c>
      <c r="D1003" s="1">
        <f>IFERROR(__xludf.DUMMYFUNCTION("""COMPUTED_VALUE"""),46184.0)</f>
        <v>46184</v>
      </c>
      <c r="E1003" s="1" t="str">
        <f>IFERROR(__xludf.DUMMYFUNCTION("""COMPUTED_VALUE"""),"VF")</f>
        <v>VF</v>
      </c>
      <c r="F1003" s="1">
        <f>IFERROR(__xludf.DUMMYFUNCTION("""COMPUTED_VALUE"""),1.0)</f>
        <v>1</v>
      </c>
      <c r="G1003" s="1" t="str">
        <f>IFERROR(__xludf.DUMMYFUNCTION("""COMPUTED_VALUE"""),"PR036")</f>
        <v>PR036</v>
      </c>
      <c r="H1003" s="1" t="str">
        <f>IFERROR(__xludf.DUMMYFUNCTION("""COMPUTED_VALUE"""),"VD034")</f>
        <v>VD034</v>
      </c>
      <c r="I1003" s="1">
        <f>IFERROR(__xludf.DUMMYFUNCTION("""COMPUTED_VALUE"""),8.0)</f>
        <v>8</v>
      </c>
      <c r="J1003" s="1">
        <f>IFERROR(__xludf.DUMMYFUNCTION("""COMPUTED_VALUE"""),770.44)</f>
        <v>770.44</v>
      </c>
      <c r="K1003" s="1">
        <f>IFERROR(__xludf.DUMMYFUNCTION("""COMPUTED_VALUE"""),770.44)</f>
        <v>770.44</v>
      </c>
    </row>
    <row r="1004">
      <c r="A1004" s="1">
        <f>IFERROR(__xludf.DUMMYFUNCTION("""COMPUTED_VALUE"""),1000.0)</f>
        <v>1000</v>
      </c>
      <c r="B1004" s="1">
        <f>IFERROR(__xludf.DUMMYFUNCTION("""COMPUTED_VALUE"""),184181.0)</f>
        <v>184181</v>
      </c>
      <c r="C1004" s="1">
        <f>IFERROR(__xludf.DUMMYFUNCTION("""COMPUTED_VALUE"""),2026.0)</f>
        <v>2026</v>
      </c>
      <c r="D1004" s="1">
        <f>IFERROR(__xludf.DUMMYFUNCTION("""COMPUTED_VALUE"""),46183.0)</f>
        <v>46183</v>
      </c>
      <c r="E1004" s="1" t="str">
        <f>IFERROR(__xludf.DUMMYFUNCTION("""COMPUTED_VALUE"""),"VF")</f>
        <v>VF</v>
      </c>
      <c r="F1004" s="1">
        <f>IFERROR(__xludf.DUMMYFUNCTION("""COMPUTED_VALUE"""),1.0)</f>
        <v>1</v>
      </c>
      <c r="G1004" s="1" t="str">
        <f>IFERROR(__xludf.DUMMYFUNCTION("""COMPUTED_VALUE"""),"PR007")</f>
        <v>PR007</v>
      </c>
      <c r="H1004" s="1" t="str">
        <f>IFERROR(__xludf.DUMMYFUNCTION("""COMPUTED_VALUE"""),"VD013")</f>
        <v>VD013</v>
      </c>
      <c r="I1004" s="1">
        <f>IFERROR(__xludf.DUMMYFUNCTION("""COMPUTED_VALUE"""),3.0)</f>
        <v>3</v>
      </c>
      <c r="J1004" s="1">
        <f>IFERROR(__xludf.DUMMYFUNCTION("""COMPUTED_VALUE"""),278.32)</f>
        <v>278.32</v>
      </c>
      <c r="K1004" s="1">
        <f>IFERROR(__xludf.DUMMYFUNCTION("""COMPUTED_VALUE"""),278.32)</f>
        <v>278.32</v>
      </c>
    </row>
    <row r="1005">
      <c r="A1005" s="1">
        <f>IFERROR(__xludf.DUMMYFUNCTION("""COMPUTED_VALUE"""),1000.0)</f>
        <v>1000</v>
      </c>
      <c r="B1005" s="1">
        <f>IFERROR(__xludf.DUMMYFUNCTION("""COMPUTED_VALUE"""),184182.0)</f>
        <v>184182</v>
      </c>
      <c r="C1005" s="1">
        <f>IFERROR(__xludf.DUMMYFUNCTION("""COMPUTED_VALUE"""),2026.0)</f>
        <v>2026</v>
      </c>
      <c r="D1005" s="1">
        <f>IFERROR(__xludf.DUMMYFUNCTION("""COMPUTED_VALUE"""),46183.0)</f>
        <v>46183</v>
      </c>
      <c r="E1005" s="1" t="str">
        <f>IFERROR(__xludf.DUMMYFUNCTION("""COMPUTED_VALUE"""),"VF")</f>
        <v>VF</v>
      </c>
      <c r="F1005" s="1">
        <f>IFERROR(__xludf.DUMMYFUNCTION("""COMPUTED_VALUE"""),1.0)</f>
        <v>1</v>
      </c>
      <c r="G1005" s="1" t="str">
        <f>IFERROR(__xludf.DUMMYFUNCTION("""COMPUTED_VALUE"""),"PR051")</f>
        <v>PR051</v>
      </c>
      <c r="H1005" s="1" t="str">
        <f>IFERROR(__xludf.DUMMYFUNCTION("""COMPUTED_VALUE"""),"VD028")</f>
        <v>VD028</v>
      </c>
      <c r="I1005" s="1">
        <f>IFERROR(__xludf.DUMMYFUNCTION("""COMPUTED_VALUE"""),7.0)</f>
        <v>7</v>
      </c>
      <c r="J1005" s="1">
        <f>IFERROR(__xludf.DUMMYFUNCTION("""COMPUTED_VALUE"""),230.3)</f>
        <v>230.3</v>
      </c>
      <c r="K1005" s="1">
        <f>IFERROR(__xludf.DUMMYFUNCTION("""COMPUTED_VALUE"""),230.3)</f>
        <v>230.3</v>
      </c>
    </row>
    <row r="1006">
      <c r="A1006" s="1">
        <f>IFERROR(__xludf.DUMMYFUNCTION("""COMPUTED_VALUE"""),1000.0)</f>
        <v>1000</v>
      </c>
      <c r="B1006" s="1">
        <f>IFERROR(__xludf.DUMMYFUNCTION("""COMPUTED_VALUE"""),184183.0)</f>
        <v>184183</v>
      </c>
      <c r="C1006" s="1">
        <f>IFERROR(__xludf.DUMMYFUNCTION("""COMPUTED_VALUE"""),2026.0)</f>
        <v>2026</v>
      </c>
      <c r="D1006" s="1">
        <f>IFERROR(__xludf.DUMMYFUNCTION("""COMPUTED_VALUE"""),46183.0)</f>
        <v>46183</v>
      </c>
      <c r="E1006" s="1" t="str">
        <f>IFERROR(__xludf.DUMMYFUNCTION("""COMPUTED_VALUE"""),"VF")</f>
        <v>VF</v>
      </c>
      <c r="F1006" s="1">
        <f>IFERROR(__xludf.DUMMYFUNCTION("""COMPUTED_VALUE"""),1.0)</f>
        <v>1</v>
      </c>
      <c r="G1006" s="1" t="str">
        <f>IFERROR(__xludf.DUMMYFUNCTION("""COMPUTED_VALUE"""),"PR020")</f>
        <v>PR020</v>
      </c>
      <c r="H1006" s="1" t="str">
        <f>IFERROR(__xludf.DUMMYFUNCTION("""COMPUTED_VALUE"""),"VD013")</f>
        <v>VD013</v>
      </c>
      <c r="I1006" s="1">
        <f>IFERROR(__xludf.DUMMYFUNCTION("""COMPUTED_VALUE"""),20.0)</f>
        <v>20</v>
      </c>
      <c r="J1006" s="1">
        <f>IFERROR(__xludf.DUMMYFUNCTION("""COMPUTED_VALUE"""),6597.8)</f>
        <v>6597.8</v>
      </c>
      <c r="K1006" s="1">
        <f>IFERROR(__xludf.DUMMYFUNCTION("""COMPUTED_VALUE"""),6597.8)</f>
        <v>6597.8</v>
      </c>
    </row>
    <row r="1007">
      <c r="A1007" s="1">
        <f>IFERROR(__xludf.DUMMYFUNCTION("""COMPUTED_VALUE"""),1000.0)</f>
        <v>1000</v>
      </c>
      <c r="B1007" s="1">
        <f>IFERROR(__xludf.DUMMYFUNCTION("""COMPUTED_VALUE"""),184184.0)</f>
        <v>184184</v>
      </c>
      <c r="C1007" s="1">
        <f>IFERROR(__xludf.DUMMYFUNCTION("""COMPUTED_VALUE"""),2026.0)</f>
        <v>2026</v>
      </c>
      <c r="D1007" s="1">
        <f>IFERROR(__xludf.DUMMYFUNCTION("""COMPUTED_VALUE"""),46183.0)</f>
        <v>46183</v>
      </c>
      <c r="E1007" s="1" t="str">
        <f>IFERROR(__xludf.DUMMYFUNCTION("""COMPUTED_VALUE"""),"VF")</f>
        <v>VF</v>
      </c>
      <c r="F1007" s="1">
        <f>IFERROR(__xludf.DUMMYFUNCTION("""COMPUTED_VALUE"""),1.0)</f>
        <v>1</v>
      </c>
      <c r="G1007" s="1" t="str">
        <f>IFERROR(__xludf.DUMMYFUNCTION("""COMPUTED_VALUE"""),"PR021")</f>
        <v>PR021</v>
      </c>
      <c r="H1007" s="1" t="str">
        <f>IFERROR(__xludf.DUMMYFUNCTION("""COMPUTED_VALUE"""),"VD033")</f>
        <v>VD033</v>
      </c>
      <c r="I1007" s="1">
        <f>IFERROR(__xludf.DUMMYFUNCTION("""COMPUTED_VALUE"""),6.0)</f>
        <v>6</v>
      </c>
      <c r="J1007" s="1">
        <f>IFERROR(__xludf.DUMMYFUNCTION("""COMPUTED_VALUE"""),1999.14)</f>
        <v>1999.14</v>
      </c>
      <c r="K1007" s="1">
        <f>IFERROR(__xludf.DUMMYFUNCTION("""COMPUTED_VALUE"""),1999.14)</f>
        <v>1999.14</v>
      </c>
    </row>
    <row r="1008">
      <c r="A1008" s="1">
        <f>IFERROR(__xludf.DUMMYFUNCTION("""COMPUTED_VALUE"""),1000.0)</f>
        <v>1000</v>
      </c>
      <c r="B1008" s="1">
        <f>IFERROR(__xludf.DUMMYFUNCTION("""COMPUTED_VALUE"""),184184.0)</f>
        <v>184184</v>
      </c>
      <c r="C1008" s="1">
        <f>IFERROR(__xludf.DUMMYFUNCTION("""COMPUTED_VALUE"""),2026.0)</f>
        <v>2026</v>
      </c>
      <c r="D1008" s="1">
        <f>IFERROR(__xludf.DUMMYFUNCTION("""COMPUTED_VALUE"""),46182.0)</f>
        <v>46182</v>
      </c>
      <c r="E1008" s="1" t="str">
        <f>IFERROR(__xludf.DUMMYFUNCTION("""COMPUTED_VALUE"""),"VF")</f>
        <v>VF</v>
      </c>
      <c r="F1008" s="1">
        <f>IFERROR(__xludf.DUMMYFUNCTION("""COMPUTED_VALUE"""),2.0)</f>
        <v>2</v>
      </c>
      <c r="G1008" s="1" t="str">
        <f>IFERROR(__xludf.DUMMYFUNCTION("""COMPUTED_VALUE"""),"PR034")</f>
        <v>PR034</v>
      </c>
      <c r="H1008" s="1" t="str">
        <f>IFERROR(__xludf.DUMMYFUNCTION("""COMPUTED_VALUE"""),"VD017")</f>
        <v>VD017</v>
      </c>
      <c r="I1008" s="1">
        <f>IFERROR(__xludf.DUMMYFUNCTION("""COMPUTED_VALUE"""),8.0)</f>
        <v>8</v>
      </c>
      <c r="J1008" s="1">
        <f>IFERROR(__xludf.DUMMYFUNCTION("""COMPUTED_VALUE"""),726.39)</f>
        <v>726.39</v>
      </c>
      <c r="K1008" s="1">
        <f>IFERROR(__xludf.DUMMYFUNCTION("""COMPUTED_VALUE"""),726.39)</f>
        <v>726.39</v>
      </c>
    </row>
    <row r="1009">
      <c r="A1009" s="1">
        <f>IFERROR(__xludf.DUMMYFUNCTION("""COMPUTED_VALUE"""),2000.0)</f>
        <v>2000</v>
      </c>
      <c r="B1009" s="1">
        <f>IFERROR(__xludf.DUMMYFUNCTION("""COMPUTED_VALUE"""),184185.0)</f>
        <v>184185</v>
      </c>
      <c r="C1009" s="1">
        <f>IFERROR(__xludf.DUMMYFUNCTION("""COMPUTED_VALUE"""),2026.0)</f>
        <v>2026</v>
      </c>
      <c r="D1009" s="1">
        <f>IFERROR(__xludf.DUMMYFUNCTION("""COMPUTED_VALUE"""),46182.0)</f>
        <v>46182</v>
      </c>
      <c r="E1009" s="1" t="str">
        <f>IFERROR(__xludf.DUMMYFUNCTION("""COMPUTED_VALUE"""),"VF")</f>
        <v>VF</v>
      </c>
      <c r="F1009" s="1">
        <f>IFERROR(__xludf.DUMMYFUNCTION("""COMPUTED_VALUE"""),1.0)</f>
        <v>1</v>
      </c>
      <c r="G1009" s="1" t="str">
        <f>IFERROR(__xludf.DUMMYFUNCTION("""COMPUTED_VALUE"""),"PR032")</f>
        <v>PR032</v>
      </c>
      <c r="H1009" s="1" t="str">
        <f>IFERROR(__xludf.DUMMYFUNCTION("""COMPUTED_VALUE"""),"VD016")</f>
        <v>VD016</v>
      </c>
      <c r="I1009" s="1">
        <f>IFERROR(__xludf.DUMMYFUNCTION("""COMPUTED_VALUE"""),12.0)</f>
        <v>12</v>
      </c>
      <c r="J1009" s="1">
        <f>IFERROR(__xludf.DUMMYFUNCTION("""COMPUTED_VALUE"""),3150.0)</f>
        <v>3150</v>
      </c>
      <c r="K1009" s="1">
        <f>IFERROR(__xludf.DUMMYFUNCTION("""COMPUTED_VALUE"""),3150.0)</f>
        <v>3150</v>
      </c>
    </row>
    <row r="1010">
      <c r="A1010" s="1">
        <f>IFERROR(__xludf.DUMMYFUNCTION("""COMPUTED_VALUE"""),2000.0)</f>
        <v>2000</v>
      </c>
      <c r="B1010" s="1">
        <f>IFERROR(__xludf.DUMMYFUNCTION("""COMPUTED_VALUE"""),184186.0)</f>
        <v>184186</v>
      </c>
      <c r="C1010" s="1">
        <f>IFERROR(__xludf.DUMMYFUNCTION("""COMPUTED_VALUE"""),2026.0)</f>
        <v>2026</v>
      </c>
      <c r="D1010" s="1">
        <f>IFERROR(__xludf.DUMMYFUNCTION("""COMPUTED_VALUE"""),46182.0)</f>
        <v>46182</v>
      </c>
      <c r="E1010" s="1" t="str">
        <f>IFERROR(__xludf.DUMMYFUNCTION("""COMPUTED_VALUE"""),"VF")</f>
        <v>VF</v>
      </c>
      <c r="F1010" s="1">
        <f>IFERROR(__xludf.DUMMYFUNCTION("""COMPUTED_VALUE"""),1.0)</f>
        <v>1</v>
      </c>
      <c r="G1010" s="1" t="str">
        <f>IFERROR(__xludf.DUMMYFUNCTION("""COMPUTED_VALUE"""),"PR032")</f>
        <v>PR032</v>
      </c>
      <c r="H1010" s="1" t="str">
        <f>IFERROR(__xludf.DUMMYFUNCTION("""COMPUTED_VALUE"""),"VD014")</f>
        <v>VD014</v>
      </c>
      <c r="I1010" s="1">
        <f>IFERROR(__xludf.DUMMYFUNCTION("""COMPUTED_VALUE"""),5.0)</f>
        <v>5</v>
      </c>
      <c r="J1010" s="1">
        <f>IFERROR(__xludf.DUMMYFUNCTION("""COMPUTED_VALUE"""),1325.0)</f>
        <v>1325</v>
      </c>
      <c r="K1010" s="1">
        <f>IFERROR(__xludf.DUMMYFUNCTION("""COMPUTED_VALUE"""),1325.0)</f>
        <v>1325</v>
      </c>
    </row>
    <row r="1011">
      <c r="A1011" s="1">
        <f>IFERROR(__xludf.DUMMYFUNCTION("""COMPUTED_VALUE"""),1000.0)</f>
        <v>1000</v>
      </c>
      <c r="B1011" s="1">
        <f>IFERROR(__xludf.DUMMYFUNCTION("""COMPUTED_VALUE"""),184187.0)</f>
        <v>184187</v>
      </c>
      <c r="C1011" s="1">
        <f>IFERROR(__xludf.DUMMYFUNCTION("""COMPUTED_VALUE"""),2026.0)</f>
        <v>2026</v>
      </c>
      <c r="D1011" s="1">
        <f>IFERROR(__xludf.DUMMYFUNCTION("""COMPUTED_VALUE"""),46181.0)</f>
        <v>46181</v>
      </c>
      <c r="E1011" s="1" t="str">
        <f>IFERROR(__xludf.DUMMYFUNCTION("""COMPUTED_VALUE"""),"VF")</f>
        <v>VF</v>
      </c>
      <c r="F1011" s="1">
        <f>IFERROR(__xludf.DUMMYFUNCTION("""COMPUTED_VALUE"""),1.0)</f>
        <v>1</v>
      </c>
      <c r="G1011" s="1" t="str">
        <f>IFERROR(__xludf.DUMMYFUNCTION("""COMPUTED_VALUE"""),"PR053")</f>
        <v>PR053</v>
      </c>
      <c r="H1011" s="1" t="str">
        <f>IFERROR(__xludf.DUMMYFUNCTION("""COMPUTED_VALUE"""),"VD029")</f>
        <v>VD029</v>
      </c>
      <c r="I1011" s="1">
        <f>IFERROR(__xludf.DUMMYFUNCTION("""COMPUTED_VALUE"""),8.0)</f>
        <v>8</v>
      </c>
      <c r="J1011" s="1">
        <f>IFERROR(__xludf.DUMMYFUNCTION("""COMPUTED_VALUE"""),431.14)</f>
        <v>431.14</v>
      </c>
      <c r="K1011" s="1">
        <f>IFERROR(__xludf.DUMMYFUNCTION("""COMPUTED_VALUE"""),431.14)</f>
        <v>431.14</v>
      </c>
    </row>
    <row r="1012">
      <c r="A1012" s="1">
        <f>IFERROR(__xludf.DUMMYFUNCTION("""COMPUTED_VALUE"""),2000.0)</f>
        <v>2000</v>
      </c>
      <c r="B1012" s="1">
        <f>IFERROR(__xludf.DUMMYFUNCTION("""COMPUTED_VALUE"""),184188.0)</f>
        <v>184188</v>
      </c>
      <c r="C1012" s="1">
        <f>IFERROR(__xludf.DUMMYFUNCTION("""COMPUTED_VALUE"""),2026.0)</f>
        <v>2026</v>
      </c>
      <c r="D1012" s="1">
        <f>IFERROR(__xludf.DUMMYFUNCTION("""COMPUTED_VALUE"""),46181.0)</f>
        <v>46181</v>
      </c>
      <c r="E1012" s="1" t="str">
        <f>IFERROR(__xludf.DUMMYFUNCTION("""COMPUTED_VALUE"""),"VF")</f>
        <v>VF</v>
      </c>
      <c r="F1012" s="1">
        <f>IFERROR(__xludf.DUMMYFUNCTION("""COMPUTED_VALUE"""),1.0)</f>
        <v>1</v>
      </c>
      <c r="G1012" s="1" t="str">
        <f>IFERROR(__xludf.DUMMYFUNCTION("""COMPUTED_VALUE"""),"PR014")</f>
        <v>PR014</v>
      </c>
      <c r="H1012" s="1" t="str">
        <f>IFERROR(__xludf.DUMMYFUNCTION("""COMPUTED_VALUE"""),"VD029")</f>
        <v>VD029</v>
      </c>
      <c r="I1012" s="1">
        <f>IFERROR(__xludf.DUMMYFUNCTION("""COMPUTED_VALUE"""),20.0)</f>
        <v>20</v>
      </c>
      <c r="J1012" s="1">
        <f>IFERROR(__xludf.DUMMYFUNCTION("""COMPUTED_VALUE"""),805.98)</f>
        <v>805.98</v>
      </c>
      <c r="K1012" s="1">
        <f>IFERROR(__xludf.DUMMYFUNCTION("""COMPUTED_VALUE"""),805.98)</f>
        <v>805.98</v>
      </c>
    </row>
    <row r="1013">
      <c r="A1013" s="1">
        <f>IFERROR(__xludf.DUMMYFUNCTION("""COMPUTED_VALUE"""),1000.0)</f>
        <v>1000</v>
      </c>
      <c r="B1013" s="1">
        <f>IFERROR(__xludf.DUMMYFUNCTION("""COMPUTED_VALUE"""),184188.0)</f>
        <v>184188</v>
      </c>
      <c r="C1013" s="1">
        <f>IFERROR(__xludf.DUMMYFUNCTION("""COMPUTED_VALUE"""),2026.0)</f>
        <v>2026</v>
      </c>
      <c r="D1013" s="1">
        <f>IFERROR(__xludf.DUMMYFUNCTION("""COMPUTED_VALUE"""),46181.0)</f>
        <v>46181</v>
      </c>
      <c r="E1013" s="1" t="str">
        <f>IFERROR(__xludf.DUMMYFUNCTION("""COMPUTED_VALUE"""),"VF")</f>
        <v>VF</v>
      </c>
      <c r="F1013" s="1">
        <f>IFERROR(__xludf.DUMMYFUNCTION("""COMPUTED_VALUE"""),2.0)</f>
        <v>2</v>
      </c>
      <c r="G1013" s="1" t="str">
        <f>IFERROR(__xludf.DUMMYFUNCTION("""COMPUTED_VALUE"""),"PR005")</f>
        <v>PR005</v>
      </c>
      <c r="H1013" s="1" t="str">
        <f>IFERROR(__xludf.DUMMYFUNCTION("""COMPUTED_VALUE"""),"VD047")</f>
        <v>VD047</v>
      </c>
      <c r="I1013" s="1">
        <f>IFERROR(__xludf.DUMMYFUNCTION("""COMPUTED_VALUE"""),2.0)</f>
        <v>2</v>
      </c>
      <c r="J1013" s="1">
        <f>IFERROR(__xludf.DUMMYFUNCTION("""COMPUTED_VALUE"""),566.58)</f>
        <v>566.58</v>
      </c>
      <c r="K1013" s="1">
        <f>IFERROR(__xludf.DUMMYFUNCTION("""COMPUTED_VALUE"""),566.58)</f>
        <v>566.58</v>
      </c>
    </row>
    <row r="1014">
      <c r="A1014" s="1">
        <f>IFERROR(__xludf.DUMMYFUNCTION("""COMPUTED_VALUE"""),1000.0)</f>
        <v>1000</v>
      </c>
      <c r="B1014" s="1">
        <f>IFERROR(__xludf.DUMMYFUNCTION("""COMPUTED_VALUE"""),184189.0)</f>
        <v>184189</v>
      </c>
      <c r="C1014" s="1">
        <f>IFERROR(__xludf.DUMMYFUNCTION("""COMPUTED_VALUE"""),2026.0)</f>
        <v>2026</v>
      </c>
      <c r="D1014" s="1">
        <f>IFERROR(__xludf.DUMMYFUNCTION("""COMPUTED_VALUE"""),46181.0)</f>
        <v>46181</v>
      </c>
      <c r="E1014" s="1" t="str">
        <f>IFERROR(__xludf.DUMMYFUNCTION("""COMPUTED_VALUE"""),"VF")</f>
        <v>VF</v>
      </c>
      <c r="F1014" s="1">
        <f>IFERROR(__xludf.DUMMYFUNCTION("""COMPUTED_VALUE"""),1.0)</f>
        <v>1</v>
      </c>
      <c r="G1014" s="1" t="str">
        <f>IFERROR(__xludf.DUMMYFUNCTION("""COMPUTED_VALUE"""),"PR008")</f>
        <v>PR008</v>
      </c>
      <c r="H1014" s="1" t="str">
        <f>IFERROR(__xludf.DUMMYFUNCTION("""COMPUTED_VALUE"""),"VD032")</f>
        <v>VD032</v>
      </c>
      <c r="I1014" s="1">
        <f>IFERROR(__xludf.DUMMYFUNCTION("""COMPUTED_VALUE"""),18.0)</f>
        <v>18</v>
      </c>
      <c r="J1014" s="1">
        <f>IFERROR(__xludf.DUMMYFUNCTION("""COMPUTED_VALUE"""),1715.29)</f>
        <v>1715.29</v>
      </c>
      <c r="K1014" s="1">
        <f>IFERROR(__xludf.DUMMYFUNCTION("""COMPUTED_VALUE"""),1715.29)</f>
        <v>1715.29</v>
      </c>
    </row>
    <row r="1015">
      <c r="A1015" s="1">
        <f>IFERROR(__xludf.DUMMYFUNCTION("""COMPUTED_VALUE"""),1000.0)</f>
        <v>1000</v>
      </c>
      <c r="B1015" s="1">
        <f>IFERROR(__xludf.DUMMYFUNCTION("""COMPUTED_VALUE"""),184190.0)</f>
        <v>184190</v>
      </c>
      <c r="C1015" s="1">
        <f>IFERROR(__xludf.DUMMYFUNCTION("""COMPUTED_VALUE"""),2026.0)</f>
        <v>2026</v>
      </c>
      <c r="D1015" s="1">
        <f>IFERROR(__xludf.DUMMYFUNCTION("""COMPUTED_VALUE"""),46180.0)</f>
        <v>46180</v>
      </c>
      <c r="E1015" s="1" t="str">
        <f>IFERROR(__xludf.DUMMYFUNCTION("""COMPUTED_VALUE"""),"VF")</f>
        <v>VF</v>
      </c>
      <c r="F1015" s="1">
        <f>IFERROR(__xludf.DUMMYFUNCTION("""COMPUTED_VALUE"""),1.0)</f>
        <v>1</v>
      </c>
      <c r="G1015" s="1" t="str">
        <f>IFERROR(__xludf.DUMMYFUNCTION("""COMPUTED_VALUE"""),"PR048")</f>
        <v>PR048</v>
      </c>
      <c r="H1015" s="1" t="str">
        <f>IFERROR(__xludf.DUMMYFUNCTION("""COMPUTED_VALUE"""),"VD044")</f>
        <v>VD044</v>
      </c>
      <c r="I1015" s="1">
        <f>IFERROR(__xludf.DUMMYFUNCTION("""COMPUTED_VALUE"""),18.0)</f>
        <v>18</v>
      </c>
      <c r="J1015" s="1">
        <f>IFERROR(__xludf.DUMMYFUNCTION("""COMPUTED_VALUE"""),5740.02)</f>
        <v>5740.02</v>
      </c>
      <c r="K1015" s="1">
        <f>IFERROR(__xludf.DUMMYFUNCTION("""COMPUTED_VALUE"""),5740.02)</f>
        <v>5740.02</v>
      </c>
    </row>
    <row r="1016">
      <c r="A1016" s="1">
        <f>IFERROR(__xludf.DUMMYFUNCTION("""COMPUTED_VALUE"""),1000.0)</f>
        <v>1000</v>
      </c>
      <c r="B1016" s="1">
        <f>IFERROR(__xludf.DUMMYFUNCTION("""COMPUTED_VALUE"""),184190.0)</f>
        <v>184190</v>
      </c>
      <c r="C1016" s="1">
        <f>IFERROR(__xludf.DUMMYFUNCTION("""COMPUTED_VALUE"""),2026.0)</f>
        <v>2026</v>
      </c>
      <c r="D1016" s="1">
        <f>IFERROR(__xludf.DUMMYFUNCTION("""COMPUTED_VALUE"""),46180.0)</f>
        <v>46180</v>
      </c>
      <c r="E1016" s="1" t="str">
        <f>IFERROR(__xludf.DUMMYFUNCTION("""COMPUTED_VALUE"""),"VF")</f>
        <v>VF</v>
      </c>
      <c r="F1016" s="1">
        <f>IFERROR(__xludf.DUMMYFUNCTION("""COMPUTED_VALUE"""),2.0)</f>
        <v>2</v>
      </c>
      <c r="G1016" s="1" t="str">
        <f>IFERROR(__xludf.DUMMYFUNCTION("""COMPUTED_VALUE"""),"PR011")</f>
        <v>PR011</v>
      </c>
      <c r="H1016" s="1" t="str">
        <f>IFERROR(__xludf.DUMMYFUNCTION("""COMPUTED_VALUE"""),"VD030")</f>
        <v>VD030</v>
      </c>
      <c r="I1016" s="1">
        <f>IFERROR(__xludf.DUMMYFUNCTION("""COMPUTED_VALUE"""),8.0)</f>
        <v>8</v>
      </c>
      <c r="J1016" s="1">
        <f>IFERROR(__xludf.DUMMYFUNCTION("""COMPUTED_VALUE"""),390.21)</f>
        <v>390.21</v>
      </c>
      <c r="K1016" s="1">
        <f>IFERROR(__xludf.DUMMYFUNCTION("""COMPUTED_VALUE"""),390.21)</f>
        <v>390.21</v>
      </c>
    </row>
    <row r="1017">
      <c r="A1017" s="1">
        <f>IFERROR(__xludf.DUMMYFUNCTION("""COMPUTED_VALUE"""),2000.0)</f>
        <v>2000</v>
      </c>
      <c r="B1017" s="1">
        <f>IFERROR(__xludf.DUMMYFUNCTION("""COMPUTED_VALUE"""),184191.0)</f>
        <v>184191</v>
      </c>
      <c r="C1017" s="1">
        <f>IFERROR(__xludf.DUMMYFUNCTION("""COMPUTED_VALUE"""),2026.0)</f>
        <v>2026</v>
      </c>
      <c r="D1017" s="1">
        <f>IFERROR(__xludf.DUMMYFUNCTION("""COMPUTED_VALUE"""),46180.0)</f>
        <v>46180</v>
      </c>
      <c r="E1017" s="1" t="str">
        <f>IFERROR(__xludf.DUMMYFUNCTION("""COMPUTED_VALUE"""),"VF")</f>
        <v>VF</v>
      </c>
      <c r="F1017" s="1">
        <f>IFERROR(__xludf.DUMMYFUNCTION("""COMPUTED_VALUE"""),1.0)</f>
        <v>1</v>
      </c>
      <c r="G1017" s="1" t="str">
        <f>IFERROR(__xludf.DUMMYFUNCTION("""COMPUTED_VALUE"""),"PR057")</f>
        <v>PR057</v>
      </c>
      <c r="H1017" s="1" t="str">
        <f>IFERROR(__xludf.DUMMYFUNCTION("""COMPUTED_VALUE"""),"VD025")</f>
        <v>VD025</v>
      </c>
      <c r="I1017" s="1">
        <f>IFERROR(__xludf.DUMMYFUNCTION("""COMPUTED_VALUE"""),14.0)</f>
        <v>14</v>
      </c>
      <c r="J1017" s="1">
        <f>IFERROR(__xludf.DUMMYFUNCTION("""COMPUTED_VALUE"""),1346.7)</f>
        <v>1346.7</v>
      </c>
      <c r="K1017" s="1">
        <f>IFERROR(__xludf.DUMMYFUNCTION("""COMPUTED_VALUE"""),1346.7)</f>
        <v>1346.7</v>
      </c>
    </row>
    <row r="1018">
      <c r="A1018" s="1">
        <f>IFERROR(__xludf.DUMMYFUNCTION("""COMPUTED_VALUE"""),1000.0)</f>
        <v>1000</v>
      </c>
      <c r="B1018" s="1">
        <f>IFERROR(__xludf.DUMMYFUNCTION("""COMPUTED_VALUE"""),184192.0)</f>
        <v>184192</v>
      </c>
      <c r="C1018" s="1">
        <f>IFERROR(__xludf.DUMMYFUNCTION("""COMPUTED_VALUE"""),2026.0)</f>
        <v>2026</v>
      </c>
      <c r="D1018" s="1">
        <f>IFERROR(__xludf.DUMMYFUNCTION("""COMPUTED_VALUE"""),46179.0)</f>
        <v>46179</v>
      </c>
      <c r="E1018" s="1" t="str">
        <f>IFERROR(__xludf.DUMMYFUNCTION("""COMPUTED_VALUE"""),"VF")</f>
        <v>VF</v>
      </c>
      <c r="F1018" s="1">
        <f>IFERROR(__xludf.DUMMYFUNCTION("""COMPUTED_VALUE"""),1.0)</f>
        <v>1</v>
      </c>
      <c r="G1018" s="1" t="str">
        <f>IFERROR(__xludf.DUMMYFUNCTION("""COMPUTED_VALUE"""),"PR029")</f>
        <v>PR029</v>
      </c>
      <c r="H1018" s="1" t="str">
        <f>IFERROR(__xludf.DUMMYFUNCTION("""COMPUTED_VALUE"""),"VD033")</f>
        <v>VD033</v>
      </c>
      <c r="I1018" s="1">
        <f>IFERROR(__xludf.DUMMYFUNCTION("""COMPUTED_VALUE"""),3.0)</f>
        <v>3</v>
      </c>
      <c r="J1018" s="1">
        <f>IFERROR(__xludf.DUMMYFUNCTION("""COMPUTED_VALUE"""),787.95)</f>
        <v>787.95</v>
      </c>
      <c r="K1018" s="1">
        <f>IFERROR(__xludf.DUMMYFUNCTION("""COMPUTED_VALUE"""),787.95)</f>
        <v>787.95</v>
      </c>
    </row>
    <row r="1019">
      <c r="A1019" s="1">
        <f>IFERROR(__xludf.DUMMYFUNCTION("""COMPUTED_VALUE"""),1000.0)</f>
        <v>1000</v>
      </c>
      <c r="B1019" s="1">
        <f>IFERROR(__xludf.DUMMYFUNCTION("""COMPUTED_VALUE"""),184193.0)</f>
        <v>184193</v>
      </c>
      <c r="C1019" s="1">
        <f>IFERROR(__xludf.DUMMYFUNCTION("""COMPUTED_VALUE"""),2026.0)</f>
        <v>2026</v>
      </c>
      <c r="D1019" s="1">
        <f>IFERROR(__xludf.DUMMYFUNCTION("""COMPUTED_VALUE"""),46179.0)</f>
        <v>46179</v>
      </c>
      <c r="E1019" s="1" t="str">
        <f>IFERROR(__xludf.DUMMYFUNCTION("""COMPUTED_VALUE"""),"VF")</f>
        <v>VF</v>
      </c>
      <c r="F1019" s="1">
        <f>IFERROR(__xludf.DUMMYFUNCTION("""COMPUTED_VALUE"""),1.0)</f>
        <v>1</v>
      </c>
      <c r="G1019" s="1" t="str">
        <f>IFERROR(__xludf.DUMMYFUNCTION("""COMPUTED_VALUE"""),"PR053")</f>
        <v>PR053</v>
      </c>
      <c r="H1019" s="1" t="str">
        <f>IFERROR(__xludf.DUMMYFUNCTION("""COMPUTED_VALUE"""),"VD031")</f>
        <v>VD031</v>
      </c>
      <c r="I1019" s="1">
        <f>IFERROR(__xludf.DUMMYFUNCTION("""COMPUTED_VALUE"""),7.0)</f>
        <v>7</v>
      </c>
      <c r="J1019" s="1">
        <f>IFERROR(__xludf.DUMMYFUNCTION("""COMPUTED_VALUE"""),349.3)</f>
        <v>349.3</v>
      </c>
      <c r="K1019" s="1">
        <f>IFERROR(__xludf.DUMMYFUNCTION("""COMPUTED_VALUE"""),349.3)</f>
        <v>349.3</v>
      </c>
    </row>
    <row r="1020">
      <c r="A1020" s="1">
        <f>IFERROR(__xludf.DUMMYFUNCTION("""COMPUTED_VALUE"""),2000.0)</f>
        <v>2000</v>
      </c>
      <c r="B1020" s="1">
        <f>IFERROR(__xludf.DUMMYFUNCTION("""COMPUTED_VALUE"""),184194.0)</f>
        <v>184194</v>
      </c>
      <c r="C1020" s="1">
        <f>IFERROR(__xludf.DUMMYFUNCTION("""COMPUTED_VALUE"""),2026.0)</f>
        <v>2026</v>
      </c>
      <c r="D1020" s="1">
        <f>IFERROR(__xludf.DUMMYFUNCTION("""COMPUTED_VALUE"""),46179.0)</f>
        <v>46179</v>
      </c>
      <c r="E1020" s="1" t="str">
        <f>IFERROR(__xludf.DUMMYFUNCTION("""COMPUTED_VALUE"""),"VF")</f>
        <v>VF</v>
      </c>
      <c r="F1020" s="1">
        <f>IFERROR(__xludf.DUMMYFUNCTION("""COMPUTED_VALUE"""),1.0)</f>
        <v>1</v>
      </c>
      <c r="G1020" s="1" t="str">
        <f>IFERROR(__xludf.DUMMYFUNCTION("""COMPUTED_VALUE"""),"PR018")</f>
        <v>PR018</v>
      </c>
      <c r="H1020" s="1" t="str">
        <f>IFERROR(__xludf.DUMMYFUNCTION("""COMPUTED_VALUE"""),"VD027")</f>
        <v>VD027</v>
      </c>
      <c r="I1020" s="1">
        <f>IFERROR(__xludf.DUMMYFUNCTION("""COMPUTED_VALUE"""),10.0)</f>
        <v>10</v>
      </c>
      <c r="J1020" s="1">
        <f>IFERROR(__xludf.DUMMYFUNCTION("""COMPUTED_VALUE"""),335.58)</f>
        <v>335.58</v>
      </c>
      <c r="K1020" s="1">
        <f>IFERROR(__xludf.DUMMYFUNCTION("""COMPUTED_VALUE"""),335.58)</f>
        <v>335.58</v>
      </c>
    </row>
    <row r="1021">
      <c r="A1021" s="1">
        <f>IFERROR(__xludf.DUMMYFUNCTION("""COMPUTED_VALUE"""),1000.0)</f>
        <v>1000</v>
      </c>
      <c r="B1021" s="1">
        <f>IFERROR(__xludf.DUMMYFUNCTION("""COMPUTED_VALUE"""),184195.0)</f>
        <v>184195</v>
      </c>
      <c r="C1021" s="1">
        <f>IFERROR(__xludf.DUMMYFUNCTION("""COMPUTED_VALUE"""),2026.0)</f>
        <v>2026</v>
      </c>
      <c r="D1021" s="1">
        <f>IFERROR(__xludf.DUMMYFUNCTION("""COMPUTED_VALUE"""),46179.0)</f>
        <v>46179</v>
      </c>
      <c r="E1021" s="1" t="str">
        <f>IFERROR(__xludf.DUMMYFUNCTION("""COMPUTED_VALUE"""),"VF")</f>
        <v>VF</v>
      </c>
      <c r="F1021" s="1">
        <f>IFERROR(__xludf.DUMMYFUNCTION("""COMPUTED_VALUE"""),1.0)</f>
        <v>1</v>
      </c>
      <c r="G1021" s="1" t="str">
        <f>IFERROR(__xludf.DUMMYFUNCTION("""COMPUTED_VALUE"""),"PR048")</f>
        <v>PR048</v>
      </c>
      <c r="H1021" s="1" t="str">
        <f>IFERROR(__xludf.DUMMYFUNCTION("""COMPUTED_VALUE"""),"VD046")</f>
        <v>VD046</v>
      </c>
      <c r="I1021" s="1">
        <f>IFERROR(__xludf.DUMMYFUNCTION("""COMPUTED_VALUE"""),12.0)</f>
        <v>12</v>
      </c>
      <c r="J1021" s="1">
        <f>IFERROR(__xludf.DUMMYFUNCTION("""COMPUTED_VALUE"""),3757.1)</f>
        <v>3757.1</v>
      </c>
      <c r="K1021" s="1">
        <f>IFERROR(__xludf.DUMMYFUNCTION("""COMPUTED_VALUE"""),3757.1)</f>
        <v>3757.1</v>
      </c>
    </row>
    <row r="1022">
      <c r="A1022" s="1">
        <f>IFERROR(__xludf.DUMMYFUNCTION("""COMPUTED_VALUE"""),1000.0)</f>
        <v>1000</v>
      </c>
      <c r="B1022" s="1">
        <f>IFERROR(__xludf.DUMMYFUNCTION("""COMPUTED_VALUE"""),184196.0)</f>
        <v>184196</v>
      </c>
      <c r="C1022" s="1">
        <f>IFERROR(__xludf.DUMMYFUNCTION("""COMPUTED_VALUE"""),2026.0)</f>
        <v>2026</v>
      </c>
      <c r="D1022" s="1">
        <f>IFERROR(__xludf.DUMMYFUNCTION("""COMPUTED_VALUE"""),46179.0)</f>
        <v>46179</v>
      </c>
      <c r="E1022" s="1" t="str">
        <f>IFERROR(__xludf.DUMMYFUNCTION("""COMPUTED_VALUE"""),"VF")</f>
        <v>VF</v>
      </c>
      <c r="F1022" s="1">
        <f>IFERROR(__xludf.DUMMYFUNCTION("""COMPUTED_VALUE"""),1.0)</f>
        <v>1</v>
      </c>
      <c r="G1022" s="1" t="str">
        <f>IFERROR(__xludf.DUMMYFUNCTION("""COMPUTED_VALUE"""),"PR031")</f>
        <v>PR031</v>
      </c>
      <c r="H1022" s="1" t="str">
        <f>IFERROR(__xludf.DUMMYFUNCTION("""COMPUTED_VALUE"""),"VD011")</f>
        <v>VD011</v>
      </c>
      <c r="I1022" s="1">
        <f>IFERROR(__xludf.DUMMYFUNCTION("""COMPUTED_VALUE"""),10.0)</f>
        <v>10</v>
      </c>
      <c r="J1022" s="1">
        <f>IFERROR(__xludf.DUMMYFUNCTION("""COMPUTED_VALUE"""),2474.5)</f>
        <v>2474.5</v>
      </c>
      <c r="K1022" s="1">
        <f>IFERROR(__xludf.DUMMYFUNCTION("""COMPUTED_VALUE"""),2474.5)</f>
        <v>2474.5</v>
      </c>
    </row>
    <row r="1023">
      <c r="A1023" s="1">
        <f>IFERROR(__xludf.DUMMYFUNCTION("""COMPUTED_VALUE"""),1000.0)</f>
        <v>1000</v>
      </c>
      <c r="B1023" s="1">
        <f>IFERROR(__xludf.DUMMYFUNCTION("""COMPUTED_VALUE"""),184197.0)</f>
        <v>184197</v>
      </c>
      <c r="C1023" s="1">
        <f>IFERROR(__xludf.DUMMYFUNCTION("""COMPUTED_VALUE"""),2026.0)</f>
        <v>2026</v>
      </c>
      <c r="D1023" s="1">
        <f>IFERROR(__xludf.DUMMYFUNCTION("""COMPUTED_VALUE"""),46178.0)</f>
        <v>46178</v>
      </c>
      <c r="E1023" s="1" t="str">
        <f>IFERROR(__xludf.DUMMYFUNCTION("""COMPUTED_VALUE"""),"VF")</f>
        <v>VF</v>
      </c>
      <c r="F1023" s="1">
        <f>IFERROR(__xludf.DUMMYFUNCTION("""COMPUTED_VALUE"""),1.0)</f>
        <v>1</v>
      </c>
      <c r="G1023" s="1" t="str">
        <f>IFERROR(__xludf.DUMMYFUNCTION("""COMPUTED_VALUE"""),"PR042")</f>
        <v>PR042</v>
      </c>
      <c r="H1023" s="1" t="str">
        <f>IFERROR(__xludf.DUMMYFUNCTION("""COMPUTED_VALUE"""),"VD020")</f>
        <v>VD020</v>
      </c>
      <c r="I1023" s="1">
        <f>IFERROR(__xludf.DUMMYFUNCTION("""COMPUTED_VALUE"""),3.0)</f>
        <v>3</v>
      </c>
      <c r="J1023" s="1">
        <f>IFERROR(__xludf.DUMMYFUNCTION("""COMPUTED_VALUE"""),169.64)</f>
        <v>169.64</v>
      </c>
      <c r="K1023" s="1">
        <f>IFERROR(__xludf.DUMMYFUNCTION("""COMPUTED_VALUE"""),169.64)</f>
        <v>169.64</v>
      </c>
    </row>
    <row r="1024">
      <c r="A1024" s="1">
        <f>IFERROR(__xludf.DUMMYFUNCTION("""COMPUTED_VALUE"""),1000.0)</f>
        <v>1000</v>
      </c>
      <c r="B1024" s="1">
        <f>IFERROR(__xludf.DUMMYFUNCTION("""COMPUTED_VALUE"""),184198.0)</f>
        <v>184198</v>
      </c>
      <c r="C1024" s="1">
        <f>IFERROR(__xludf.DUMMYFUNCTION("""COMPUTED_VALUE"""),2026.0)</f>
        <v>2026</v>
      </c>
      <c r="D1024" s="1">
        <f>IFERROR(__xludf.DUMMYFUNCTION("""COMPUTED_VALUE"""),46178.0)</f>
        <v>46178</v>
      </c>
      <c r="E1024" s="1" t="str">
        <f>IFERROR(__xludf.DUMMYFUNCTION("""COMPUTED_VALUE"""),"VF")</f>
        <v>VF</v>
      </c>
      <c r="F1024" s="1">
        <f>IFERROR(__xludf.DUMMYFUNCTION("""COMPUTED_VALUE"""),1.0)</f>
        <v>1</v>
      </c>
      <c r="G1024" s="1" t="str">
        <f>IFERROR(__xludf.DUMMYFUNCTION("""COMPUTED_VALUE"""),"PR053")</f>
        <v>PR053</v>
      </c>
      <c r="H1024" s="1" t="str">
        <f>IFERROR(__xludf.DUMMYFUNCTION("""COMPUTED_VALUE"""),"VD027")</f>
        <v>VD027</v>
      </c>
      <c r="I1024" s="1">
        <f>IFERROR(__xludf.DUMMYFUNCTION("""COMPUTED_VALUE"""),12.0)</f>
        <v>12</v>
      </c>
      <c r="J1024" s="1">
        <f>IFERROR(__xludf.DUMMYFUNCTION("""COMPUTED_VALUE"""),604.79)</f>
        <v>604.79</v>
      </c>
      <c r="K1024" s="1">
        <f>IFERROR(__xludf.DUMMYFUNCTION("""COMPUTED_VALUE"""),604.79)</f>
        <v>604.79</v>
      </c>
    </row>
    <row r="1025">
      <c r="A1025" s="1">
        <f>IFERROR(__xludf.DUMMYFUNCTION("""COMPUTED_VALUE"""),1000.0)</f>
        <v>1000</v>
      </c>
      <c r="B1025" s="1">
        <f>IFERROR(__xludf.DUMMYFUNCTION("""COMPUTED_VALUE"""),184199.0)</f>
        <v>184199</v>
      </c>
      <c r="C1025" s="1">
        <f>IFERROR(__xludf.DUMMYFUNCTION("""COMPUTED_VALUE"""),2026.0)</f>
        <v>2026</v>
      </c>
      <c r="D1025" s="1">
        <f>IFERROR(__xludf.DUMMYFUNCTION("""COMPUTED_VALUE"""),46177.0)</f>
        <v>46177</v>
      </c>
      <c r="E1025" s="1" t="str">
        <f>IFERROR(__xludf.DUMMYFUNCTION("""COMPUTED_VALUE"""),"VF")</f>
        <v>VF</v>
      </c>
      <c r="F1025" s="1">
        <f>IFERROR(__xludf.DUMMYFUNCTION("""COMPUTED_VALUE"""),1.0)</f>
        <v>1</v>
      </c>
      <c r="G1025" s="1" t="str">
        <f>IFERROR(__xludf.DUMMYFUNCTION("""COMPUTED_VALUE"""),"PR032")</f>
        <v>PR032</v>
      </c>
      <c r="H1025" s="1" t="str">
        <f>IFERROR(__xludf.DUMMYFUNCTION("""COMPUTED_VALUE"""),"VD047")</f>
        <v>VD047</v>
      </c>
      <c r="I1025" s="1">
        <f>IFERROR(__xludf.DUMMYFUNCTION("""COMPUTED_VALUE"""),18.0)</f>
        <v>18</v>
      </c>
      <c r="J1025" s="1">
        <f>IFERROR(__xludf.DUMMYFUNCTION("""COMPUTED_VALUE"""),4860.0)</f>
        <v>4860</v>
      </c>
      <c r="K1025" s="1">
        <f>IFERROR(__xludf.DUMMYFUNCTION("""COMPUTED_VALUE"""),4860.0)</f>
        <v>4860</v>
      </c>
    </row>
    <row r="1026">
      <c r="A1026" s="1">
        <f>IFERROR(__xludf.DUMMYFUNCTION("""COMPUTED_VALUE"""),2000.0)</f>
        <v>2000</v>
      </c>
      <c r="B1026" s="1">
        <f>IFERROR(__xludf.DUMMYFUNCTION("""COMPUTED_VALUE"""),184199.0)</f>
        <v>184199</v>
      </c>
      <c r="C1026" s="1">
        <f>IFERROR(__xludf.DUMMYFUNCTION("""COMPUTED_VALUE"""),2026.0)</f>
        <v>2026</v>
      </c>
      <c r="D1026" s="1">
        <f>IFERROR(__xludf.DUMMYFUNCTION("""COMPUTED_VALUE"""),46177.0)</f>
        <v>46177</v>
      </c>
      <c r="E1026" s="1" t="str">
        <f>IFERROR(__xludf.DUMMYFUNCTION("""COMPUTED_VALUE"""),"VF")</f>
        <v>VF</v>
      </c>
      <c r="F1026" s="1">
        <f>IFERROR(__xludf.DUMMYFUNCTION("""COMPUTED_VALUE"""),2.0)</f>
        <v>2</v>
      </c>
      <c r="G1026" s="1" t="str">
        <f>IFERROR(__xludf.DUMMYFUNCTION("""COMPUTED_VALUE"""),"PR015")</f>
        <v>PR015</v>
      </c>
      <c r="H1026" s="1" t="str">
        <f>IFERROR(__xludf.DUMMYFUNCTION("""COMPUTED_VALUE"""),"VD038")</f>
        <v>VD038</v>
      </c>
      <c r="I1026" s="1">
        <f>IFERROR(__xludf.DUMMYFUNCTION("""COMPUTED_VALUE"""),12.0)</f>
        <v>12</v>
      </c>
      <c r="J1026" s="1">
        <f>IFERROR(__xludf.DUMMYFUNCTION("""COMPUTED_VALUE"""),535.5)</f>
        <v>535.5</v>
      </c>
      <c r="K1026" s="1">
        <f>IFERROR(__xludf.DUMMYFUNCTION("""COMPUTED_VALUE"""),535.5)</f>
        <v>535.5</v>
      </c>
    </row>
    <row r="1027">
      <c r="A1027" s="1">
        <f>IFERROR(__xludf.DUMMYFUNCTION("""COMPUTED_VALUE"""),2000.0)</f>
        <v>2000</v>
      </c>
      <c r="B1027" s="1">
        <f>IFERROR(__xludf.DUMMYFUNCTION("""COMPUTED_VALUE"""),184199.0)</f>
        <v>184199</v>
      </c>
      <c r="C1027" s="1">
        <f>IFERROR(__xludf.DUMMYFUNCTION("""COMPUTED_VALUE"""),2026.0)</f>
        <v>2026</v>
      </c>
      <c r="D1027" s="1">
        <f>IFERROR(__xludf.DUMMYFUNCTION("""COMPUTED_VALUE"""),46177.0)</f>
        <v>46177</v>
      </c>
      <c r="E1027" s="1" t="str">
        <f>IFERROR(__xludf.DUMMYFUNCTION("""COMPUTED_VALUE"""),"VF")</f>
        <v>VF</v>
      </c>
      <c r="F1027" s="1">
        <f>IFERROR(__xludf.DUMMYFUNCTION("""COMPUTED_VALUE"""),3.0)</f>
        <v>3</v>
      </c>
      <c r="G1027" s="1" t="str">
        <f>IFERROR(__xludf.DUMMYFUNCTION("""COMPUTED_VALUE"""),"PR059")</f>
        <v>PR059</v>
      </c>
      <c r="H1027" s="1" t="str">
        <f>IFERROR(__xludf.DUMMYFUNCTION("""COMPUTED_VALUE"""),"VD047")</f>
        <v>VD047</v>
      </c>
      <c r="I1027" s="1">
        <f>IFERROR(__xludf.DUMMYFUNCTION("""COMPUTED_VALUE"""),14.0)</f>
        <v>14</v>
      </c>
      <c r="J1027" s="1">
        <f>IFERROR(__xludf.DUMMYFUNCTION("""COMPUTED_VALUE"""),2671.2)</f>
        <v>2671.2</v>
      </c>
      <c r="K1027" s="1">
        <f>IFERROR(__xludf.DUMMYFUNCTION("""COMPUTED_VALUE"""),2671.2)</f>
        <v>2671.2</v>
      </c>
    </row>
    <row r="1028">
      <c r="A1028" s="1">
        <f>IFERROR(__xludf.DUMMYFUNCTION("""COMPUTED_VALUE"""),1000.0)</f>
        <v>1000</v>
      </c>
      <c r="B1028" s="1">
        <f>IFERROR(__xludf.DUMMYFUNCTION("""COMPUTED_VALUE"""),184199.0)</f>
        <v>184199</v>
      </c>
      <c r="C1028" s="1">
        <f>IFERROR(__xludf.DUMMYFUNCTION("""COMPUTED_VALUE"""),2026.0)</f>
        <v>2026</v>
      </c>
      <c r="D1028" s="1">
        <f>IFERROR(__xludf.DUMMYFUNCTION("""COMPUTED_VALUE"""),46177.0)</f>
        <v>46177</v>
      </c>
      <c r="E1028" s="1" t="str">
        <f>IFERROR(__xludf.DUMMYFUNCTION("""COMPUTED_VALUE"""),"VF")</f>
        <v>VF</v>
      </c>
      <c r="F1028" s="1">
        <f>IFERROR(__xludf.DUMMYFUNCTION("""COMPUTED_VALUE"""),4.0)</f>
        <v>4</v>
      </c>
      <c r="G1028" s="1" t="str">
        <f>IFERROR(__xludf.DUMMYFUNCTION("""COMPUTED_VALUE"""),"PR004")</f>
        <v>PR004</v>
      </c>
      <c r="H1028" s="1" t="str">
        <f>IFERROR(__xludf.DUMMYFUNCTION("""COMPUTED_VALUE"""),"VD022")</f>
        <v>VD022</v>
      </c>
      <c r="I1028" s="1">
        <f>IFERROR(__xludf.DUMMYFUNCTION("""COMPUTED_VALUE"""),6.0)</f>
        <v>6</v>
      </c>
      <c r="J1028" s="1">
        <f>IFERROR(__xludf.DUMMYFUNCTION("""COMPUTED_VALUE"""),887.4)</f>
        <v>887.4</v>
      </c>
      <c r="K1028" s="1">
        <f>IFERROR(__xludf.DUMMYFUNCTION("""COMPUTED_VALUE"""),887.4)</f>
        <v>887.4</v>
      </c>
    </row>
    <row r="1029">
      <c r="A1029" s="1">
        <f>IFERROR(__xludf.DUMMYFUNCTION("""COMPUTED_VALUE"""),2000.0)</f>
        <v>2000</v>
      </c>
      <c r="B1029" s="1">
        <f>IFERROR(__xludf.DUMMYFUNCTION("""COMPUTED_VALUE"""),184199.0)</f>
        <v>184199</v>
      </c>
      <c r="C1029" s="1">
        <f>IFERROR(__xludf.DUMMYFUNCTION("""COMPUTED_VALUE"""),2026.0)</f>
        <v>2026</v>
      </c>
      <c r="D1029" s="1">
        <f>IFERROR(__xludf.DUMMYFUNCTION("""COMPUTED_VALUE"""),46177.0)</f>
        <v>46177</v>
      </c>
      <c r="E1029" s="1" t="str">
        <f>IFERROR(__xludf.DUMMYFUNCTION("""COMPUTED_VALUE"""),"VF")</f>
        <v>VF</v>
      </c>
      <c r="F1029" s="1">
        <f>IFERROR(__xludf.DUMMYFUNCTION("""COMPUTED_VALUE"""),5.0)</f>
        <v>5</v>
      </c>
      <c r="G1029" s="1" t="str">
        <f>IFERROR(__xludf.DUMMYFUNCTION("""COMPUTED_VALUE"""),"PR028")</f>
        <v>PR028</v>
      </c>
      <c r="H1029" s="1" t="str">
        <f>IFERROR(__xludf.DUMMYFUNCTION("""COMPUTED_VALUE"""),"VD026")</f>
        <v>VD026</v>
      </c>
      <c r="I1029" s="1">
        <f>IFERROR(__xludf.DUMMYFUNCTION("""COMPUTED_VALUE"""),5.0)</f>
        <v>5</v>
      </c>
      <c r="J1029" s="1">
        <f>IFERROR(__xludf.DUMMYFUNCTION("""COMPUTED_VALUE"""),1361.96)</f>
        <v>1361.96</v>
      </c>
      <c r="K1029" s="1">
        <f>IFERROR(__xludf.DUMMYFUNCTION("""COMPUTED_VALUE"""),1361.96)</f>
        <v>1361.96</v>
      </c>
    </row>
    <row r="1030">
      <c r="A1030" s="1">
        <f>IFERROR(__xludf.DUMMYFUNCTION("""COMPUTED_VALUE"""),1000.0)</f>
        <v>1000</v>
      </c>
      <c r="B1030" s="1">
        <f>IFERROR(__xludf.DUMMYFUNCTION("""COMPUTED_VALUE"""),184200.0)</f>
        <v>184200</v>
      </c>
      <c r="C1030" s="1">
        <f>IFERROR(__xludf.DUMMYFUNCTION("""COMPUTED_VALUE"""),2026.0)</f>
        <v>2026</v>
      </c>
      <c r="D1030" s="1">
        <f>IFERROR(__xludf.DUMMYFUNCTION("""COMPUTED_VALUE"""),46177.0)</f>
        <v>46177</v>
      </c>
      <c r="E1030" s="1" t="str">
        <f>IFERROR(__xludf.DUMMYFUNCTION("""COMPUTED_VALUE"""),"VF")</f>
        <v>VF</v>
      </c>
      <c r="F1030" s="1">
        <f>IFERROR(__xludf.DUMMYFUNCTION("""COMPUTED_VALUE"""),1.0)</f>
        <v>1</v>
      </c>
      <c r="G1030" s="1" t="str">
        <f>IFERROR(__xludf.DUMMYFUNCTION("""COMPUTED_VALUE"""),"PR037")</f>
        <v>PR037</v>
      </c>
      <c r="H1030" s="1" t="str">
        <f>IFERROR(__xludf.DUMMYFUNCTION("""COMPUTED_VALUE"""),"VD019")</f>
        <v>VD019</v>
      </c>
      <c r="I1030" s="1">
        <f>IFERROR(__xludf.DUMMYFUNCTION("""COMPUTED_VALUE"""),12.0)</f>
        <v>12</v>
      </c>
      <c r="J1030" s="1">
        <f>IFERROR(__xludf.DUMMYFUNCTION("""COMPUTED_VALUE"""),1747.2)</f>
        <v>1747.2</v>
      </c>
      <c r="K1030" s="1">
        <f>IFERROR(__xludf.DUMMYFUNCTION("""COMPUTED_VALUE"""),1747.2)</f>
        <v>1747.2</v>
      </c>
    </row>
    <row r="1031">
      <c r="A1031" s="1">
        <f>IFERROR(__xludf.DUMMYFUNCTION("""COMPUTED_VALUE"""),2000.0)</f>
        <v>2000</v>
      </c>
      <c r="B1031" s="1">
        <f>IFERROR(__xludf.DUMMYFUNCTION("""COMPUTED_VALUE"""),184200.0)</f>
        <v>184200</v>
      </c>
      <c r="C1031" s="1">
        <f>IFERROR(__xludf.DUMMYFUNCTION("""COMPUTED_VALUE"""),2026.0)</f>
        <v>2026</v>
      </c>
      <c r="D1031" s="1">
        <f>IFERROR(__xludf.DUMMYFUNCTION("""COMPUTED_VALUE"""),46177.0)</f>
        <v>46177</v>
      </c>
      <c r="E1031" s="1" t="str">
        <f>IFERROR(__xludf.DUMMYFUNCTION("""COMPUTED_VALUE"""),"VF")</f>
        <v>VF</v>
      </c>
      <c r="F1031" s="1">
        <f>IFERROR(__xludf.DUMMYFUNCTION("""COMPUTED_VALUE"""),2.0)</f>
        <v>2</v>
      </c>
      <c r="G1031" s="1" t="str">
        <f>IFERROR(__xludf.DUMMYFUNCTION("""COMPUTED_VALUE"""),"PR031")</f>
        <v>PR031</v>
      </c>
      <c r="H1031" s="1" t="str">
        <f>IFERROR(__xludf.DUMMYFUNCTION("""COMPUTED_VALUE"""),"VD036")</f>
        <v>VD036</v>
      </c>
      <c r="I1031" s="1">
        <f>IFERROR(__xludf.DUMMYFUNCTION("""COMPUTED_VALUE"""),6.0)</f>
        <v>6</v>
      </c>
      <c r="J1031" s="1">
        <f>IFERROR(__xludf.DUMMYFUNCTION("""COMPUTED_VALUE"""),1499.4)</f>
        <v>1499.4</v>
      </c>
      <c r="K1031" s="1">
        <f>IFERROR(__xludf.DUMMYFUNCTION("""COMPUTED_VALUE"""),1499.4)</f>
        <v>1499.4</v>
      </c>
    </row>
    <row r="1032">
      <c r="A1032" s="1">
        <f>IFERROR(__xludf.DUMMYFUNCTION("""COMPUTED_VALUE"""),1000.0)</f>
        <v>1000</v>
      </c>
      <c r="B1032" s="1">
        <f>IFERROR(__xludf.DUMMYFUNCTION("""COMPUTED_VALUE"""),184201.0)</f>
        <v>184201</v>
      </c>
      <c r="C1032" s="1">
        <f>IFERROR(__xludf.DUMMYFUNCTION("""COMPUTED_VALUE"""),2026.0)</f>
        <v>2026</v>
      </c>
      <c r="D1032" s="1">
        <f>IFERROR(__xludf.DUMMYFUNCTION("""COMPUTED_VALUE"""),46177.0)</f>
        <v>46177</v>
      </c>
      <c r="E1032" s="1" t="str">
        <f>IFERROR(__xludf.DUMMYFUNCTION("""COMPUTED_VALUE"""),"VF")</f>
        <v>VF</v>
      </c>
      <c r="F1032" s="1">
        <f>IFERROR(__xludf.DUMMYFUNCTION("""COMPUTED_VALUE"""),1.0)</f>
        <v>1</v>
      </c>
      <c r="G1032" s="1" t="str">
        <f>IFERROR(__xludf.DUMMYFUNCTION("""COMPUTED_VALUE"""),"PR038")</f>
        <v>PR038</v>
      </c>
      <c r="H1032" s="1" t="str">
        <f>IFERROR(__xludf.DUMMYFUNCTION("""COMPUTED_VALUE"""),"VD033")</f>
        <v>VD033</v>
      </c>
      <c r="I1032" s="1">
        <f>IFERROR(__xludf.DUMMYFUNCTION("""COMPUTED_VALUE"""),10.0)</f>
        <v>10</v>
      </c>
      <c r="J1032" s="1">
        <f>IFERROR(__xludf.DUMMYFUNCTION("""COMPUTED_VALUE"""),1443.29)</f>
        <v>1443.29</v>
      </c>
      <c r="K1032" s="1">
        <f>IFERROR(__xludf.DUMMYFUNCTION("""COMPUTED_VALUE"""),1443.29)</f>
        <v>1443.29</v>
      </c>
    </row>
    <row r="1033">
      <c r="A1033" s="1">
        <f>IFERROR(__xludf.DUMMYFUNCTION("""COMPUTED_VALUE"""),1000.0)</f>
        <v>1000</v>
      </c>
      <c r="B1033" s="1">
        <f>IFERROR(__xludf.DUMMYFUNCTION("""COMPUTED_VALUE"""),184202.0)</f>
        <v>184202</v>
      </c>
      <c r="C1033" s="1">
        <f>IFERROR(__xludf.DUMMYFUNCTION("""COMPUTED_VALUE"""),2026.0)</f>
        <v>2026</v>
      </c>
      <c r="D1033" s="1">
        <f>IFERROR(__xludf.DUMMYFUNCTION("""COMPUTED_VALUE"""),46177.0)</f>
        <v>46177</v>
      </c>
      <c r="E1033" s="1" t="str">
        <f>IFERROR(__xludf.DUMMYFUNCTION("""COMPUTED_VALUE"""),"VF")</f>
        <v>VF</v>
      </c>
      <c r="F1033" s="1">
        <f>IFERROR(__xludf.DUMMYFUNCTION("""COMPUTED_VALUE"""),1.0)</f>
        <v>1</v>
      </c>
      <c r="G1033" s="1" t="str">
        <f>IFERROR(__xludf.DUMMYFUNCTION("""COMPUTED_VALUE"""),"PR009")</f>
        <v>PR009</v>
      </c>
      <c r="H1033" s="1" t="str">
        <f>IFERROR(__xludf.DUMMYFUNCTION("""COMPUTED_VALUE"""),"VD035")</f>
        <v>VD035</v>
      </c>
      <c r="I1033" s="1">
        <f>IFERROR(__xludf.DUMMYFUNCTION("""COMPUTED_VALUE"""),16.0)</f>
        <v>16</v>
      </c>
      <c r="J1033" s="1">
        <f>IFERROR(__xludf.DUMMYFUNCTION("""COMPUTED_VALUE"""),1545.86)</f>
        <v>1545.86</v>
      </c>
      <c r="K1033" s="1">
        <f>IFERROR(__xludf.DUMMYFUNCTION("""COMPUTED_VALUE"""),1545.86)</f>
        <v>1545.86</v>
      </c>
    </row>
    <row r="1034">
      <c r="A1034" s="1">
        <f>IFERROR(__xludf.DUMMYFUNCTION("""COMPUTED_VALUE"""),2000.0)</f>
        <v>2000</v>
      </c>
      <c r="B1034" s="1">
        <f>IFERROR(__xludf.DUMMYFUNCTION("""COMPUTED_VALUE"""),184203.0)</f>
        <v>184203</v>
      </c>
      <c r="C1034" s="1">
        <f>IFERROR(__xludf.DUMMYFUNCTION("""COMPUTED_VALUE"""),2026.0)</f>
        <v>2026</v>
      </c>
      <c r="D1034" s="1">
        <f>IFERROR(__xludf.DUMMYFUNCTION("""COMPUTED_VALUE"""),46177.0)</f>
        <v>46177</v>
      </c>
      <c r="E1034" s="1" t="str">
        <f>IFERROR(__xludf.DUMMYFUNCTION("""COMPUTED_VALUE"""),"VF")</f>
        <v>VF</v>
      </c>
      <c r="F1034" s="1">
        <f>IFERROR(__xludf.DUMMYFUNCTION("""COMPUTED_VALUE"""),1.0)</f>
        <v>1</v>
      </c>
      <c r="G1034" s="1" t="str">
        <f>IFERROR(__xludf.DUMMYFUNCTION("""COMPUTED_VALUE"""),"PR041")</f>
        <v>PR041</v>
      </c>
      <c r="H1034" s="1" t="str">
        <f>IFERROR(__xludf.DUMMYFUNCTION("""COMPUTED_VALUE"""),"VD019")</f>
        <v>VD019</v>
      </c>
      <c r="I1034" s="1">
        <f>IFERROR(__xludf.DUMMYFUNCTION("""COMPUTED_VALUE"""),3.0)</f>
        <v>3</v>
      </c>
      <c r="J1034" s="1">
        <f>IFERROR(__xludf.DUMMYFUNCTION("""COMPUTED_VALUE"""),171.29)</f>
        <v>171.29</v>
      </c>
      <c r="K1034" s="1">
        <f>IFERROR(__xludf.DUMMYFUNCTION("""COMPUTED_VALUE"""),171.29)</f>
        <v>171.29</v>
      </c>
    </row>
    <row r="1035">
      <c r="A1035" s="1">
        <f>IFERROR(__xludf.DUMMYFUNCTION("""COMPUTED_VALUE"""),1000.0)</f>
        <v>1000</v>
      </c>
      <c r="B1035" s="1">
        <f>IFERROR(__xludf.DUMMYFUNCTION("""COMPUTED_VALUE"""),184204.0)</f>
        <v>184204</v>
      </c>
      <c r="C1035" s="1">
        <f>IFERROR(__xludf.DUMMYFUNCTION("""COMPUTED_VALUE"""),2026.0)</f>
        <v>2026</v>
      </c>
      <c r="D1035" s="1">
        <f>IFERROR(__xludf.DUMMYFUNCTION("""COMPUTED_VALUE"""),46177.0)</f>
        <v>46177</v>
      </c>
      <c r="E1035" s="1" t="str">
        <f>IFERROR(__xludf.DUMMYFUNCTION("""COMPUTED_VALUE"""),"VF")</f>
        <v>VF</v>
      </c>
      <c r="F1035" s="1">
        <f>IFERROR(__xludf.DUMMYFUNCTION("""COMPUTED_VALUE"""),1.0)</f>
        <v>1</v>
      </c>
      <c r="G1035" s="1" t="str">
        <f>IFERROR(__xludf.DUMMYFUNCTION("""COMPUTED_VALUE"""),"PR026")</f>
        <v>PR026</v>
      </c>
      <c r="H1035" s="1" t="str">
        <f>IFERROR(__xludf.DUMMYFUNCTION("""COMPUTED_VALUE"""),"VD027")</f>
        <v>VD027</v>
      </c>
      <c r="I1035" s="1">
        <f>IFERROR(__xludf.DUMMYFUNCTION("""COMPUTED_VALUE"""),12.0)</f>
        <v>12</v>
      </c>
      <c r="J1035" s="1">
        <f>IFERROR(__xludf.DUMMYFUNCTION("""COMPUTED_VALUE"""),4618.68)</f>
        <v>4618.68</v>
      </c>
      <c r="K1035" s="1">
        <f>IFERROR(__xludf.DUMMYFUNCTION("""COMPUTED_VALUE"""),4618.68)</f>
        <v>4618.68</v>
      </c>
    </row>
    <row r="1036">
      <c r="A1036" s="1">
        <f>IFERROR(__xludf.DUMMYFUNCTION("""COMPUTED_VALUE"""),1000.0)</f>
        <v>1000</v>
      </c>
      <c r="B1036" s="1">
        <f>IFERROR(__xludf.DUMMYFUNCTION("""COMPUTED_VALUE"""),184205.0)</f>
        <v>184205</v>
      </c>
      <c r="C1036" s="1">
        <f>IFERROR(__xludf.DUMMYFUNCTION("""COMPUTED_VALUE"""),2026.0)</f>
        <v>2026</v>
      </c>
      <c r="D1036" s="1">
        <f>IFERROR(__xludf.DUMMYFUNCTION("""COMPUTED_VALUE"""),46177.0)</f>
        <v>46177</v>
      </c>
      <c r="E1036" s="1" t="str">
        <f>IFERROR(__xludf.DUMMYFUNCTION("""COMPUTED_VALUE"""),"VF")</f>
        <v>VF</v>
      </c>
      <c r="F1036" s="1">
        <f>IFERROR(__xludf.DUMMYFUNCTION("""COMPUTED_VALUE"""),1.0)</f>
        <v>1</v>
      </c>
      <c r="G1036" s="1" t="str">
        <f>IFERROR(__xludf.DUMMYFUNCTION("""COMPUTED_VALUE"""),"PR026")</f>
        <v>PR026</v>
      </c>
      <c r="H1036" s="1" t="str">
        <f>IFERROR(__xludf.DUMMYFUNCTION("""COMPUTED_VALUE"""),"VD030")</f>
        <v>VD030</v>
      </c>
      <c r="I1036" s="1">
        <f>IFERROR(__xludf.DUMMYFUNCTION("""COMPUTED_VALUE"""),2.0)</f>
        <v>2</v>
      </c>
      <c r="J1036" s="1">
        <f>IFERROR(__xludf.DUMMYFUNCTION("""COMPUTED_VALUE"""),713.8)</f>
        <v>713.8</v>
      </c>
      <c r="K1036" s="1">
        <f>IFERROR(__xludf.DUMMYFUNCTION("""COMPUTED_VALUE"""),713.8)</f>
        <v>713.8</v>
      </c>
    </row>
    <row r="1037">
      <c r="A1037" s="1">
        <f>IFERROR(__xludf.DUMMYFUNCTION("""COMPUTED_VALUE"""),1000.0)</f>
        <v>1000</v>
      </c>
      <c r="B1037" s="1">
        <f>IFERROR(__xludf.DUMMYFUNCTION("""COMPUTED_VALUE"""),184206.0)</f>
        <v>184206</v>
      </c>
      <c r="C1037" s="1">
        <f>IFERROR(__xludf.DUMMYFUNCTION("""COMPUTED_VALUE"""),2026.0)</f>
        <v>2026</v>
      </c>
      <c r="D1037" s="1">
        <f>IFERROR(__xludf.DUMMYFUNCTION("""COMPUTED_VALUE"""),46176.0)</f>
        <v>46176</v>
      </c>
      <c r="E1037" s="1" t="str">
        <f>IFERROR(__xludf.DUMMYFUNCTION("""COMPUTED_VALUE"""),"VF")</f>
        <v>VF</v>
      </c>
      <c r="F1037" s="1">
        <f>IFERROR(__xludf.DUMMYFUNCTION("""COMPUTED_VALUE"""),1.0)</f>
        <v>1</v>
      </c>
      <c r="G1037" s="1" t="str">
        <f>IFERROR(__xludf.DUMMYFUNCTION("""COMPUTED_VALUE"""),"PR012")</f>
        <v>PR012</v>
      </c>
      <c r="H1037" s="1" t="str">
        <f>IFERROR(__xludf.DUMMYFUNCTION("""COMPUTED_VALUE"""),"VD027")</f>
        <v>VD027</v>
      </c>
      <c r="I1037" s="1">
        <f>IFERROR(__xludf.DUMMYFUNCTION("""COMPUTED_VALUE"""),18.0)</f>
        <v>18</v>
      </c>
      <c r="J1037" s="1">
        <f>IFERROR(__xludf.DUMMYFUNCTION("""COMPUTED_VALUE"""),933.01)</f>
        <v>933.01</v>
      </c>
      <c r="K1037" s="1">
        <f>IFERROR(__xludf.DUMMYFUNCTION("""COMPUTED_VALUE"""),933.01)</f>
        <v>933.01</v>
      </c>
    </row>
    <row r="1038">
      <c r="A1038" s="1">
        <f>IFERROR(__xludf.DUMMYFUNCTION("""COMPUTED_VALUE"""),1000.0)</f>
        <v>1000</v>
      </c>
      <c r="B1038" s="1">
        <f>IFERROR(__xludf.DUMMYFUNCTION("""COMPUTED_VALUE"""),184207.0)</f>
        <v>184207</v>
      </c>
      <c r="C1038" s="1">
        <f>IFERROR(__xludf.DUMMYFUNCTION("""COMPUTED_VALUE"""),2026.0)</f>
        <v>2026</v>
      </c>
      <c r="D1038" s="1">
        <f>IFERROR(__xludf.DUMMYFUNCTION("""COMPUTED_VALUE"""),46176.0)</f>
        <v>46176</v>
      </c>
      <c r="E1038" s="1" t="str">
        <f>IFERROR(__xludf.DUMMYFUNCTION("""COMPUTED_VALUE"""),"VF")</f>
        <v>VF</v>
      </c>
      <c r="F1038" s="1">
        <f>IFERROR(__xludf.DUMMYFUNCTION("""COMPUTED_VALUE"""),1.0)</f>
        <v>1</v>
      </c>
      <c r="G1038" s="1" t="str">
        <f>IFERROR(__xludf.DUMMYFUNCTION("""COMPUTED_VALUE"""),"PR010")</f>
        <v>PR010</v>
      </c>
      <c r="H1038" s="1" t="str">
        <f>IFERROR(__xludf.DUMMYFUNCTION("""COMPUTED_VALUE"""),"VD025")</f>
        <v>VD025</v>
      </c>
      <c r="I1038" s="1">
        <f>IFERROR(__xludf.DUMMYFUNCTION("""COMPUTED_VALUE"""),14.0)</f>
        <v>14</v>
      </c>
      <c r="J1038" s="1">
        <f>IFERROR(__xludf.DUMMYFUNCTION("""COMPUTED_VALUE"""),672.6)</f>
        <v>672.6</v>
      </c>
      <c r="K1038" s="1">
        <f>IFERROR(__xludf.DUMMYFUNCTION("""COMPUTED_VALUE"""),672.6)</f>
        <v>672.6</v>
      </c>
    </row>
    <row r="1039">
      <c r="A1039" s="1">
        <f>IFERROR(__xludf.DUMMYFUNCTION("""COMPUTED_VALUE"""),1000.0)</f>
        <v>1000</v>
      </c>
      <c r="B1039" s="1">
        <f>IFERROR(__xludf.DUMMYFUNCTION("""COMPUTED_VALUE"""),184208.0)</f>
        <v>184208</v>
      </c>
      <c r="C1039" s="1">
        <f>IFERROR(__xludf.DUMMYFUNCTION("""COMPUTED_VALUE"""),2026.0)</f>
        <v>2026</v>
      </c>
      <c r="D1039" s="1">
        <f>IFERROR(__xludf.DUMMYFUNCTION("""COMPUTED_VALUE"""),46176.0)</f>
        <v>46176</v>
      </c>
      <c r="E1039" s="1" t="str">
        <f>IFERROR(__xludf.DUMMYFUNCTION("""COMPUTED_VALUE"""),"VF")</f>
        <v>VF</v>
      </c>
      <c r="F1039" s="1">
        <f>IFERROR(__xludf.DUMMYFUNCTION("""COMPUTED_VALUE"""),1.0)</f>
        <v>1</v>
      </c>
      <c r="G1039" s="1" t="str">
        <f>IFERROR(__xludf.DUMMYFUNCTION("""COMPUTED_VALUE"""),"PR060")</f>
        <v>PR060</v>
      </c>
      <c r="H1039" s="1" t="str">
        <f>IFERROR(__xludf.DUMMYFUNCTION("""COMPUTED_VALUE"""),"VD033")</f>
        <v>VD033</v>
      </c>
      <c r="I1039" s="1">
        <f>IFERROR(__xludf.DUMMYFUNCTION("""COMPUTED_VALUE"""),10.0)</f>
        <v>10</v>
      </c>
      <c r="J1039" s="1">
        <f>IFERROR(__xludf.DUMMYFUNCTION("""COMPUTED_VALUE"""),1962.0)</f>
        <v>1962</v>
      </c>
      <c r="K1039" s="1">
        <f>IFERROR(__xludf.DUMMYFUNCTION("""COMPUTED_VALUE"""),1962.0)</f>
        <v>1962</v>
      </c>
    </row>
    <row r="1040">
      <c r="A1040" s="1">
        <f>IFERROR(__xludf.DUMMYFUNCTION("""COMPUTED_VALUE"""),1000.0)</f>
        <v>1000</v>
      </c>
      <c r="B1040" s="1">
        <f>IFERROR(__xludf.DUMMYFUNCTION("""COMPUTED_VALUE"""),184209.0)</f>
        <v>184209</v>
      </c>
      <c r="C1040" s="1">
        <f>IFERROR(__xludf.DUMMYFUNCTION("""COMPUTED_VALUE"""),2026.0)</f>
        <v>2026</v>
      </c>
      <c r="D1040" s="1">
        <f>IFERROR(__xludf.DUMMYFUNCTION("""COMPUTED_VALUE"""),46176.0)</f>
        <v>46176</v>
      </c>
      <c r="E1040" s="1" t="str">
        <f>IFERROR(__xludf.DUMMYFUNCTION("""COMPUTED_VALUE"""),"VF")</f>
        <v>VF</v>
      </c>
      <c r="F1040" s="1">
        <f>IFERROR(__xludf.DUMMYFUNCTION("""COMPUTED_VALUE"""),1.0)</f>
        <v>1</v>
      </c>
      <c r="G1040" s="1" t="str">
        <f>IFERROR(__xludf.DUMMYFUNCTION("""COMPUTED_VALUE"""),"PR016")</f>
        <v>PR016</v>
      </c>
      <c r="H1040" s="1" t="str">
        <f>IFERROR(__xludf.DUMMYFUNCTION("""COMPUTED_VALUE"""),"VD011")</f>
        <v>VD011</v>
      </c>
      <c r="I1040" s="1">
        <f>IFERROR(__xludf.DUMMYFUNCTION("""COMPUTED_VALUE"""),2.0)</f>
        <v>2</v>
      </c>
      <c r="J1040" s="1">
        <f>IFERROR(__xludf.DUMMYFUNCTION("""COMPUTED_VALUE"""),51.8)</f>
        <v>51.8</v>
      </c>
      <c r="K1040" s="1">
        <f>IFERROR(__xludf.DUMMYFUNCTION("""COMPUTED_VALUE"""),51.8)</f>
        <v>51.8</v>
      </c>
    </row>
    <row r="1041">
      <c r="A1041" s="1">
        <f>IFERROR(__xludf.DUMMYFUNCTION("""COMPUTED_VALUE"""),1000.0)</f>
        <v>1000</v>
      </c>
      <c r="B1041" s="1">
        <f>IFERROR(__xludf.DUMMYFUNCTION("""COMPUTED_VALUE"""),184210.0)</f>
        <v>184210</v>
      </c>
      <c r="C1041" s="1">
        <f>IFERROR(__xludf.DUMMYFUNCTION("""COMPUTED_VALUE"""),2026.0)</f>
        <v>2026</v>
      </c>
      <c r="D1041" s="1">
        <f>IFERROR(__xludf.DUMMYFUNCTION("""COMPUTED_VALUE"""),46176.0)</f>
        <v>46176</v>
      </c>
      <c r="E1041" s="1" t="str">
        <f>IFERROR(__xludf.DUMMYFUNCTION("""COMPUTED_VALUE"""),"VF")</f>
        <v>VF</v>
      </c>
      <c r="F1041" s="1">
        <f>IFERROR(__xludf.DUMMYFUNCTION("""COMPUTED_VALUE"""),1.0)</f>
        <v>1</v>
      </c>
      <c r="G1041" s="1" t="str">
        <f>IFERROR(__xludf.DUMMYFUNCTION("""COMPUTED_VALUE"""),"PR044")</f>
        <v>PR044</v>
      </c>
      <c r="H1041" s="1" t="str">
        <f>IFERROR(__xludf.DUMMYFUNCTION("""COMPUTED_VALUE"""),"VD044")</f>
        <v>VD044</v>
      </c>
      <c r="I1041" s="1">
        <f>IFERROR(__xludf.DUMMYFUNCTION("""COMPUTED_VALUE"""),8.0)</f>
        <v>8</v>
      </c>
      <c r="J1041" s="1">
        <f>IFERROR(__xludf.DUMMYFUNCTION("""COMPUTED_VALUE"""),580.0)</f>
        <v>580</v>
      </c>
      <c r="K1041" s="1">
        <f>IFERROR(__xludf.DUMMYFUNCTION("""COMPUTED_VALUE"""),580.0)</f>
        <v>580</v>
      </c>
    </row>
    <row r="1042">
      <c r="A1042" s="1">
        <f>IFERROR(__xludf.DUMMYFUNCTION("""COMPUTED_VALUE"""),1000.0)</f>
        <v>1000</v>
      </c>
      <c r="B1042" s="1">
        <f>IFERROR(__xludf.DUMMYFUNCTION("""COMPUTED_VALUE"""),184211.0)</f>
        <v>184211</v>
      </c>
      <c r="C1042" s="1">
        <f>IFERROR(__xludf.DUMMYFUNCTION("""COMPUTED_VALUE"""),2026.0)</f>
        <v>2026</v>
      </c>
      <c r="D1042" s="1">
        <f>IFERROR(__xludf.DUMMYFUNCTION("""COMPUTED_VALUE"""),46175.0)</f>
        <v>46175</v>
      </c>
      <c r="E1042" s="1" t="str">
        <f>IFERROR(__xludf.DUMMYFUNCTION("""COMPUTED_VALUE"""),"VF")</f>
        <v>VF</v>
      </c>
      <c r="F1042" s="1">
        <f>IFERROR(__xludf.DUMMYFUNCTION("""COMPUTED_VALUE"""),1.0)</f>
        <v>1</v>
      </c>
      <c r="G1042" s="1" t="str">
        <f>IFERROR(__xludf.DUMMYFUNCTION("""COMPUTED_VALUE"""),"PR001")</f>
        <v>PR001</v>
      </c>
      <c r="H1042" s="1" t="str">
        <f>IFERROR(__xludf.DUMMYFUNCTION("""COMPUTED_VALUE"""),"VD027")</f>
        <v>VD027</v>
      </c>
      <c r="I1042" s="1">
        <f>IFERROR(__xludf.DUMMYFUNCTION("""COMPUTED_VALUE"""),2.0)</f>
        <v>2</v>
      </c>
      <c r="J1042" s="1">
        <f>IFERROR(__xludf.DUMMYFUNCTION("""COMPUTED_VALUE"""),133.12)</f>
        <v>133.12</v>
      </c>
      <c r="K1042" s="1">
        <f>IFERROR(__xludf.DUMMYFUNCTION("""COMPUTED_VALUE"""),133.12)</f>
        <v>133.12</v>
      </c>
    </row>
    <row r="1043">
      <c r="A1043" s="1">
        <f>IFERROR(__xludf.DUMMYFUNCTION("""COMPUTED_VALUE"""),1000.0)</f>
        <v>1000</v>
      </c>
      <c r="B1043" s="1">
        <f>IFERROR(__xludf.DUMMYFUNCTION("""COMPUTED_VALUE"""),184212.0)</f>
        <v>184212</v>
      </c>
      <c r="C1043" s="1">
        <f>IFERROR(__xludf.DUMMYFUNCTION("""COMPUTED_VALUE"""),2026.0)</f>
        <v>2026</v>
      </c>
      <c r="D1043" s="1">
        <f>IFERROR(__xludf.DUMMYFUNCTION("""COMPUTED_VALUE"""),46175.0)</f>
        <v>46175</v>
      </c>
      <c r="E1043" s="1" t="str">
        <f>IFERROR(__xludf.DUMMYFUNCTION("""COMPUTED_VALUE"""),"VF")</f>
        <v>VF</v>
      </c>
      <c r="F1043" s="1">
        <f>IFERROR(__xludf.DUMMYFUNCTION("""COMPUTED_VALUE"""),1.0)</f>
        <v>1</v>
      </c>
      <c r="G1043" s="1" t="str">
        <f>IFERROR(__xludf.DUMMYFUNCTION("""COMPUTED_VALUE"""),"PR013")</f>
        <v>PR013</v>
      </c>
      <c r="H1043" s="1" t="str">
        <f>IFERROR(__xludf.DUMMYFUNCTION("""COMPUTED_VALUE"""),"VD044")</f>
        <v>VD044</v>
      </c>
      <c r="I1043" s="1">
        <f>IFERROR(__xludf.DUMMYFUNCTION("""COMPUTED_VALUE"""),5.0)</f>
        <v>5</v>
      </c>
      <c r="J1043" s="1">
        <f>IFERROR(__xludf.DUMMYFUNCTION("""COMPUTED_VALUE"""),215.46)</f>
        <v>215.46</v>
      </c>
      <c r="K1043" s="1">
        <f>IFERROR(__xludf.DUMMYFUNCTION("""COMPUTED_VALUE"""),215.46)</f>
        <v>215.46</v>
      </c>
    </row>
    <row r="1044">
      <c r="A1044" s="1">
        <f>IFERROR(__xludf.DUMMYFUNCTION("""COMPUTED_VALUE"""),1000.0)</f>
        <v>1000</v>
      </c>
      <c r="B1044" s="1">
        <f>IFERROR(__xludf.DUMMYFUNCTION("""COMPUTED_VALUE"""),184213.0)</f>
        <v>184213</v>
      </c>
      <c r="C1044" s="1">
        <f>IFERROR(__xludf.DUMMYFUNCTION("""COMPUTED_VALUE"""),2026.0)</f>
        <v>2026</v>
      </c>
      <c r="D1044" s="1">
        <f>IFERROR(__xludf.DUMMYFUNCTION("""COMPUTED_VALUE"""),46175.0)</f>
        <v>46175</v>
      </c>
      <c r="E1044" s="1" t="str">
        <f>IFERROR(__xludf.DUMMYFUNCTION("""COMPUTED_VALUE"""),"VF")</f>
        <v>VF</v>
      </c>
      <c r="F1044" s="1">
        <f>IFERROR(__xludf.DUMMYFUNCTION("""COMPUTED_VALUE"""),1.0)</f>
        <v>1</v>
      </c>
      <c r="G1044" s="1" t="str">
        <f>IFERROR(__xludf.DUMMYFUNCTION("""COMPUTED_VALUE"""),"PR017")</f>
        <v>PR017</v>
      </c>
      <c r="H1044" s="1" t="str">
        <f>IFERROR(__xludf.DUMMYFUNCTION("""COMPUTED_VALUE"""),"VD020")</f>
        <v>VD020</v>
      </c>
      <c r="I1044" s="1">
        <f>IFERROR(__xludf.DUMMYFUNCTION("""COMPUTED_VALUE"""),2.0)</f>
        <v>2</v>
      </c>
      <c r="J1044" s="1">
        <f>IFERROR(__xludf.DUMMYFUNCTION("""COMPUTED_VALUE"""),61.59)</f>
        <v>61.59</v>
      </c>
      <c r="K1044" s="1">
        <f>IFERROR(__xludf.DUMMYFUNCTION("""COMPUTED_VALUE"""),61.59)</f>
        <v>61.59</v>
      </c>
    </row>
    <row r="1045">
      <c r="A1045" s="1">
        <f>IFERROR(__xludf.DUMMYFUNCTION("""COMPUTED_VALUE"""),1000.0)</f>
        <v>1000</v>
      </c>
      <c r="B1045" s="1">
        <f>IFERROR(__xludf.DUMMYFUNCTION("""COMPUTED_VALUE"""),184214.0)</f>
        <v>184214</v>
      </c>
      <c r="C1045" s="1">
        <f>IFERROR(__xludf.DUMMYFUNCTION("""COMPUTED_VALUE"""),2026.0)</f>
        <v>2026</v>
      </c>
      <c r="D1045" s="1">
        <f>IFERROR(__xludf.DUMMYFUNCTION("""COMPUTED_VALUE"""),46175.0)</f>
        <v>46175</v>
      </c>
      <c r="E1045" s="1" t="str">
        <f>IFERROR(__xludf.DUMMYFUNCTION("""COMPUTED_VALUE"""),"VF")</f>
        <v>VF</v>
      </c>
      <c r="F1045" s="1">
        <f>IFERROR(__xludf.DUMMYFUNCTION("""COMPUTED_VALUE"""),1.0)</f>
        <v>1</v>
      </c>
      <c r="G1045" s="1" t="str">
        <f>IFERROR(__xludf.DUMMYFUNCTION("""COMPUTED_VALUE"""),"PR036")</f>
        <v>PR036</v>
      </c>
      <c r="H1045" s="1" t="str">
        <f>IFERROR(__xludf.DUMMYFUNCTION("""COMPUTED_VALUE"""),"VD010")</f>
        <v>VD010</v>
      </c>
      <c r="I1045" s="1">
        <f>IFERROR(__xludf.DUMMYFUNCTION("""COMPUTED_VALUE"""),10.0)</f>
        <v>10</v>
      </c>
      <c r="J1045" s="1">
        <f>IFERROR(__xludf.DUMMYFUNCTION("""COMPUTED_VALUE"""),935.0)</f>
        <v>935</v>
      </c>
      <c r="K1045" s="1">
        <f>IFERROR(__xludf.DUMMYFUNCTION("""COMPUTED_VALUE"""),935.0)</f>
        <v>935</v>
      </c>
    </row>
    <row r="1046">
      <c r="A1046" s="1">
        <f>IFERROR(__xludf.DUMMYFUNCTION("""COMPUTED_VALUE"""),1000.0)</f>
        <v>1000</v>
      </c>
      <c r="B1046" s="1">
        <f>IFERROR(__xludf.DUMMYFUNCTION("""COMPUTED_VALUE"""),184215.0)</f>
        <v>184215</v>
      </c>
      <c r="C1046" s="1">
        <f>IFERROR(__xludf.DUMMYFUNCTION("""COMPUTED_VALUE"""),2026.0)</f>
        <v>2026</v>
      </c>
      <c r="D1046" s="1">
        <f>IFERROR(__xludf.DUMMYFUNCTION("""COMPUTED_VALUE"""),46175.0)</f>
        <v>46175</v>
      </c>
      <c r="E1046" s="1" t="str">
        <f>IFERROR(__xludf.DUMMYFUNCTION("""COMPUTED_VALUE"""),"VF")</f>
        <v>VF</v>
      </c>
      <c r="F1046" s="1">
        <f>IFERROR(__xludf.DUMMYFUNCTION("""COMPUTED_VALUE"""),1.0)</f>
        <v>1</v>
      </c>
      <c r="G1046" s="1" t="str">
        <f>IFERROR(__xludf.DUMMYFUNCTION("""COMPUTED_VALUE"""),"PR009")</f>
        <v>PR009</v>
      </c>
      <c r="H1046" s="1" t="str">
        <f>IFERROR(__xludf.DUMMYFUNCTION("""COMPUTED_VALUE"""),"VD048")</f>
        <v>VD048</v>
      </c>
      <c r="I1046" s="1">
        <f>IFERROR(__xludf.DUMMYFUNCTION("""COMPUTED_VALUE"""),16.0)</f>
        <v>16</v>
      </c>
      <c r="J1046" s="1">
        <f>IFERROR(__xludf.DUMMYFUNCTION("""COMPUTED_VALUE"""),1560.72)</f>
        <v>1560.72</v>
      </c>
      <c r="K1046" s="1">
        <f>IFERROR(__xludf.DUMMYFUNCTION("""COMPUTED_VALUE"""),1560.72)</f>
        <v>1560.72</v>
      </c>
    </row>
    <row r="1047">
      <c r="A1047" s="1">
        <f>IFERROR(__xludf.DUMMYFUNCTION("""COMPUTED_VALUE"""),1000.0)</f>
        <v>1000</v>
      </c>
      <c r="B1047" s="1">
        <f>IFERROR(__xludf.DUMMYFUNCTION("""COMPUTED_VALUE"""),184215.0)</f>
        <v>184215</v>
      </c>
      <c r="C1047" s="1">
        <f>IFERROR(__xludf.DUMMYFUNCTION("""COMPUTED_VALUE"""),2026.0)</f>
        <v>2026</v>
      </c>
      <c r="D1047" s="1">
        <f>IFERROR(__xludf.DUMMYFUNCTION("""COMPUTED_VALUE"""),46175.0)</f>
        <v>46175</v>
      </c>
      <c r="E1047" s="1" t="str">
        <f>IFERROR(__xludf.DUMMYFUNCTION("""COMPUTED_VALUE"""),"VF")</f>
        <v>VF</v>
      </c>
      <c r="F1047" s="1">
        <f>IFERROR(__xludf.DUMMYFUNCTION("""COMPUTED_VALUE"""),2.0)</f>
        <v>2</v>
      </c>
      <c r="G1047" s="1" t="str">
        <f>IFERROR(__xludf.DUMMYFUNCTION("""COMPUTED_VALUE"""),"PR009")</f>
        <v>PR009</v>
      </c>
      <c r="H1047" s="1" t="str">
        <f>IFERROR(__xludf.DUMMYFUNCTION("""COMPUTED_VALUE"""),"VD043")</f>
        <v>VD043</v>
      </c>
      <c r="I1047" s="1">
        <f>IFERROR(__xludf.DUMMYFUNCTION("""COMPUTED_VALUE"""),2.0)</f>
        <v>2</v>
      </c>
      <c r="J1047" s="1">
        <f>IFERROR(__xludf.DUMMYFUNCTION("""COMPUTED_VALUE"""),198.81)</f>
        <v>198.81</v>
      </c>
      <c r="K1047" s="1">
        <f>IFERROR(__xludf.DUMMYFUNCTION("""COMPUTED_VALUE"""),198.81)</f>
        <v>198.81</v>
      </c>
    </row>
    <row r="1048">
      <c r="A1048" s="1">
        <f>IFERROR(__xludf.DUMMYFUNCTION("""COMPUTED_VALUE"""),1000.0)</f>
        <v>1000</v>
      </c>
      <c r="B1048" s="1">
        <f>IFERROR(__xludf.DUMMYFUNCTION("""COMPUTED_VALUE"""),184216.0)</f>
        <v>184216</v>
      </c>
      <c r="C1048" s="1">
        <f>IFERROR(__xludf.DUMMYFUNCTION("""COMPUTED_VALUE"""),2026.0)</f>
        <v>2026</v>
      </c>
      <c r="D1048" s="1">
        <f>IFERROR(__xludf.DUMMYFUNCTION("""COMPUTED_VALUE"""),46174.0)</f>
        <v>46174</v>
      </c>
      <c r="E1048" s="1" t="str">
        <f>IFERROR(__xludf.DUMMYFUNCTION("""COMPUTED_VALUE"""),"VF")</f>
        <v>VF</v>
      </c>
      <c r="F1048" s="1">
        <f>IFERROR(__xludf.DUMMYFUNCTION("""COMPUTED_VALUE"""),1.0)</f>
        <v>1</v>
      </c>
      <c r="G1048" s="1" t="str">
        <f>IFERROR(__xludf.DUMMYFUNCTION("""COMPUTED_VALUE"""),"PR001")</f>
        <v>PR001</v>
      </c>
      <c r="H1048" s="1" t="str">
        <f>IFERROR(__xludf.DUMMYFUNCTION("""COMPUTED_VALUE"""),"VD044")</f>
        <v>VD044</v>
      </c>
      <c r="I1048" s="1">
        <f>IFERROR(__xludf.DUMMYFUNCTION("""COMPUTED_VALUE"""),1.0)</f>
        <v>1</v>
      </c>
      <c r="J1048" s="1">
        <f>IFERROR(__xludf.DUMMYFUNCTION("""COMPUTED_VALUE"""),66.56)</f>
        <v>66.56</v>
      </c>
      <c r="K1048" s="1">
        <f>IFERROR(__xludf.DUMMYFUNCTION("""COMPUTED_VALUE"""),66.56)</f>
        <v>66.56</v>
      </c>
    </row>
    <row r="1049">
      <c r="A1049" s="1">
        <f>IFERROR(__xludf.DUMMYFUNCTION("""COMPUTED_VALUE"""),1000.0)</f>
        <v>1000</v>
      </c>
      <c r="B1049" s="1">
        <f>IFERROR(__xludf.DUMMYFUNCTION("""COMPUTED_VALUE"""),184217.0)</f>
        <v>184217</v>
      </c>
      <c r="C1049" s="1">
        <f>IFERROR(__xludf.DUMMYFUNCTION("""COMPUTED_VALUE"""),2026.0)</f>
        <v>2026</v>
      </c>
      <c r="D1049" s="1">
        <f>IFERROR(__xludf.DUMMYFUNCTION("""COMPUTED_VALUE"""),46174.0)</f>
        <v>46174</v>
      </c>
      <c r="E1049" s="1" t="str">
        <f>IFERROR(__xludf.DUMMYFUNCTION("""COMPUTED_VALUE"""),"VF")</f>
        <v>VF</v>
      </c>
      <c r="F1049" s="1">
        <f>IFERROR(__xludf.DUMMYFUNCTION("""COMPUTED_VALUE"""),1.0)</f>
        <v>1</v>
      </c>
      <c r="G1049" s="1" t="str">
        <f>IFERROR(__xludf.DUMMYFUNCTION("""COMPUTED_VALUE"""),"PR056")</f>
        <v>PR056</v>
      </c>
      <c r="H1049" s="1" t="str">
        <f>IFERROR(__xludf.DUMMYFUNCTION("""COMPUTED_VALUE"""),"VD020")</f>
        <v>VD020</v>
      </c>
      <c r="I1049" s="1">
        <f>IFERROR(__xludf.DUMMYFUNCTION("""COMPUTED_VALUE"""),10.0)</f>
        <v>10</v>
      </c>
      <c r="J1049" s="1">
        <f>IFERROR(__xludf.DUMMYFUNCTION("""COMPUTED_VALUE"""),916.98)</f>
        <v>916.98</v>
      </c>
      <c r="K1049" s="1">
        <f>IFERROR(__xludf.DUMMYFUNCTION("""COMPUTED_VALUE"""),916.98)</f>
        <v>916.98</v>
      </c>
    </row>
    <row r="1050">
      <c r="A1050" s="1">
        <f>IFERROR(__xludf.DUMMYFUNCTION("""COMPUTED_VALUE"""),1000.0)</f>
        <v>1000</v>
      </c>
      <c r="B1050" s="1">
        <f>IFERROR(__xludf.DUMMYFUNCTION("""COMPUTED_VALUE"""),184217.0)</f>
        <v>184217</v>
      </c>
      <c r="C1050" s="1">
        <f>IFERROR(__xludf.DUMMYFUNCTION("""COMPUTED_VALUE"""),2026.0)</f>
        <v>2026</v>
      </c>
      <c r="D1050" s="1">
        <f>IFERROR(__xludf.DUMMYFUNCTION("""COMPUTED_VALUE"""),46174.0)</f>
        <v>46174</v>
      </c>
      <c r="E1050" s="1" t="str">
        <f>IFERROR(__xludf.DUMMYFUNCTION("""COMPUTED_VALUE"""),"VF")</f>
        <v>VF</v>
      </c>
      <c r="F1050" s="1">
        <f>IFERROR(__xludf.DUMMYFUNCTION("""COMPUTED_VALUE"""),2.0)</f>
        <v>2</v>
      </c>
      <c r="G1050" s="1" t="str">
        <f>IFERROR(__xludf.DUMMYFUNCTION("""COMPUTED_VALUE"""),"PR008")</f>
        <v>PR008</v>
      </c>
      <c r="H1050" s="1" t="str">
        <f>IFERROR(__xludf.DUMMYFUNCTION("""COMPUTED_VALUE"""),"VD023")</f>
        <v>VD023</v>
      </c>
      <c r="I1050" s="1">
        <f>IFERROR(__xludf.DUMMYFUNCTION("""COMPUTED_VALUE"""),2.0)</f>
        <v>2</v>
      </c>
      <c r="J1050" s="1">
        <f>IFERROR(__xludf.DUMMYFUNCTION("""COMPUTED_VALUE"""),194.18)</f>
        <v>194.18</v>
      </c>
      <c r="K1050" s="1">
        <f>IFERROR(__xludf.DUMMYFUNCTION("""COMPUTED_VALUE"""),194.18)</f>
        <v>194.18</v>
      </c>
    </row>
    <row r="1051">
      <c r="A1051" s="1">
        <f>IFERROR(__xludf.DUMMYFUNCTION("""COMPUTED_VALUE"""),1000.0)</f>
        <v>1000</v>
      </c>
      <c r="B1051" s="1">
        <f>IFERROR(__xludf.DUMMYFUNCTION("""COMPUTED_VALUE"""),184218.0)</f>
        <v>184218</v>
      </c>
      <c r="C1051" s="1">
        <f>IFERROR(__xludf.DUMMYFUNCTION("""COMPUTED_VALUE"""),2026.0)</f>
        <v>2026</v>
      </c>
      <c r="D1051" s="1">
        <f>IFERROR(__xludf.DUMMYFUNCTION("""COMPUTED_VALUE"""),46174.0)</f>
        <v>46174</v>
      </c>
      <c r="E1051" s="1" t="str">
        <f>IFERROR(__xludf.DUMMYFUNCTION("""COMPUTED_VALUE"""),"VF")</f>
        <v>VF</v>
      </c>
      <c r="F1051" s="1">
        <f>IFERROR(__xludf.DUMMYFUNCTION("""COMPUTED_VALUE"""),1.0)</f>
        <v>1</v>
      </c>
      <c r="G1051" s="1" t="str">
        <f>IFERROR(__xludf.DUMMYFUNCTION("""COMPUTED_VALUE"""),"PR051")</f>
        <v>PR051</v>
      </c>
      <c r="H1051" s="1" t="str">
        <f>IFERROR(__xludf.DUMMYFUNCTION("""COMPUTED_VALUE"""),"VD011")</f>
        <v>VD011</v>
      </c>
      <c r="I1051" s="1">
        <f>IFERROR(__xludf.DUMMYFUNCTION("""COMPUTED_VALUE"""),10.0)</f>
        <v>10</v>
      </c>
      <c r="J1051" s="1">
        <f>IFERROR(__xludf.DUMMYFUNCTION("""COMPUTED_VALUE"""),338.87)</f>
        <v>338.87</v>
      </c>
      <c r="K1051" s="1">
        <f>IFERROR(__xludf.DUMMYFUNCTION("""COMPUTED_VALUE"""),338.87)</f>
        <v>338.87</v>
      </c>
    </row>
    <row r="1052">
      <c r="A1052" s="1">
        <f>IFERROR(__xludf.DUMMYFUNCTION("""COMPUTED_VALUE"""),1000.0)</f>
        <v>1000</v>
      </c>
      <c r="B1052" s="1">
        <f>IFERROR(__xludf.DUMMYFUNCTION("""COMPUTED_VALUE"""),184219.0)</f>
        <v>184219</v>
      </c>
      <c r="C1052" s="1">
        <f>IFERROR(__xludf.DUMMYFUNCTION("""COMPUTED_VALUE"""),2026.0)</f>
        <v>2026</v>
      </c>
      <c r="D1052" s="1">
        <f>IFERROR(__xludf.DUMMYFUNCTION("""COMPUTED_VALUE"""),46174.0)</f>
        <v>46174</v>
      </c>
      <c r="E1052" s="1" t="str">
        <f>IFERROR(__xludf.DUMMYFUNCTION("""COMPUTED_VALUE"""),"VF")</f>
        <v>VF</v>
      </c>
      <c r="F1052" s="1">
        <f>IFERROR(__xludf.DUMMYFUNCTION("""COMPUTED_VALUE"""),1.0)</f>
        <v>1</v>
      </c>
      <c r="G1052" s="1" t="str">
        <f>IFERROR(__xludf.DUMMYFUNCTION("""COMPUTED_VALUE"""),"PR037")</f>
        <v>PR037</v>
      </c>
      <c r="H1052" s="1" t="str">
        <f>IFERROR(__xludf.DUMMYFUNCTION("""COMPUTED_VALUE"""),"VD019")</f>
        <v>VD019</v>
      </c>
      <c r="I1052" s="1">
        <f>IFERROR(__xludf.DUMMYFUNCTION("""COMPUTED_VALUE"""),4.0)</f>
        <v>4</v>
      </c>
      <c r="J1052" s="1">
        <f>IFERROR(__xludf.DUMMYFUNCTION("""COMPUTED_VALUE"""),616.0)</f>
        <v>616</v>
      </c>
      <c r="K1052" s="1">
        <f>IFERROR(__xludf.DUMMYFUNCTION("""COMPUTED_VALUE"""),616.0)</f>
        <v>616</v>
      </c>
    </row>
    <row r="1053">
      <c r="A1053" s="1">
        <f>IFERROR(__xludf.DUMMYFUNCTION("""COMPUTED_VALUE"""),1000.0)</f>
        <v>1000</v>
      </c>
      <c r="B1053" s="1">
        <f>IFERROR(__xludf.DUMMYFUNCTION("""COMPUTED_VALUE"""),184220.0)</f>
        <v>184220</v>
      </c>
      <c r="C1053" s="1">
        <f>IFERROR(__xludf.DUMMYFUNCTION("""COMPUTED_VALUE"""),2026.0)</f>
        <v>2026</v>
      </c>
      <c r="D1053" s="1">
        <f>IFERROR(__xludf.DUMMYFUNCTION("""COMPUTED_VALUE"""),46173.0)</f>
        <v>46173</v>
      </c>
      <c r="E1053" s="1" t="str">
        <f>IFERROR(__xludf.DUMMYFUNCTION("""COMPUTED_VALUE"""),"VF")</f>
        <v>VF</v>
      </c>
      <c r="F1053" s="1">
        <f>IFERROR(__xludf.DUMMYFUNCTION("""COMPUTED_VALUE"""),1.0)</f>
        <v>1</v>
      </c>
      <c r="G1053" s="1" t="str">
        <f>IFERROR(__xludf.DUMMYFUNCTION("""COMPUTED_VALUE"""),"PR055")</f>
        <v>PR055</v>
      </c>
      <c r="H1053" s="1" t="str">
        <f>IFERROR(__xludf.DUMMYFUNCTION("""COMPUTED_VALUE"""),"VD038")</f>
        <v>VD038</v>
      </c>
      <c r="I1053" s="1">
        <f>IFERROR(__xludf.DUMMYFUNCTION("""COMPUTED_VALUE"""),20.0)</f>
        <v>20</v>
      </c>
      <c r="J1053" s="1">
        <f>IFERROR(__xludf.DUMMYFUNCTION("""COMPUTED_VALUE"""),1923.86)</f>
        <v>1923.86</v>
      </c>
      <c r="K1053" s="1">
        <f>IFERROR(__xludf.DUMMYFUNCTION("""COMPUTED_VALUE"""),1923.86)</f>
        <v>1923.86</v>
      </c>
    </row>
    <row r="1054">
      <c r="A1054" s="1">
        <f>IFERROR(__xludf.DUMMYFUNCTION("""COMPUTED_VALUE"""),1000.0)</f>
        <v>1000</v>
      </c>
      <c r="B1054" s="1">
        <f>IFERROR(__xludf.DUMMYFUNCTION("""COMPUTED_VALUE"""),184221.0)</f>
        <v>184221</v>
      </c>
      <c r="C1054" s="1">
        <f>IFERROR(__xludf.DUMMYFUNCTION("""COMPUTED_VALUE"""),2026.0)</f>
        <v>2026</v>
      </c>
      <c r="D1054" s="1">
        <f>IFERROR(__xludf.DUMMYFUNCTION("""COMPUTED_VALUE"""),46173.0)</f>
        <v>46173</v>
      </c>
      <c r="E1054" s="1" t="str">
        <f>IFERROR(__xludf.DUMMYFUNCTION("""COMPUTED_VALUE"""),"VF")</f>
        <v>VF</v>
      </c>
      <c r="F1054" s="1">
        <f>IFERROR(__xludf.DUMMYFUNCTION("""COMPUTED_VALUE"""),1.0)</f>
        <v>1</v>
      </c>
      <c r="G1054" s="1" t="str">
        <f>IFERROR(__xludf.DUMMYFUNCTION("""COMPUTED_VALUE"""),"PR005")</f>
        <v>PR005</v>
      </c>
      <c r="H1054" s="1" t="str">
        <f>IFERROR(__xludf.DUMMYFUNCTION("""COMPUTED_VALUE"""),"VD049")</f>
        <v>VD049</v>
      </c>
      <c r="I1054" s="1">
        <f>IFERROR(__xludf.DUMMYFUNCTION("""COMPUTED_VALUE"""),5.0)</f>
        <v>5</v>
      </c>
      <c r="J1054" s="1">
        <f>IFERROR(__xludf.DUMMYFUNCTION("""COMPUTED_VALUE"""),1364.48)</f>
        <v>1364.48</v>
      </c>
      <c r="K1054" s="1">
        <f>IFERROR(__xludf.DUMMYFUNCTION("""COMPUTED_VALUE"""),1364.48)</f>
        <v>1364.48</v>
      </c>
    </row>
    <row r="1055">
      <c r="A1055" s="1">
        <f>IFERROR(__xludf.DUMMYFUNCTION("""COMPUTED_VALUE"""),1000.0)</f>
        <v>1000</v>
      </c>
      <c r="B1055" s="1">
        <f>IFERROR(__xludf.DUMMYFUNCTION("""COMPUTED_VALUE"""),184222.0)</f>
        <v>184222</v>
      </c>
      <c r="C1055" s="1">
        <f>IFERROR(__xludf.DUMMYFUNCTION("""COMPUTED_VALUE"""),2026.0)</f>
        <v>2026</v>
      </c>
      <c r="D1055" s="1">
        <f>IFERROR(__xludf.DUMMYFUNCTION("""COMPUTED_VALUE"""),46172.0)</f>
        <v>46172</v>
      </c>
      <c r="E1055" s="1" t="str">
        <f>IFERROR(__xludf.DUMMYFUNCTION("""COMPUTED_VALUE"""),"VF")</f>
        <v>VF</v>
      </c>
      <c r="F1055" s="1">
        <f>IFERROR(__xludf.DUMMYFUNCTION("""COMPUTED_VALUE"""),1.0)</f>
        <v>1</v>
      </c>
      <c r="G1055" s="1" t="str">
        <f>IFERROR(__xludf.DUMMYFUNCTION("""COMPUTED_VALUE"""),"PR025")</f>
        <v>PR025</v>
      </c>
      <c r="H1055" s="1" t="str">
        <f>IFERROR(__xludf.DUMMYFUNCTION("""COMPUTED_VALUE"""),"VD018")</f>
        <v>VD018</v>
      </c>
      <c r="I1055" s="1">
        <f>IFERROR(__xludf.DUMMYFUNCTION("""COMPUTED_VALUE"""),8.0)</f>
        <v>8</v>
      </c>
      <c r="J1055" s="1">
        <f>IFERROR(__xludf.DUMMYFUNCTION("""COMPUTED_VALUE"""),2519.16)</f>
        <v>2519.16</v>
      </c>
      <c r="K1055" s="1">
        <f>IFERROR(__xludf.DUMMYFUNCTION("""COMPUTED_VALUE"""),2519.16)</f>
        <v>2519.16</v>
      </c>
    </row>
    <row r="1056">
      <c r="A1056" s="1">
        <f>IFERROR(__xludf.DUMMYFUNCTION("""COMPUTED_VALUE"""),1000.0)</f>
        <v>1000</v>
      </c>
      <c r="B1056" s="1">
        <f>IFERROR(__xludf.DUMMYFUNCTION("""COMPUTED_VALUE"""),184223.0)</f>
        <v>184223</v>
      </c>
      <c r="C1056" s="1">
        <f>IFERROR(__xludf.DUMMYFUNCTION("""COMPUTED_VALUE"""),2026.0)</f>
        <v>2026</v>
      </c>
      <c r="D1056" s="1">
        <f>IFERROR(__xludf.DUMMYFUNCTION("""COMPUTED_VALUE"""),46172.0)</f>
        <v>46172</v>
      </c>
      <c r="E1056" s="1" t="str">
        <f>IFERROR(__xludf.DUMMYFUNCTION("""COMPUTED_VALUE"""),"VF")</f>
        <v>VF</v>
      </c>
      <c r="F1056" s="1">
        <f>IFERROR(__xludf.DUMMYFUNCTION("""COMPUTED_VALUE"""),1.0)</f>
        <v>1</v>
      </c>
      <c r="G1056" s="1" t="str">
        <f>IFERROR(__xludf.DUMMYFUNCTION("""COMPUTED_VALUE"""),"PR034")</f>
        <v>PR034</v>
      </c>
      <c r="H1056" s="1" t="str">
        <f>IFERROR(__xludf.DUMMYFUNCTION("""COMPUTED_VALUE"""),"VD015")</f>
        <v>VD015</v>
      </c>
      <c r="I1056" s="1">
        <f>IFERROR(__xludf.DUMMYFUNCTION("""COMPUTED_VALUE"""),2.0)</f>
        <v>2</v>
      </c>
      <c r="J1056" s="1">
        <f>IFERROR(__xludf.DUMMYFUNCTION("""COMPUTED_VALUE"""),192.39)</f>
        <v>192.39</v>
      </c>
      <c r="K1056" s="1">
        <f>IFERROR(__xludf.DUMMYFUNCTION("""COMPUTED_VALUE"""),192.39)</f>
        <v>192.39</v>
      </c>
    </row>
    <row r="1057">
      <c r="A1057" s="1">
        <f>IFERROR(__xludf.DUMMYFUNCTION("""COMPUTED_VALUE"""),1000.0)</f>
        <v>1000</v>
      </c>
      <c r="B1057" s="1">
        <f>IFERROR(__xludf.DUMMYFUNCTION("""COMPUTED_VALUE"""),184224.0)</f>
        <v>184224</v>
      </c>
      <c r="C1057" s="1">
        <f>IFERROR(__xludf.DUMMYFUNCTION("""COMPUTED_VALUE"""),2026.0)</f>
        <v>2026</v>
      </c>
      <c r="D1057" s="1">
        <f>IFERROR(__xludf.DUMMYFUNCTION("""COMPUTED_VALUE"""),46172.0)</f>
        <v>46172</v>
      </c>
      <c r="E1057" s="1" t="str">
        <f>IFERROR(__xludf.DUMMYFUNCTION("""COMPUTED_VALUE"""),"VF")</f>
        <v>VF</v>
      </c>
      <c r="F1057" s="1">
        <f>IFERROR(__xludf.DUMMYFUNCTION("""COMPUTED_VALUE"""),1.0)</f>
        <v>1</v>
      </c>
      <c r="G1057" s="1" t="str">
        <f>IFERROR(__xludf.DUMMYFUNCTION("""COMPUTED_VALUE"""),"PR048")</f>
        <v>PR048</v>
      </c>
      <c r="H1057" s="1" t="str">
        <f>IFERROR(__xludf.DUMMYFUNCTION("""COMPUTED_VALUE"""),"VD034")</f>
        <v>VD034</v>
      </c>
      <c r="I1057" s="1">
        <f>IFERROR(__xludf.DUMMYFUNCTION("""COMPUTED_VALUE"""),20.0)</f>
        <v>20</v>
      </c>
      <c r="J1057" s="1">
        <f>IFERROR(__xludf.DUMMYFUNCTION("""COMPUTED_VALUE"""),5855.98)</f>
        <v>5855.98</v>
      </c>
      <c r="K1057" s="1">
        <f>IFERROR(__xludf.DUMMYFUNCTION("""COMPUTED_VALUE"""),5855.98)</f>
        <v>5855.98</v>
      </c>
    </row>
    <row r="1058">
      <c r="A1058" s="1">
        <f>IFERROR(__xludf.DUMMYFUNCTION("""COMPUTED_VALUE"""),1000.0)</f>
        <v>1000</v>
      </c>
      <c r="B1058" s="1">
        <f>IFERROR(__xludf.DUMMYFUNCTION("""COMPUTED_VALUE"""),184225.0)</f>
        <v>184225</v>
      </c>
      <c r="C1058" s="1">
        <f>IFERROR(__xludf.DUMMYFUNCTION("""COMPUTED_VALUE"""),2026.0)</f>
        <v>2026</v>
      </c>
      <c r="D1058" s="1">
        <f>IFERROR(__xludf.DUMMYFUNCTION("""COMPUTED_VALUE"""),46171.0)</f>
        <v>46171</v>
      </c>
      <c r="E1058" s="1" t="str">
        <f>IFERROR(__xludf.DUMMYFUNCTION("""COMPUTED_VALUE"""),"VF")</f>
        <v>VF</v>
      </c>
      <c r="F1058" s="1">
        <f>IFERROR(__xludf.DUMMYFUNCTION("""COMPUTED_VALUE"""),1.0)</f>
        <v>1</v>
      </c>
      <c r="G1058" s="1" t="str">
        <f>IFERROR(__xludf.DUMMYFUNCTION("""COMPUTED_VALUE"""),"PR024")</f>
        <v>PR024</v>
      </c>
      <c r="H1058" s="1" t="str">
        <f>IFERROR(__xludf.DUMMYFUNCTION("""COMPUTED_VALUE"""),"VD046")</f>
        <v>VD046</v>
      </c>
      <c r="I1058" s="1">
        <f>IFERROR(__xludf.DUMMYFUNCTION("""COMPUTED_VALUE"""),2.0)</f>
        <v>2</v>
      </c>
      <c r="J1058" s="1">
        <f>IFERROR(__xludf.DUMMYFUNCTION("""COMPUTED_VALUE"""),530.2)</f>
        <v>530.2</v>
      </c>
      <c r="K1058" s="1">
        <f>IFERROR(__xludf.DUMMYFUNCTION("""COMPUTED_VALUE"""),530.2)</f>
        <v>530.2</v>
      </c>
    </row>
    <row r="1059">
      <c r="A1059" s="1">
        <f>IFERROR(__xludf.DUMMYFUNCTION("""COMPUTED_VALUE"""),1000.0)</f>
        <v>1000</v>
      </c>
      <c r="B1059" s="1">
        <f>IFERROR(__xludf.DUMMYFUNCTION("""COMPUTED_VALUE"""),184226.0)</f>
        <v>184226</v>
      </c>
      <c r="C1059" s="1">
        <f>IFERROR(__xludf.DUMMYFUNCTION("""COMPUTED_VALUE"""),2026.0)</f>
        <v>2026</v>
      </c>
      <c r="D1059" s="1">
        <f>IFERROR(__xludf.DUMMYFUNCTION("""COMPUTED_VALUE"""),46171.0)</f>
        <v>46171</v>
      </c>
      <c r="E1059" s="1" t="str">
        <f>IFERROR(__xludf.DUMMYFUNCTION("""COMPUTED_VALUE"""),"VF")</f>
        <v>VF</v>
      </c>
      <c r="F1059" s="1">
        <f>IFERROR(__xludf.DUMMYFUNCTION("""COMPUTED_VALUE"""),1.0)</f>
        <v>1</v>
      </c>
      <c r="G1059" s="1" t="str">
        <f>IFERROR(__xludf.DUMMYFUNCTION("""COMPUTED_VALUE"""),"PR028")</f>
        <v>PR028</v>
      </c>
      <c r="H1059" s="1" t="str">
        <f>IFERROR(__xludf.DUMMYFUNCTION("""COMPUTED_VALUE"""),"VD014")</f>
        <v>VD014</v>
      </c>
      <c r="I1059" s="1">
        <f>IFERROR(__xludf.DUMMYFUNCTION("""COMPUTED_VALUE"""),4.0)</f>
        <v>4</v>
      </c>
      <c r="J1059" s="1">
        <f>IFERROR(__xludf.DUMMYFUNCTION("""COMPUTED_VALUE"""),1069.57)</f>
        <v>1069.57</v>
      </c>
      <c r="K1059" s="1">
        <f>IFERROR(__xludf.DUMMYFUNCTION("""COMPUTED_VALUE"""),1069.57)</f>
        <v>1069.57</v>
      </c>
    </row>
    <row r="1060">
      <c r="A1060" s="1">
        <f>IFERROR(__xludf.DUMMYFUNCTION("""COMPUTED_VALUE"""),1000.0)</f>
        <v>1000</v>
      </c>
      <c r="B1060" s="1">
        <f>IFERROR(__xludf.DUMMYFUNCTION("""COMPUTED_VALUE"""),184227.0)</f>
        <v>184227</v>
      </c>
      <c r="C1060" s="1">
        <f>IFERROR(__xludf.DUMMYFUNCTION("""COMPUTED_VALUE"""),2026.0)</f>
        <v>2026</v>
      </c>
      <c r="D1060" s="1">
        <f>IFERROR(__xludf.DUMMYFUNCTION("""COMPUTED_VALUE"""),46170.0)</f>
        <v>46170</v>
      </c>
      <c r="E1060" s="1" t="str">
        <f>IFERROR(__xludf.DUMMYFUNCTION("""COMPUTED_VALUE"""),"VF")</f>
        <v>VF</v>
      </c>
      <c r="F1060" s="1">
        <f>IFERROR(__xludf.DUMMYFUNCTION("""COMPUTED_VALUE"""),1.0)</f>
        <v>1</v>
      </c>
      <c r="G1060" s="1" t="str">
        <f>IFERROR(__xludf.DUMMYFUNCTION("""COMPUTED_VALUE"""),"PR018")</f>
        <v>PR018</v>
      </c>
      <c r="H1060" s="1" t="str">
        <f>IFERROR(__xludf.DUMMYFUNCTION("""COMPUTED_VALUE"""),"VD041")</f>
        <v>VD041</v>
      </c>
      <c r="I1060" s="1">
        <f>IFERROR(__xludf.DUMMYFUNCTION("""COMPUTED_VALUE"""),3.0)</f>
        <v>3</v>
      </c>
      <c r="J1060" s="1">
        <f>IFERROR(__xludf.DUMMYFUNCTION("""COMPUTED_VALUE"""),102.65)</f>
        <v>102.65</v>
      </c>
      <c r="K1060" s="1">
        <f>IFERROR(__xludf.DUMMYFUNCTION("""COMPUTED_VALUE"""),102.65)</f>
        <v>102.65</v>
      </c>
    </row>
    <row r="1061">
      <c r="A1061" s="1">
        <f>IFERROR(__xludf.DUMMYFUNCTION("""COMPUTED_VALUE"""),1000.0)</f>
        <v>1000</v>
      </c>
      <c r="B1061" s="1">
        <f>IFERROR(__xludf.DUMMYFUNCTION("""COMPUTED_VALUE"""),184228.0)</f>
        <v>184228</v>
      </c>
      <c r="C1061" s="1">
        <f>IFERROR(__xludf.DUMMYFUNCTION("""COMPUTED_VALUE"""),2026.0)</f>
        <v>2026</v>
      </c>
      <c r="D1061" s="1">
        <f>IFERROR(__xludf.DUMMYFUNCTION("""COMPUTED_VALUE"""),46170.0)</f>
        <v>46170</v>
      </c>
      <c r="E1061" s="1" t="str">
        <f>IFERROR(__xludf.DUMMYFUNCTION("""COMPUTED_VALUE"""),"VF")</f>
        <v>VF</v>
      </c>
      <c r="F1061" s="1">
        <f>IFERROR(__xludf.DUMMYFUNCTION("""COMPUTED_VALUE"""),1.0)</f>
        <v>1</v>
      </c>
      <c r="G1061" s="1" t="str">
        <f>IFERROR(__xludf.DUMMYFUNCTION("""COMPUTED_VALUE"""),"PR001")</f>
        <v>PR001</v>
      </c>
      <c r="H1061" s="1" t="str">
        <f>IFERROR(__xludf.DUMMYFUNCTION("""COMPUTED_VALUE"""),"VD027")</f>
        <v>VD027</v>
      </c>
      <c r="I1061" s="1">
        <f>IFERROR(__xludf.DUMMYFUNCTION("""COMPUTED_VALUE"""),18.0)</f>
        <v>18</v>
      </c>
      <c r="J1061" s="1">
        <f>IFERROR(__xludf.DUMMYFUNCTION("""COMPUTED_VALUE"""),1221.79)</f>
        <v>1221.79</v>
      </c>
      <c r="K1061" s="1">
        <f>IFERROR(__xludf.DUMMYFUNCTION("""COMPUTED_VALUE"""),1221.79)</f>
        <v>1221.79</v>
      </c>
    </row>
    <row r="1062">
      <c r="A1062" s="1">
        <f>IFERROR(__xludf.DUMMYFUNCTION("""COMPUTED_VALUE"""),1000.0)</f>
        <v>1000</v>
      </c>
      <c r="B1062" s="1">
        <f>IFERROR(__xludf.DUMMYFUNCTION("""COMPUTED_VALUE"""),184229.0)</f>
        <v>184229</v>
      </c>
      <c r="C1062" s="1">
        <f>IFERROR(__xludf.DUMMYFUNCTION("""COMPUTED_VALUE"""),2026.0)</f>
        <v>2026</v>
      </c>
      <c r="D1062" s="1">
        <f>IFERROR(__xludf.DUMMYFUNCTION("""COMPUTED_VALUE"""),46170.0)</f>
        <v>46170</v>
      </c>
      <c r="E1062" s="1" t="str">
        <f>IFERROR(__xludf.DUMMYFUNCTION("""COMPUTED_VALUE"""),"VF")</f>
        <v>VF</v>
      </c>
      <c r="F1062" s="1">
        <f>IFERROR(__xludf.DUMMYFUNCTION("""COMPUTED_VALUE"""),1.0)</f>
        <v>1</v>
      </c>
      <c r="G1062" s="1" t="str">
        <f>IFERROR(__xludf.DUMMYFUNCTION("""COMPUTED_VALUE"""),"PR021")</f>
        <v>PR021</v>
      </c>
      <c r="H1062" s="1" t="str">
        <f>IFERROR(__xludf.DUMMYFUNCTION("""COMPUTED_VALUE"""),"VD048")</f>
        <v>VD048</v>
      </c>
      <c r="I1062" s="1">
        <f>IFERROR(__xludf.DUMMYFUNCTION("""COMPUTED_VALUE"""),2.0)</f>
        <v>2</v>
      </c>
      <c r="J1062" s="1">
        <f>IFERROR(__xludf.DUMMYFUNCTION("""COMPUTED_VALUE"""),617.92)</f>
        <v>617.92</v>
      </c>
      <c r="K1062" s="1">
        <f>IFERROR(__xludf.DUMMYFUNCTION("""COMPUTED_VALUE"""),617.92)</f>
        <v>617.92</v>
      </c>
    </row>
    <row r="1063">
      <c r="A1063" s="1">
        <f>IFERROR(__xludf.DUMMYFUNCTION("""COMPUTED_VALUE"""),1000.0)</f>
        <v>1000</v>
      </c>
      <c r="B1063" s="1">
        <f>IFERROR(__xludf.DUMMYFUNCTION("""COMPUTED_VALUE"""),184229.0)</f>
        <v>184229</v>
      </c>
      <c r="C1063" s="1">
        <f>IFERROR(__xludf.DUMMYFUNCTION("""COMPUTED_VALUE"""),2026.0)</f>
        <v>2026</v>
      </c>
      <c r="D1063" s="1">
        <f>IFERROR(__xludf.DUMMYFUNCTION("""COMPUTED_VALUE"""),46170.0)</f>
        <v>46170</v>
      </c>
      <c r="E1063" s="1" t="str">
        <f>IFERROR(__xludf.DUMMYFUNCTION("""COMPUTED_VALUE"""),"VF")</f>
        <v>VF</v>
      </c>
      <c r="F1063" s="1">
        <f>IFERROR(__xludf.DUMMYFUNCTION("""COMPUTED_VALUE"""),2.0)</f>
        <v>2</v>
      </c>
      <c r="G1063" s="1" t="str">
        <f>IFERROR(__xludf.DUMMYFUNCTION("""COMPUTED_VALUE"""),"PR012")</f>
        <v>PR012</v>
      </c>
      <c r="H1063" s="1" t="str">
        <f>IFERROR(__xludf.DUMMYFUNCTION("""COMPUTED_VALUE"""),"VD012")</f>
        <v>VD012</v>
      </c>
      <c r="I1063" s="1">
        <f>IFERROR(__xludf.DUMMYFUNCTION("""COMPUTED_VALUE"""),3.0)</f>
        <v>3</v>
      </c>
      <c r="J1063" s="1">
        <f>IFERROR(__xludf.DUMMYFUNCTION("""COMPUTED_VALUE"""),152.57)</f>
        <v>152.57</v>
      </c>
      <c r="K1063" s="1">
        <f>IFERROR(__xludf.DUMMYFUNCTION("""COMPUTED_VALUE"""),152.57)</f>
        <v>152.57</v>
      </c>
    </row>
    <row r="1064">
      <c r="A1064" s="1">
        <f>IFERROR(__xludf.DUMMYFUNCTION("""COMPUTED_VALUE"""),1000.0)</f>
        <v>1000</v>
      </c>
      <c r="B1064" s="1">
        <f>IFERROR(__xludf.DUMMYFUNCTION("""COMPUTED_VALUE"""),184230.0)</f>
        <v>184230</v>
      </c>
      <c r="C1064" s="1">
        <f>IFERROR(__xludf.DUMMYFUNCTION("""COMPUTED_VALUE"""),2026.0)</f>
        <v>2026</v>
      </c>
      <c r="D1064" s="1">
        <f>IFERROR(__xludf.DUMMYFUNCTION("""COMPUTED_VALUE"""),46169.0)</f>
        <v>46169</v>
      </c>
      <c r="E1064" s="1" t="str">
        <f>IFERROR(__xludf.DUMMYFUNCTION("""COMPUTED_VALUE"""),"VF")</f>
        <v>VF</v>
      </c>
      <c r="F1064" s="1">
        <f>IFERROR(__xludf.DUMMYFUNCTION("""COMPUTED_VALUE"""),1.0)</f>
        <v>1</v>
      </c>
      <c r="G1064" s="1" t="str">
        <f>IFERROR(__xludf.DUMMYFUNCTION("""COMPUTED_VALUE"""),"PR035")</f>
        <v>PR035</v>
      </c>
      <c r="H1064" s="1" t="str">
        <f>IFERROR(__xludf.DUMMYFUNCTION("""COMPUTED_VALUE"""),"VD023")</f>
        <v>VD023</v>
      </c>
      <c r="I1064" s="1">
        <f>IFERROR(__xludf.DUMMYFUNCTION("""COMPUTED_VALUE"""),1.0)</f>
        <v>1</v>
      </c>
      <c r="J1064" s="1">
        <f>IFERROR(__xludf.DUMMYFUNCTION("""COMPUTED_VALUE"""),99.63)</f>
        <v>99.63</v>
      </c>
      <c r="K1064" s="1">
        <f>IFERROR(__xludf.DUMMYFUNCTION("""COMPUTED_VALUE"""),99.63)</f>
        <v>99.63</v>
      </c>
    </row>
    <row r="1065">
      <c r="A1065" s="1">
        <f>IFERROR(__xludf.DUMMYFUNCTION("""COMPUTED_VALUE"""),2000.0)</f>
        <v>2000</v>
      </c>
      <c r="B1065" s="1">
        <f>IFERROR(__xludf.DUMMYFUNCTION("""COMPUTED_VALUE"""),184230.0)</f>
        <v>184230</v>
      </c>
      <c r="C1065" s="1">
        <f>IFERROR(__xludf.DUMMYFUNCTION("""COMPUTED_VALUE"""),2026.0)</f>
        <v>2026</v>
      </c>
      <c r="D1065" s="1">
        <f>IFERROR(__xludf.DUMMYFUNCTION("""COMPUTED_VALUE"""),46169.0)</f>
        <v>46169</v>
      </c>
      <c r="E1065" s="1" t="str">
        <f>IFERROR(__xludf.DUMMYFUNCTION("""COMPUTED_VALUE"""),"VF")</f>
        <v>VF</v>
      </c>
      <c r="F1065" s="1">
        <f>IFERROR(__xludf.DUMMYFUNCTION("""COMPUTED_VALUE"""),2.0)</f>
        <v>2</v>
      </c>
      <c r="G1065" s="1" t="str">
        <f>IFERROR(__xludf.DUMMYFUNCTION("""COMPUTED_VALUE"""),"PR006")</f>
        <v>PR006</v>
      </c>
      <c r="H1065" s="1" t="str">
        <f>IFERROR(__xludf.DUMMYFUNCTION("""COMPUTED_VALUE"""),"VD030")</f>
        <v>VD030</v>
      </c>
      <c r="I1065" s="1">
        <f>IFERROR(__xludf.DUMMYFUNCTION("""COMPUTED_VALUE"""),16.0)</f>
        <v>16</v>
      </c>
      <c r="J1065" s="1">
        <f>IFERROR(__xludf.DUMMYFUNCTION("""COMPUTED_VALUE"""),689.47)</f>
        <v>689.47</v>
      </c>
      <c r="K1065" s="1">
        <f>IFERROR(__xludf.DUMMYFUNCTION("""COMPUTED_VALUE"""),689.47)</f>
        <v>689.47</v>
      </c>
    </row>
    <row r="1066">
      <c r="A1066" s="1">
        <f>IFERROR(__xludf.DUMMYFUNCTION("""COMPUTED_VALUE"""),1000.0)</f>
        <v>1000</v>
      </c>
      <c r="B1066" s="1">
        <f>IFERROR(__xludf.DUMMYFUNCTION("""COMPUTED_VALUE"""),184231.0)</f>
        <v>184231</v>
      </c>
      <c r="C1066" s="1">
        <f>IFERROR(__xludf.DUMMYFUNCTION("""COMPUTED_VALUE"""),2026.0)</f>
        <v>2026</v>
      </c>
      <c r="D1066" s="1">
        <f>IFERROR(__xludf.DUMMYFUNCTION("""COMPUTED_VALUE"""),46168.0)</f>
        <v>46168</v>
      </c>
      <c r="E1066" s="1" t="str">
        <f>IFERROR(__xludf.DUMMYFUNCTION("""COMPUTED_VALUE"""),"VF")</f>
        <v>VF</v>
      </c>
      <c r="F1066" s="1">
        <f>IFERROR(__xludf.DUMMYFUNCTION("""COMPUTED_VALUE"""),1.0)</f>
        <v>1</v>
      </c>
      <c r="G1066" s="1" t="str">
        <f>IFERROR(__xludf.DUMMYFUNCTION("""COMPUTED_VALUE"""),"PR053")</f>
        <v>PR053</v>
      </c>
      <c r="H1066" s="1" t="str">
        <f>IFERROR(__xludf.DUMMYFUNCTION("""COMPUTED_VALUE"""),"VD011")</f>
        <v>VD011</v>
      </c>
      <c r="I1066" s="1">
        <f>IFERROR(__xludf.DUMMYFUNCTION("""COMPUTED_VALUE"""),8.0)</f>
        <v>8</v>
      </c>
      <c r="J1066" s="1">
        <f>IFERROR(__xludf.DUMMYFUNCTION("""COMPUTED_VALUE"""),415.17)</f>
        <v>415.17</v>
      </c>
      <c r="K1066" s="1">
        <f>IFERROR(__xludf.DUMMYFUNCTION("""COMPUTED_VALUE"""),415.17)</f>
        <v>415.17</v>
      </c>
    </row>
    <row r="1067">
      <c r="A1067" s="1">
        <f>IFERROR(__xludf.DUMMYFUNCTION("""COMPUTED_VALUE"""),1000.0)</f>
        <v>1000</v>
      </c>
      <c r="B1067" s="1">
        <f>IFERROR(__xludf.DUMMYFUNCTION("""COMPUTED_VALUE"""),184232.0)</f>
        <v>184232</v>
      </c>
      <c r="C1067" s="1">
        <f>IFERROR(__xludf.DUMMYFUNCTION("""COMPUTED_VALUE"""),2026.0)</f>
        <v>2026</v>
      </c>
      <c r="D1067" s="1">
        <f>IFERROR(__xludf.DUMMYFUNCTION("""COMPUTED_VALUE"""),46168.0)</f>
        <v>46168</v>
      </c>
      <c r="E1067" s="1" t="str">
        <f>IFERROR(__xludf.DUMMYFUNCTION("""COMPUTED_VALUE"""),"VF")</f>
        <v>VF</v>
      </c>
      <c r="F1067" s="1">
        <f>IFERROR(__xludf.DUMMYFUNCTION("""COMPUTED_VALUE"""),1.0)</f>
        <v>1</v>
      </c>
      <c r="G1067" s="1" t="str">
        <f>IFERROR(__xludf.DUMMYFUNCTION("""COMPUTED_VALUE"""),"PR009")</f>
        <v>PR009</v>
      </c>
      <c r="H1067" s="1" t="str">
        <f>IFERROR(__xludf.DUMMYFUNCTION("""COMPUTED_VALUE"""),"VD028")</f>
        <v>VD028</v>
      </c>
      <c r="I1067" s="1">
        <f>IFERROR(__xludf.DUMMYFUNCTION("""COMPUTED_VALUE"""),8.0)</f>
        <v>8</v>
      </c>
      <c r="J1067" s="1">
        <f>IFERROR(__xludf.DUMMYFUNCTION("""COMPUTED_VALUE"""),765.5)</f>
        <v>765.5</v>
      </c>
      <c r="K1067" s="1">
        <f>IFERROR(__xludf.DUMMYFUNCTION("""COMPUTED_VALUE"""),765.5)</f>
        <v>765.5</v>
      </c>
    </row>
    <row r="1068">
      <c r="A1068" s="1">
        <f>IFERROR(__xludf.DUMMYFUNCTION("""COMPUTED_VALUE"""),1000.0)</f>
        <v>1000</v>
      </c>
      <c r="B1068" s="1">
        <f>IFERROR(__xludf.DUMMYFUNCTION("""COMPUTED_VALUE"""),184233.0)</f>
        <v>184233</v>
      </c>
      <c r="C1068" s="1">
        <f>IFERROR(__xludf.DUMMYFUNCTION("""COMPUTED_VALUE"""),2026.0)</f>
        <v>2026</v>
      </c>
      <c r="D1068" s="1">
        <f>IFERROR(__xludf.DUMMYFUNCTION("""COMPUTED_VALUE"""),46167.0)</f>
        <v>46167</v>
      </c>
      <c r="E1068" s="1" t="str">
        <f>IFERROR(__xludf.DUMMYFUNCTION("""COMPUTED_VALUE"""),"VF")</f>
        <v>VF</v>
      </c>
      <c r="F1068" s="1">
        <f>IFERROR(__xludf.DUMMYFUNCTION("""COMPUTED_VALUE"""),1.0)</f>
        <v>1</v>
      </c>
      <c r="G1068" s="1" t="str">
        <f>IFERROR(__xludf.DUMMYFUNCTION("""COMPUTED_VALUE"""),"PR004")</f>
        <v>PR004</v>
      </c>
      <c r="H1068" s="1" t="str">
        <f>IFERROR(__xludf.DUMMYFUNCTION("""COMPUTED_VALUE"""),"VD043")</f>
        <v>VD043</v>
      </c>
      <c r="I1068" s="1">
        <f>IFERROR(__xludf.DUMMYFUNCTION("""COMPUTED_VALUE"""),8.0)</f>
        <v>8</v>
      </c>
      <c r="J1068" s="1">
        <f>IFERROR(__xludf.DUMMYFUNCTION("""COMPUTED_VALUE"""),1194.8)</f>
        <v>1194.8</v>
      </c>
      <c r="K1068" s="1">
        <f>IFERROR(__xludf.DUMMYFUNCTION("""COMPUTED_VALUE"""),1194.8)</f>
        <v>1194.8</v>
      </c>
    </row>
    <row r="1069">
      <c r="A1069" s="1">
        <f>IFERROR(__xludf.DUMMYFUNCTION("""COMPUTED_VALUE"""),1000.0)</f>
        <v>1000</v>
      </c>
      <c r="B1069" s="1">
        <f>IFERROR(__xludf.DUMMYFUNCTION("""COMPUTED_VALUE"""),184234.0)</f>
        <v>184234</v>
      </c>
      <c r="C1069" s="1">
        <f>IFERROR(__xludf.DUMMYFUNCTION("""COMPUTED_VALUE"""),2026.0)</f>
        <v>2026</v>
      </c>
      <c r="D1069" s="1">
        <f>IFERROR(__xludf.DUMMYFUNCTION("""COMPUTED_VALUE"""),46167.0)</f>
        <v>46167</v>
      </c>
      <c r="E1069" s="1" t="str">
        <f>IFERROR(__xludf.DUMMYFUNCTION("""COMPUTED_VALUE"""),"VF")</f>
        <v>VF</v>
      </c>
      <c r="F1069" s="1">
        <f>IFERROR(__xludf.DUMMYFUNCTION("""COMPUTED_VALUE"""),1.0)</f>
        <v>1</v>
      </c>
      <c r="G1069" s="1" t="str">
        <f>IFERROR(__xludf.DUMMYFUNCTION("""COMPUTED_VALUE"""),"PR024")</f>
        <v>PR024</v>
      </c>
      <c r="H1069" s="1" t="str">
        <f>IFERROR(__xludf.DUMMYFUNCTION("""COMPUTED_VALUE"""),"VD027")</f>
        <v>VD027</v>
      </c>
      <c r="I1069" s="1">
        <f>IFERROR(__xludf.DUMMYFUNCTION("""COMPUTED_VALUE"""),4.0)</f>
        <v>4</v>
      </c>
      <c r="J1069" s="1">
        <f>IFERROR(__xludf.DUMMYFUNCTION("""COMPUTED_VALUE"""),1070.79)</f>
        <v>1070.79</v>
      </c>
      <c r="K1069" s="1">
        <f>IFERROR(__xludf.DUMMYFUNCTION("""COMPUTED_VALUE"""),1070.79)</f>
        <v>1070.79</v>
      </c>
    </row>
    <row r="1070">
      <c r="A1070" s="1">
        <f>IFERROR(__xludf.DUMMYFUNCTION("""COMPUTED_VALUE"""),2000.0)</f>
        <v>2000</v>
      </c>
      <c r="B1070" s="1">
        <f>IFERROR(__xludf.DUMMYFUNCTION("""COMPUTED_VALUE"""),184235.0)</f>
        <v>184235</v>
      </c>
      <c r="C1070" s="1">
        <f>IFERROR(__xludf.DUMMYFUNCTION("""COMPUTED_VALUE"""),2026.0)</f>
        <v>2026</v>
      </c>
      <c r="D1070" s="1">
        <f>IFERROR(__xludf.DUMMYFUNCTION("""COMPUTED_VALUE"""),46167.0)</f>
        <v>46167</v>
      </c>
      <c r="E1070" s="1" t="str">
        <f>IFERROR(__xludf.DUMMYFUNCTION("""COMPUTED_VALUE"""),"VF")</f>
        <v>VF</v>
      </c>
      <c r="F1070" s="1">
        <f>IFERROR(__xludf.DUMMYFUNCTION("""COMPUTED_VALUE"""),1.0)</f>
        <v>1</v>
      </c>
      <c r="G1070" s="1" t="str">
        <f>IFERROR(__xludf.DUMMYFUNCTION("""COMPUTED_VALUE"""),"PR035")</f>
        <v>PR035</v>
      </c>
      <c r="H1070" s="1" t="str">
        <f>IFERROR(__xludf.DUMMYFUNCTION("""COMPUTED_VALUE"""),"VD046")</f>
        <v>VD046</v>
      </c>
      <c r="I1070" s="1">
        <f>IFERROR(__xludf.DUMMYFUNCTION("""COMPUTED_VALUE"""),2.0)</f>
        <v>2</v>
      </c>
      <c r="J1070" s="1">
        <f>IFERROR(__xludf.DUMMYFUNCTION("""COMPUTED_VALUE"""),190.11)</f>
        <v>190.11</v>
      </c>
      <c r="K1070" s="1">
        <f>IFERROR(__xludf.DUMMYFUNCTION("""COMPUTED_VALUE"""),190.11)</f>
        <v>190.11</v>
      </c>
    </row>
    <row r="1071">
      <c r="A1071" s="1">
        <f>IFERROR(__xludf.DUMMYFUNCTION("""COMPUTED_VALUE"""),2000.0)</f>
        <v>2000</v>
      </c>
      <c r="B1071" s="1">
        <f>IFERROR(__xludf.DUMMYFUNCTION("""COMPUTED_VALUE"""),184235.0)</f>
        <v>184235</v>
      </c>
      <c r="C1071" s="1">
        <f>IFERROR(__xludf.DUMMYFUNCTION("""COMPUTED_VALUE"""),2026.0)</f>
        <v>2026</v>
      </c>
      <c r="D1071" s="1">
        <f>IFERROR(__xludf.DUMMYFUNCTION("""COMPUTED_VALUE"""),46166.0)</f>
        <v>46166</v>
      </c>
      <c r="E1071" s="1" t="str">
        <f>IFERROR(__xludf.DUMMYFUNCTION("""COMPUTED_VALUE"""),"VF")</f>
        <v>VF</v>
      </c>
      <c r="F1071" s="1">
        <f>IFERROR(__xludf.DUMMYFUNCTION("""COMPUTED_VALUE"""),2.0)</f>
        <v>2</v>
      </c>
      <c r="G1071" s="1" t="str">
        <f>IFERROR(__xludf.DUMMYFUNCTION("""COMPUTED_VALUE"""),"PR031")</f>
        <v>PR031</v>
      </c>
      <c r="H1071" s="1" t="str">
        <f>IFERROR(__xludf.DUMMYFUNCTION("""COMPUTED_VALUE"""),"VD029")</f>
        <v>VD029</v>
      </c>
      <c r="I1071" s="1">
        <f>IFERROR(__xludf.DUMMYFUNCTION("""COMPUTED_VALUE"""),16.0)</f>
        <v>16</v>
      </c>
      <c r="J1071" s="1">
        <f>IFERROR(__xludf.DUMMYFUNCTION("""COMPUTED_VALUE"""),3998.4)</f>
        <v>3998.4</v>
      </c>
      <c r="K1071" s="1">
        <f>IFERROR(__xludf.DUMMYFUNCTION("""COMPUTED_VALUE"""),3998.4)</f>
        <v>3998.4</v>
      </c>
    </row>
    <row r="1072">
      <c r="A1072" s="1">
        <f>IFERROR(__xludf.DUMMYFUNCTION("""COMPUTED_VALUE"""),1000.0)</f>
        <v>1000</v>
      </c>
      <c r="B1072" s="1">
        <f>IFERROR(__xludf.DUMMYFUNCTION("""COMPUTED_VALUE"""),184236.0)</f>
        <v>184236</v>
      </c>
      <c r="C1072" s="1">
        <f>IFERROR(__xludf.DUMMYFUNCTION("""COMPUTED_VALUE"""),2026.0)</f>
        <v>2026</v>
      </c>
      <c r="D1072" s="1">
        <f>IFERROR(__xludf.DUMMYFUNCTION("""COMPUTED_VALUE"""),46166.0)</f>
        <v>46166</v>
      </c>
      <c r="E1072" s="1" t="str">
        <f>IFERROR(__xludf.DUMMYFUNCTION("""COMPUTED_VALUE"""),"VF")</f>
        <v>VF</v>
      </c>
      <c r="F1072" s="1">
        <f>IFERROR(__xludf.DUMMYFUNCTION("""COMPUTED_VALUE"""),1.0)</f>
        <v>1</v>
      </c>
      <c r="G1072" s="1" t="str">
        <f>IFERROR(__xludf.DUMMYFUNCTION("""COMPUTED_VALUE"""),"PR052")</f>
        <v>PR052</v>
      </c>
      <c r="H1072" s="1" t="str">
        <f>IFERROR(__xludf.DUMMYFUNCTION("""COMPUTED_VALUE"""),"VD043")</f>
        <v>VD043</v>
      </c>
      <c r="I1072" s="1">
        <f>IFERROR(__xludf.DUMMYFUNCTION("""COMPUTED_VALUE"""),10.0)</f>
        <v>10</v>
      </c>
      <c r="J1072" s="1">
        <f>IFERROR(__xludf.DUMMYFUNCTION("""COMPUTED_VALUE"""),528.94)</f>
        <v>528.94</v>
      </c>
      <c r="K1072" s="1">
        <f>IFERROR(__xludf.DUMMYFUNCTION("""COMPUTED_VALUE"""),528.94)</f>
        <v>528.94</v>
      </c>
    </row>
    <row r="1073">
      <c r="A1073" s="1">
        <f>IFERROR(__xludf.DUMMYFUNCTION("""COMPUTED_VALUE"""),1000.0)</f>
        <v>1000</v>
      </c>
      <c r="B1073" s="1">
        <f>IFERROR(__xludf.DUMMYFUNCTION("""COMPUTED_VALUE"""),184237.0)</f>
        <v>184237</v>
      </c>
      <c r="C1073" s="1">
        <f>IFERROR(__xludf.DUMMYFUNCTION("""COMPUTED_VALUE"""),2026.0)</f>
        <v>2026</v>
      </c>
      <c r="D1073" s="1">
        <f>IFERROR(__xludf.DUMMYFUNCTION("""COMPUTED_VALUE"""),46166.0)</f>
        <v>46166</v>
      </c>
      <c r="E1073" s="1" t="str">
        <f>IFERROR(__xludf.DUMMYFUNCTION("""COMPUTED_VALUE"""),"VF")</f>
        <v>VF</v>
      </c>
      <c r="F1073" s="1">
        <f>IFERROR(__xludf.DUMMYFUNCTION("""COMPUTED_VALUE"""),1.0)</f>
        <v>1</v>
      </c>
      <c r="G1073" s="1" t="str">
        <f>IFERROR(__xludf.DUMMYFUNCTION("""COMPUTED_VALUE"""),"PR044")</f>
        <v>PR044</v>
      </c>
      <c r="H1073" s="1" t="str">
        <f>IFERROR(__xludf.DUMMYFUNCTION("""COMPUTED_VALUE"""),"VD023")</f>
        <v>VD023</v>
      </c>
      <c r="I1073" s="1">
        <f>IFERROR(__xludf.DUMMYFUNCTION("""COMPUTED_VALUE"""),1.0)</f>
        <v>1</v>
      </c>
      <c r="J1073" s="1">
        <f>IFERROR(__xludf.DUMMYFUNCTION("""COMPUTED_VALUE"""),77.58)</f>
        <v>77.58</v>
      </c>
      <c r="K1073" s="1">
        <f>IFERROR(__xludf.DUMMYFUNCTION("""COMPUTED_VALUE"""),77.58)</f>
        <v>77.58</v>
      </c>
    </row>
    <row r="1074">
      <c r="A1074" s="1">
        <f>IFERROR(__xludf.DUMMYFUNCTION("""COMPUTED_VALUE"""),1000.0)</f>
        <v>1000</v>
      </c>
      <c r="B1074" s="1">
        <f>IFERROR(__xludf.DUMMYFUNCTION("""COMPUTED_VALUE"""),184238.0)</f>
        <v>184238</v>
      </c>
      <c r="C1074" s="1">
        <f>IFERROR(__xludf.DUMMYFUNCTION("""COMPUTED_VALUE"""),2026.0)</f>
        <v>2026</v>
      </c>
      <c r="D1074" s="1">
        <f>IFERROR(__xludf.DUMMYFUNCTION("""COMPUTED_VALUE"""),46166.0)</f>
        <v>46166</v>
      </c>
      <c r="E1074" s="1" t="str">
        <f>IFERROR(__xludf.DUMMYFUNCTION("""COMPUTED_VALUE"""),"VF")</f>
        <v>VF</v>
      </c>
      <c r="F1074" s="1">
        <f>IFERROR(__xludf.DUMMYFUNCTION("""COMPUTED_VALUE"""),1.0)</f>
        <v>1</v>
      </c>
      <c r="G1074" s="1" t="str">
        <f>IFERROR(__xludf.DUMMYFUNCTION("""COMPUTED_VALUE"""),"PR047")</f>
        <v>PR047</v>
      </c>
      <c r="H1074" s="1" t="str">
        <f>IFERROR(__xludf.DUMMYFUNCTION("""COMPUTED_VALUE"""),"VD041")</f>
        <v>VD041</v>
      </c>
      <c r="I1074" s="1">
        <f>IFERROR(__xludf.DUMMYFUNCTION("""COMPUTED_VALUE"""),9.0)</f>
        <v>9</v>
      </c>
      <c r="J1074" s="1">
        <f>IFERROR(__xludf.DUMMYFUNCTION("""COMPUTED_VALUE"""),2870.01)</f>
        <v>2870.01</v>
      </c>
      <c r="K1074" s="1">
        <f>IFERROR(__xludf.DUMMYFUNCTION("""COMPUTED_VALUE"""),2870.01)</f>
        <v>2870.01</v>
      </c>
    </row>
    <row r="1075">
      <c r="A1075" s="1">
        <f>IFERROR(__xludf.DUMMYFUNCTION("""COMPUTED_VALUE"""),1000.0)</f>
        <v>1000</v>
      </c>
      <c r="B1075" s="1">
        <f>IFERROR(__xludf.DUMMYFUNCTION("""COMPUTED_VALUE"""),184239.0)</f>
        <v>184239</v>
      </c>
      <c r="C1075" s="1">
        <f>IFERROR(__xludf.DUMMYFUNCTION("""COMPUTED_VALUE"""),2026.0)</f>
        <v>2026</v>
      </c>
      <c r="D1075" s="1">
        <f>IFERROR(__xludf.DUMMYFUNCTION("""COMPUTED_VALUE"""),46166.0)</f>
        <v>46166</v>
      </c>
      <c r="E1075" s="1" t="str">
        <f>IFERROR(__xludf.DUMMYFUNCTION("""COMPUTED_VALUE"""),"VF")</f>
        <v>VF</v>
      </c>
      <c r="F1075" s="1">
        <f>IFERROR(__xludf.DUMMYFUNCTION("""COMPUTED_VALUE"""),1.0)</f>
        <v>1</v>
      </c>
      <c r="G1075" s="1" t="str">
        <f>IFERROR(__xludf.DUMMYFUNCTION("""COMPUTED_VALUE"""),"PR023")</f>
        <v>PR023</v>
      </c>
      <c r="H1075" s="1" t="str">
        <f>IFERROR(__xludf.DUMMYFUNCTION("""COMPUTED_VALUE"""),"VD021")</f>
        <v>VD021</v>
      </c>
      <c r="I1075" s="1">
        <f>IFERROR(__xludf.DUMMYFUNCTION("""COMPUTED_VALUE"""),3.0)</f>
        <v>3</v>
      </c>
      <c r="J1075" s="1">
        <f>IFERROR(__xludf.DUMMYFUNCTION("""COMPUTED_VALUE"""),764.69)</f>
        <v>764.69</v>
      </c>
      <c r="K1075" s="1">
        <f>IFERROR(__xludf.DUMMYFUNCTION("""COMPUTED_VALUE"""),764.69)</f>
        <v>764.69</v>
      </c>
    </row>
    <row r="1076">
      <c r="A1076" s="1">
        <f>IFERROR(__xludf.DUMMYFUNCTION("""COMPUTED_VALUE"""),1000.0)</f>
        <v>1000</v>
      </c>
      <c r="B1076" s="1">
        <f>IFERROR(__xludf.DUMMYFUNCTION("""COMPUTED_VALUE"""),184240.0)</f>
        <v>184240</v>
      </c>
      <c r="C1076" s="1">
        <f>IFERROR(__xludf.DUMMYFUNCTION("""COMPUTED_VALUE"""),2026.0)</f>
        <v>2026</v>
      </c>
      <c r="D1076" s="1">
        <f>IFERROR(__xludf.DUMMYFUNCTION("""COMPUTED_VALUE"""),46166.0)</f>
        <v>46166</v>
      </c>
      <c r="E1076" s="1" t="str">
        <f>IFERROR(__xludf.DUMMYFUNCTION("""COMPUTED_VALUE"""),"VF")</f>
        <v>VF</v>
      </c>
      <c r="F1076" s="1">
        <f>IFERROR(__xludf.DUMMYFUNCTION("""COMPUTED_VALUE"""),1.0)</f>
        <v>1</v>
      </c>
      <c r="G1076" s="1" t="str">
        <f>IFERROR(__xludf.DUMMYFUNCTION("""COMPUTED_VALUE"""),"PR036")</f>
        <v>PR036</v>
      </c>
      <c r="H1076" s="1" t="str">
        <f>IFERROR(__xludf.DUMMYFUNCTION("""COMPUTED_VALUE"""),"VD022")</f>
        <v>VD022</v>
      </c>
      <c r="I1076" s="1">
        <f>IFERROR(__xludf.DUMMYFUNCTION("""COMPUTED_VALUE"""),20.0)</f>
        <v>20</v>
      </c>
      <c r="J1076" s="1">
        <f>IFERROR(__xludf.DUMMYFUNCTION("""COMPUTED_VALUE"""),1926.1)</f>
        <v>1926.1</v>
      </c>
      <c r="K1076" s="1">
        <f>IFERROR(__xludf.DUMMYFUNCTION("""COMPUTED_VALUE"""),1926.1)</f>
        <v>1926.1</v>
      </c>
    </row>
    <row r="1077">
      <c r="A1077" s="1">
        <f>IFERROR(__xludf.DUMMYFUNCTION("""COMPUTED_VALUE"""),1000.0)</f>
        <v>1000</v>
      </c>
      <c r="B1077" s="1">
        <f>IFERROR(__xludf.DUMMYFUNCTION("""COMPUTED_VALUE"""),184241.0)</f>
        <v>184241</v>
      </c>
      <c r="C1077" s="1">
        <f>IFERROR(__xludf.DUMMYFUNCTION("""COMPUTED_VALUE"""),2026.0)</f>
        <v>2026</v>
      </c>
      <c r="D1077" s="1">
        <f>IFERROR(__xludf.DUMMYFUNCTION("""COMPUTED_VALUE"""),46166.0)</f>
        <v>46166</v>
      </c>
      <c r="E1077" s="1" t="str">
        <f>IFERROR(__xludf.DUMMYFUNCTION("""COMPUTED_VALUE"""),"VF")</f>
        <v>VF</v>
      </c>
      <c r="F1077" s="1">
        <f>IFERROR(__xludf.DUMMYFUNCTION("""COMPUTED_VALUE"""),1.0)</f>
        <v>1</v>
      </c>
      <c r="G1077" s="1" t="str">
        <f>IFERROR(__xludf.DUMMYFUNCTION("""COMPUTED_VALUE"""),"PR048")</f>
        <v>PR048</v>
      </c>
      <c r="H1077" s="1" t="str">
        <f>IFERROR(__xludf.DUMMYFUNCTION("""COMPUTED_VALUE"""),"VD013")</f>
        <v>VD013</v>
      </c>
      <c r="I1077" s="1">
        <f>IFERROR(__xludf.DUMMYFUNCTION("""COMPUTED_VALUE"""),10.0)</f>
        <v>10</v>
      </c>
      <c r="J1077" s="1">
        <f>IFERROR(__xludf.DUMMYFUNCTION("""COMPUTED_VALUE"""),3043.95)</f>
        <v>3043.95</v>
      </c>
      <c r="K1077" s="1">
        <f>IFERROR(__xludf.DUMMYFUNCTION("""COMPUTED_VALUE"""),3043.95)</f>
        <v>3043.95</v>
      </c>
    </row>
    <row r="1078">
      <c r="A1078" s="1">
        <f>IFERROR(__xludf.DUMMYFUNCTION("""COMPUTED_VALUE"""),1000.0)</f>
        <v>1000</v>
      </c>
      <c r="B1078" s="1">
        <f>IFERROR(__xludf.DUMMYFUNCTION("""COMPUTED_VALUE"""),184242.0)</f>
        <v>184242</v>
      </c>
      <c r="C1078" s="1">
        <f>IFERROR(__xludf.DUMMYFUNCTION("""COMPUTED_VALUE"""),2026.0)</f>
        <v>2026</v>
      </c>
      <c r="D1078" s="1">
        <f>IFERROR(__xludf.DUMMYFUNCTION("""COMPUTED_VALUE"""),46165.0)</f>
        <v>46165</v>
      </c>
      <c r="E1078" s="1" t="str">
        <f>IFERROR(__xludf.DUMMYFUNCTION("""COMPUTED_VALUE"""),"VF")</f>
        <v>VF</v>
      </c>
      <c r="F1078" s="1">
        <f>IFERROR(__xludf.DUMMYFUNCTION("""COMPUTED_VALUE"""),1.0)</f>
        <v>1</v>
      </c>
      <c r="G1078" s="1" t="str">
        <f>IFERROR(__xludf.DUMMYFUNCTION("""COMPUTED_VALUE"""),"PR056")</f>
        <v>PR056</v>
      </c>
      <c r="H1078" s="1" t="str">
        <f>IFERROR(__xludf.DUMMYFUNCTION("""COMPUTED_VALUE"""),"VD036")</f>
        <v>VD036</v>
      </c>
      <c r="I1078" s="1">
        <f>IFERROR(__xludf.DUMMYFUNCTION("""COMPUTED_VALUE"""),10.0)</f>
        <v>10</v>
      </c>
      <c r="J1078" s="1">
        <f>IFERROR(__xludf.DUMMYFUNCTION("""COMPUTED_VALUE"""),943.95)</f>
        <v>943.95</v>
      </c>
      <c r="K1078" s="1">
        <f>IFERROR(__xludf.DUMMYFUNCTION("""COMPUTED_VALUE"""),943.95)</f>
        <v>943.95</v>
      </c>
    </row>
    <row r="1079">
      <c r="A1079" s="1">
        <f>IFERROR(__xludf.DUMMYFUNCTION("""COMPUTED_VALUE"""),1000.0)</f>
        <v>1000</v>
      </c>
      <c r="B1079" s="1">
        <f>IFERROR(__xludf.DUMMYFUNCTION("""COMPUTED_VALUE"""),184243.0)</f>
        <v>184243</v>
      </c>
      <c r="C1079" s="1">
        <f>IFERROR(__xludf.DUMMYFUNCTION("""COMPUTED_VALUE"""),2026.0)</f>
        <v>2026</v>
      </c>
      <c r="D1079" s="1">
        <f>IFERROR(__xludf.DUMMYFUNCTION("""COMPUTED_VALUE"""),46165.0)</f>
        <v>46165</v>
      </c>
      <c r="E1079" s="1" t="str">
        <f>IFERROR(__xludf.DUMMYFUNCTION("""COMPUTED_VALUE"""),"VF")</f>
        <v>VF</v>
      </c>
      <c r="F1079" s="1">
        <f>IFERROR(__xludf.DUMMYFUNCTION("""COMPUTED_VALUE"""),1.0)</f>
        <v>1</v>
      </c>
      <c r="G1079" s="1" t="str">
        <f>IFERROR(__xludf.DUMMYFUNCTION("""COMPUTED_VALUE"""),"PR018")</f>
        <v>PR018</v>
      </c>
      <c r="H1079" s="1" t="str">
        <f>IFERROR(__xludf.DUMMYFUNCTION("""COMPUTED_VALUE"""),"VD011")</f>
        <v>VD011</v>
      </c>
      <c r="I1079" s="1">
        <f>IFERROR(__xludf.DUMMYFUNCTION("""COMPUTED_VALUE"""),9.0)</f>
        <v>9</v>
      </c>
      <c r="J1079" s="1">
        <f>IFERROR(__xludf.DUMMYFUNCTION("""COMPUTED_VALUE"""),319.79)</f>
        <v>319.79</v>
      </c>
      <c r="K1079" s="1">
        <f>IFERROR(__xludf.DUMMYFUNCTION("""COMPUTED_VALUE"""),319.79)</f>
        <v>319.79</v>
      </c>
    </row>
    <row r="1080">
      <c r="A1080" s="1">
        <f>IFERROR(__xludf.DUMMYFUNCTION("""COMPUTED_VALUE"""),1000.0)</f>
        <v>1000</v>
      </c>
      <c r="B1080" s="1">
        <f>IFERROR(__xludf.DUMMYFUNCTION("""COMPUTED_VALUE"""),184244.0)</f>
        <v>184244</v>
      </c>
      <c r="C1080" s="1">
        <f>IFERROR(__xludf.DUMMYFUNCTION("""COMPUTED_VALUE"""),2026.0)</f>
        <v>2026</v>
      </c>
      <c r="D1080" s="1">
        <f>IFERROR(__xludf.DUMMYFUNCTION("""COMPUTED_VALUE"""),46165.0)</f>
        <v>46165</v>
      </c>
      <c r="E1080" s="1" t="str">
        <f>IFERROR(__xludf.DUMMYFUNCTION("""COMPUTED_VALUE"""),"VF")</f>
        <v>VF</v>
      </c>
      <c r="F1080" s="1">
        <f>IFERROR(__xludf.DUMMYFUNCTION("""COMPUTED_VALUE"""),1.0)</f>
        <v>1</v>
      </c>
      <c r="G1080" s="1" t="str">
        <f>IFERROR(__xludf.DUMMYFUNCTION("""COMPUTED_VALUE"""),"PR017")</f>
        <v>PR017</v>
      </c>
      <c r="H1080" s="1" t="str">
        <f>IFERROR(__xludf.DUMMYFUNCTION("""COMPUTED_VALUE"""),"VD020")</f>
        <v>VD020</v>
      </c>
      <c r="I1080" s="1">
        <f>IFERROR(__xludf.DUMMYFUNCTION("""COMPUTED_VALUE"""),8.0)</f>
        <v>8</v>
      </c>
      <c r="J1080" s="1">
        <f>IFERROR(__xludf.DUMMYFUNCTION("""COMPUTED_VALUE"""),241.59)</f>
        <v>241.59</v>
      </c>
      <c r="K1080" s="1">
        <f>IFERROR(__xludf.DUMMYFUNCTION("""COMPUTED_VALUE"""),241.59)</f>
        <v>241.59</v>
      </c>
    </row>
    <row r="1081">
      <c r="A1081" s="1">
        <f>IFERROR(__xludf.DUMMYFUNCTION("""COMPUTED_VALUE"""),1000.0)</f>
        <v>1000</v>
      </c>
      <c r="B1081" s="1">
        <f>IFERROR(__xludf.DUMMYFUNCTION("""COMPUTED_VALUE"""),184245.0)</f>
        <v>184245</v>
      </c>
      <c r="C1081" s="1">
        <f>IFERROR(__xludf.DUMMYFUNCTION("""COMPUTED_VALUE"""),2026.0)</f>
        <v>2026</v>
      </c>
      <c r="D1081" s="1">
        <f>IFERROR(__xludf.DUMMYFUNCTION("""COMPUTED_VALUE"""),46165.0)</f>
        <v>46165</v>
      </c>
      <c r="E1081" s="1" t="str">
        <f>IFERROR(__xludf.DUMMYFUNCTION("""COMPUTED_VALUE"""),"VF")</f>
        <v>VF</v>
      </c>
      <c r="F1081" s="1">
        <f>IFERROR(__xludf.DUMMYFUNCTION("""COMPUTED_VALUE"""),1.0)</f>
        <v>1</v>
      </c>
      <c r="G1081" s="1" t="str">
        <f>IFERROR(__xludf.DUMMYFUNCTION("""COMPUTED_VALUE"""),"PR048")</f>
        <v>PR048</v>
      </c>
      <c r="H1081" s="1" t="str">
        <f>IFERROR(__xludf.DUMMYFUNCTION("""COMPUTED_VALUE"""),"VD046")</f>
        <v>VD046</v>
      </c>
      <c r="I1081" s="1">
        <f>IFERROR(__xludf.DUMMYFUNCTION("""COMPUTED_VALUE"""),10.0)</f>
        <v>10</v>
      </c>
      <c r="J1081" s="1">
        <f>IFERROR(__xludf.DUMMYFUNCTION("""COMPUTED_VALUE"""),3101.93)</f>
        <v>3101.93</v>
      </c>
      <c r="K1081" s="1">
        <f>IFERROR(__xludf.DUMMYFUNCTION("""COMPUTED_VALUE"""),3101.93)</f>
        <v>3101.93</v>
      </c>
    </row>
    <row r="1082">
      <c r="A1082" s="1">
        <f>IFERROR(__xludf.DUMMYFUNCTION("""COMPUTED_VALUE"""),1000.0)</f>
        <v>1000</v>
      </c>
      <c r="B1082" s="1">
        <f>IFERROR(__xludf.DUMMYFUNCTION("""COMPUTED_VALUE"""),184246.0)</f>
        <v>184246</v>
      </c>
      <c r="C1082" s="1">
        <f>IFERROR(__xludf.DUMMYFUNCTION("""COMPUTED_VALUE"""),2026.0)</f>
        <v>2026</v>
      </c>
      <c r="D1082" s="1">
        <f>IFERROR(__xludf.DUMMYFUNCTION("""COMPUTED_VALUE"""),46165.0)</f>
        <v>46165</v>
      </c>
      <c r="E1082" s="1" t="str">
        <f>IFERROR(__xludf.DUMMYFUNCTION("""COMPUTED_VALUE"""),"VF")</f>
        <v>VF</v>
      </c>
      <c r="F1082" s="1">
        <f>IFERROR(__xludf.DUMMYFUNCTION("""COMPUTED_VALUE"""),1.0)</f>
        <v>1</v>
      </c>
      <c r="G1082" s="1" t="str">
        <f>IFERROR(__xludf.DUMMYFUNCTION("""COMPUTED_VALUE"""),"PR014")</f>
        <v>PR014</v>
      </c>
      <c r="H1082" s="1" t="str">
        <f>IFERROR(__xludf.DUMMYFUNCTION("""COMPUTED_VALUE"""),"VD029")</f>
        <v>VD029</v>
      </c>
      <c r="I1082" s="1">
        <f>IFERROR(__xludf.DUMMYFUNCTION("""COMPUTED_VALUE"""),18.0)</f>
        <v>18</v>
      </c>
      <c r="J1082" s="1">
        <f>IFERROR(__xludf.DUMMYFUNCTION("""COMPUTED_VALUE"""),718.2)</f>
        <v>718.2</v>
      </c>
      <c r="K1082" s="1">
        <f>IFERROR(__xludf.DUMMYFUNCTION("""COMPUTED_VALUE"""),718.2)</f>
        <v>718.2</v>
      </c>
    </row>
    <row r="1083">
      <c r="A1083" s="1">
        <f>IFERROR(__xludf.DUMMYFUNCTION("""COMPUTED_VALUE"""),1000.0)</f>
        <v>1000</v>
      </c>
      <c r="B1083" s="1">
        <f>IFERROR(__xludf.DUMMYFUNCTION("""COMPUTED_VALUE"""),184247.0)</f>
        <v>184247</v>
      </c>
      <c r="C1083" s="1">
        <f>IFERROR(__xludf.DUMMYFUNCTION("""COMPUTED_VALUE"""),2026.0)</f>
        <v>2026</v>
      </c>
      <c r="D1083" s="1">
        <f>IFERROR(__xludf.DUMMYFUNCTION("""COMPUTED_VALUE"""),46165.0)</f>
        <v>46165</v>
      </c>
      <c r="E1083" s="1" t="str">
        <f>IFERROR(__xludf.DUMMYFUNCTION("""COMPUTED_VALUE"""),"VF")</f>
        <v>VF</v>
      </c>
      <c r="F1083" s="1">
        <f>IFERROR(__xludf.DUMMYFUNCTION("""COMPUTED_VALUE"""),1.0)</f>
        <v>1</v>
      </c>
      <c r="G1083" s="1" t="str">
        <f>IFERROR(__xludf.DUMMYFUNCTION("""COMPUTED_VALUE"""),"PR008")</f>
        <v>PR008</v>
      </c>
      <c r="H1083" s="1" t="str">
        <f>IFERROR(__xludf.DUMMYFUNCTION("""COMPUTED_VALUE"""),"VD020")</f>
        <v>VD020</v>
      </c>
      <c r="I1083" s="1">
        <f>IFERROR(__xludf.DUMMYFUNCTION("""COMPUTED_VALUE"""),1.0)</f>
        <v>1</v>
      </c>
      <c r="J1083" s="1">
        <f>IFERROR(__xludf.DUMMYFUNCTION("""COMPUTED_VALUE"""),90.8)</f>
        <v>90.8</v>
      </c>
      <c r="K1083" s="1">
        <f>IFERROR(__xludf.DUMMYFUNCTION("""COMPUTED_VALUE"""),90.8)</f>
        <v>90.8</v>
      </c>
    </row>
    <row r="1084">
      <c r="A1084" s="1">
        <f>IFERROR(__xludf.DUMMYFUNCTION("""COMPUTED_VALUE"""),1000.0)</f>
        <v>1000</v>
      </c>
      <c r="B1084" s="1">
        <f>IFERROR(__xludf.DUMMYFUNCTION("""COMPUTED_VALUE"""),184248.0)</f>
        <v>184248</v>
      </c>
      <c r="C1084" s="1">
        <f>IFERROR(__xludf.DUMMYFUNCTION("""COMPUTED_VALUE"""),2026.0)</f>
        <v>2026</v>
      </c>
      <c r="D1084" s="1">
        <f>IFERROR(__xludf.DUMMYFUNCTION("""COMPUTED_VALUE"""),46164.0)</f>
        <v>46164</v>
      </c>
      <c r="E1084" s="1" t="str">
        <f>IFERROR(__xludf.DUMMYFUNCTION("""COMPUTED_VALUE"""),"VF")</f>
        <v>VF</v>
      </c>
      <c r="F1084" s="1">
        <f>IFERROR(__xludf.DUMMYFUNCTION("""COMPUTED_VALUE"""),1.0)</f>
        <v>1</v>
      </c>
      <c r="G1084" s="1" t="str">
        <f>IFERROR(__xludf.DUMMYFUNCTION("""COMPUTED_VALUE"""),"PR032")</f>
        <v>PR032</v>
      </c>
      <c r="H1084" s="1" t="str">
        <f>IFERROR(__xludf.DUMMYFUNCTION("""COMPUTED_VALUE"""),"VD042")</f>
        <v>VD042</v>
      </c>
      <c r="I1084" s="1">
        <f>IFERROR(__xludf.DUMMYFUNCTION("""COMPUTED_VALUE"""),7.0)</f>
        <v>7</v>
      </c>
      <c r="J1084" s="1">
        <f>IFERROR(__xludf.DUMMYFUNCTION("""COMPUTED_VALUE"""),1872.5)</f>
        <v>1872.5</v>
      </c>
      <c r="K1084" s="1">
        <f>IFERROR(__xludf.DUMMYFUNCTION("""COMPUTED_VALUE"""),1872.5)</f>
        <v>1872.5</v>
      </c>
    </row>
    <row r="1085">
      <c r="A1085" s="1">
        <f>IFERROR(__xludf.DUMMYFUNCTION("""COMPUTED_VALUE"""),1000.0)</f>
        <v>1000</v>
      </c>
      <c r="B1085" s="1">
        <f>IFERROR(__xludf.DUMMYFUNCTION("""COMPUTED_VALUE"""),184248.0)</f>
        <v>184248</v>
      </c>
      <c r="C1085" s="1">
        <f>IFERROR(__xludf.DUMMYFUNCTION("""COMPUTED_VALUE"""),2026.0)</f>
        <v>2026</v>
      </c>
      <c r="D1085" s="1">
        <f>IFERROR(__xludf.DUMMYFUNCTION("""COMPUTED_VALUE"""),46164.0)</f>
        <v>46164</v>
      </c>
      <c r="E1085" s="1" t="str">
        <f>IFERROR(__xludf.DUMMYFUNCTION("""COMPUTED_VALUE"""),"VF")</f>
        <v>VF</v>
      </c>
      <c r="F1085" s="1">
        <f>IFERROR(__xludf.DUMMYFUNCTION("""COMPUTED_VALUE"""),2.0)</f>
        <v>2</v>
      </c>
      <c r="G1085" s="1" t="str">
        <f>IFERROR(__xludf.DUMMYFUNCTION("""COMPUTED_VALUE"""),"PR024")</f>
        <v>PR024</v>
      </c>
      <c r="H1085" s="1" t="str">
        <f>IFERROR(__xludf.DUMMYFUNCTION("""COMPUTED_VALUE"""),"VD028")</f>
        <v>VD028</v>
      </c>
      <c r="I1085" s="1">
        <f>IFERROR(__xludf.DUMMYFUNCTION("""COMPUTED_VALUE"""),20.0)</f>
        <v>20</v>
      </c>
      <c r="J1085" s="1">
        <f>IFERROR(__xludf.DUMMYFUNCTION("""COMPUTED_VALUE"""),5561.86)</f>
        <v>5561.86</v>
      </c>
      <c r="K1085" s="1">
        <f>IFERROR(__xludf.DUMMYFUNCTION("""COMPUTED_VALUE"""),5561.86)</f>
        <v>5561.86</v>
      </c>
    </row>
    <row r="1086">
      <c r="A1086" s="1">
        <f>IFERROR(__xludf.DUMMYFUNCTION("""COMPUTED_VALUE"""),1000.0)</f>
        <v>1000</v>
      </c>
      <c r="B1086" s="1">
        <f>IFERROR(__xludf.DUMMYFUNCTION("""COMPUTED_VALUE"""),184249.0)</f>
        <v>184249</v>
      </c>
      <c r="C1086" s="1">
        <f>IFERROR(__xludf.DUMMYFUNCTION("""COMPUTED_VALUE"""),2026.0)</f>
        <v>2026</v>
      </c>
      <c r="D1086" s="1">
        <f>IFERROR(__xludf.DUMMYFUNCTION("""COMPUTED_VALUE"""),46164.0)</f>
        <v>46164</v>
      </c>
      <c r="E1086" s="1" t="str">
        <f>IFERROR(__xludf.DUMMYFUNCTION("""COMPUTED_VALUE"""),"VF")</f>
        <v>VF</v>
      </c>
      <c r="F1086" s="1">
        <f>IFERROR(__xludf.DUMMYFUNCTION("""COMPUTED_VALUE"""),1.0)</f>
        <v>1</v>
      </c>
      <c r="G1086" s="1" t="str">
        <f>IFERROR(__xludf.DUMMYFUNCTION("""COMPUTED_VALUE"""),"PR047")</f>
        <v>PR047</v>
      </c>
      <c r="H1086" s="1" t="str">
        <f>IFERROR(__xludf.DUMMYFUNCTION("""COMPUTED_VALUE"""),"VD020")</f>
        <v>VD020</v>
      </c>
      <c r="I1086" s="1">
        <f>IFERROR(__xludf.DUMMYFUNCTION("""COMPUTED_VALUE"""),12.0)</f>
        <v>12</v>
      </c>
      <c r="J1086" s="1">
        <f>IFERROR(__xludf.DUMMYFUNCTION("""COMPUTED_VALUE"""),3722.32)</f>
        <v>3722.32</v>
      </c>
      <c r="K1086" s="1">
        <f>IFERROR(__xludf.DUMMYFUNCTION("""COMPUTED_VALUE"""),3722.32)</f>
        <v>3722.32</v>
      </c>
    </row>
    <row r="1087">
      <c r="A1087" s="1">
        <f>IFERROR(__xludf.DUMMYFUNCTION("""COMPUTED_VALUE"""),1000.0)</f>
        <v>1000</v>
      </c>
      <c r="B1087" s="1">
        <f>IFERROR(__xludf.DUMMYFUNCTION("""COMPUTED_VALUE"""),184250.0)</f>
        <v>184250</v>
      </c>
      <c r="C1087" s="1">
        <f>IFERROR(__xludf.DUMMYFUNCTION("""COMPUTED_VALUE"""),2026.0)</f>
        <v>2026</v>
      </c>
      <c r="D1087" s="1">
        <f>IFERROR(__xludf.DUMMYFUNCTION("""COMPUTED_VALUE"""),46163.0)</f>
        <v>46163</v>
      </c>
      <c r="E1087" s="1" t="str">
        <f>IFERROR(__xludf.DUMMYFUNCTION("""COMPUTED_VALUE"""),"VF")</f>
        <v>VF</v>
      </c>
      <c r="F1087" s="1">
        <f>IFERROR(__xludf.DUMMYFUNCTION("""COMPUTED_VALUE"""),1.0)</f>
        <v>1</v>
      </c>
      <c r="G1087" s="1" t="str">
        <f>IFERROR(__xludf.DUMMYFUNCTION("""COMPUTED_VALUE"""),"PR033")</f>
        <v>PR033</v>
      </c>
      <c r="H1087" s="1" t="str">
        <f>IFERROR(__xludf.DUMMYFUNCTION("""COMPUTED_VALUE"""),"VD031")</f>
        <v>VD031</v>
      </c>
      <c r="I1087" s="1">
        <f>IFERROR(__xludf.DUMMYFUNCTION("""COMPUTED_VALUE"""),4.0)</f>
        <v>4</v>
      </c>
      <c r="J1087" s="1">
        <f>IFERROR(__xludf.DUMMYFUNCTION("""COMPUTED_VALUE"""),1091.58)</f>
        <v>1091.58</v>
      </c>
      <c r="K1087" s="1">
        <f>IFERROR(__xludf.DUMMYFUNCTION("""COMPUTED_VALUE"""),1091.58)</f>
        <v>1091.58</v>
      </c>
    </row>
    <row r="1088">
      <c r="A1088" s="1">
        <f>IFERROR(__xludf.DUMMYFUNCTION("""COMPUTED_VALUE"""),1000.0)</f>
        <v>1000</v>
      </c>
      <c r="B1088" s="1">
        <f>IFERROR(__xludf.DUMMYFUNCTION("""COMPUTED_VALUE"""),184250.0)</f>
        <v>184250</v>
      </c>
      <c r="C1088" s="1">
        <f>IFERROR(__xludf.DUMMYFUNCTION("""COMPUTED_VALUE"""),2026.0)</f>
        <v>2026</v>
      </c>
      <c r="D1088" s="1">
        <f>IFERROR(__xludf.DUMMYFUNCTION("""COMPUTED_VALUE"""),46163.0)</f>
        <v>46163</v>
      </c>
      <c r="E1088" s="1" t="str">
        <f>IFERROR(__xludf.DUMMYFUNCTION("""COMPUTED_VALUE"""),"VF")</f>
        <v>VF</v>
      </c>
      <c r="F1088" s="1">
        <f>IFERROR(__xludf.DUMMYFUNCTION("""COMPUTED_VALUE"""),2.0)</f>
        <v>2</v>
      </c>
      <c r="G1088" s="1" t="str">
        <f>IFERROR(__xludf.DUMMYFUNCTION("""COMPUTED_VALUE"""),"PR017")</f>
        <v>PR017</v>
      </c>
      <c r="H1088" s="1" t="str">
        <f>IFERROR(__xludf.DUMMYFUNCTION("""COMPUTED_VALUE"""),"VD024")</f>
        <v>VD024</v>
      </c>
      <c r="I1088" s="1">
        <f>IFERROR(__xludf.DUMMYFUNCTION("""COMPUTED_VALUE"""),2.0)</f>
        <v>2</v>
      </c>
      <c r="J1088" s="1">
        <f>IFERROR(__xludf.DUMMYFUNCTION("""COMPUTED_VALUE"""),65.18)</f>
        <v>65.18</v>
      </c>
      <c r="K1088" s="1">
        <f>IFERROR(__xludf.DUMMYFUNCTION("""COMPUTED_VALUE"""),65.18)</f>
        <v>65.18</v>
      </c>
    </row>
    <row r="1089">
      <c r="A1089" s="1">
        <f>IFERROR(__xludf.DUMMYFUNCTION("""COMPUTED_VALUE"""),1000.0)</f>
        <v>1000</v>
      </c>
      <c r="B1089" s="1">
        <f>IFERROR(__xludf.DUMMYFUNCTION("""COMPUTED_VALUE"""),184251.0)</f>
        <v>184251</v>
      </c>
      <c r="C1089" s="1">
        <f>IFERROR(__xludf.DUMMYFUNCTION("""COMPUTED_VALUE"""),2026.0)</f>
        <v>2026</v>
      </c>
      <c r="D1089" s="1">
        <f>IFERROR(__xludf.DUMMYFUNCTION("""COMPUTED_VALUE"""),46163.0)</f>
        <v>46163</v>
      </c>
      <c r="E1089" s="1" t="str">
        <f>IFERROR(__xludf.DUMMYFUNCTION("""COMPUTED_VALUE"""),"VF")</f>
        <v>VF</v>
      </c>
      <c r="F1089" s="1">
        <f>IFERROR(__xludf.DUMMYFUNCTION("""COMPUTED_VALUE"""),1.0)</f>
        <v>1</v>
      </c>
      <c r="G1089" s="1" t="str">
        <f>IFERROR(__xludf.DUMMYFUNCTION("""COMPUTED_VALUE"""),"PR022")</f>
        <v>PR022</v>
      </c>
      <c r="H1089" s="1" t="str">
        <f>IFERROR(__xludf.DUMMYFUNCTION("""COMPUTED_VALUE"""),"VD029")</f>
        <v>VD029</v>
      </c>
      <c r="I1089" s="1">
        <f>IFERROR(__xludf.DUMMYFUNCTION("""COMPUTED_VALUE"""),18.0)</f>
        <v>18</v>
      </c>
      <c r="J1089" s="1">
        <f>IFERROR(__xludf.DUMMYFUNCTION("""COMPUTED_VALUE"""),5832.0)</f>
        <v>5832</v>
      </c>
      <c r="K1089" s="1">
        <f>IFERROR(__xludf.DUMMYFUNCTION("""COMPUTED_VALUE"""),5832.0)</f>
        <v>5832</v>
      </c>
    </row>
    <row r="1090">
      <c r="A1090" s="1">
        <f>IFERROR(__xludf.DUMMYFUNCTION("""COMPUTED_VALUE"""),1000.0)</f>
        <v>1000</v>
      </c>
      <c r="B1090" s="1">
        <f>IFERROR(__xludf.DUMMYFUNCTION("""COMPUTED_VALUE"""),184252.0)</f>
        <v>184252</v>
      </c>
      <c r="C1090" s="1">
        <f>IFERROR(__xludf.DUMMYFUNCTION("""COMPUTED_VALUE"""),2026.0)</f>
        <v>2026</v>
      </c>
      <c r="D1090" s="1">
        <f>IFERROR(__xludf.DUMMYFUNCTION("""COMPUTED_VALUE"""),46163.0)</f>
        <v>46163</v>
      </c>
      <c r="E1090" s="1" t="str">
        <f>IFERROR(__xludf.DUMMYFUNCTION("""COMPUTED_VALUE"""),"VF")</f>
        <v>VF</v>
      </c>
      <c r="F1090" s="1">
        <f>IFERROR(__xludf.DUMMYFUNCTION("""COMPUTED_VALUE"""),1.0)</f>
        <v>1</v>
      </c>
      <c r="G1090" s="1" t="str">
        <f>IFERROR(__xludf.DUMMYFUNCTION("""COMPUTED_VALUE"""),"PR022")</f>
        <v>PR022</v>
      </c>
      <c r="H1090" s="1" t="str">
        <f>IFERROR(__xludf.DUMMYFUNCTION("""COMPUTED_VALUE"""),"VD011")</f>
        <v>VD011</v>
      </c>
      <c r="I1090" s="1">
        <f>IFERROR(__xludf.DUMMYFUNCTION("""COMPUTED_VALUE"""),2.0)</f>
        <v>2</v>
      </c>
      <c r="J1090" s="1">
        <f>IFERROR(__xludf.DUMMYFUNCTION("""COMPUTED_VALUE"""),624.0)</f>
        <v>624</v>
      </c>
      <c r="K1090" s="1">
        <f>IFERROR(__xludf.DUMMYFUNCTION("""COMPUTED_VALUE"""),624.0)</f>
        <v>624</v>
      </c>
    </row>
    <row r="1091">
      <c r="A1091" s="1">
        <f>IFERROR(__xludf.DUMMYFUNCTION("""COMPUTED_VALUE"""),1000.0)</f>
        <v>1000</v>
      </c>
      <c r="B1091" s="1">
        <f>IFERROR(__xludf.DUMMYFUNCTION("""COMPUTED_VALUE"""),184252.0)</f>
        <v>184252</v>
      </c>
      <c r="C1091" s="1">
        <f>IFERROR(__xludf.DUMMYFUNCTION("""COMPUTED_VALUE"""),2026.0)</f>
        <v>2026</v>
      </c>
      <c r="D1091" s="1">
        <f>IFERROR(__xludf.DUMMYFUNCTION("""COMPUTED_VALUE"""),46162.0)</f>
        <v>46162</v>
      </c>
      <c r="E1091" s="1" t="str">
        <f>IFERROR(__xludf.DUMMYFUNCTION("""COMPUTED_VALUE"""),"VF")</f>
        <v>VF</v>
      </c>
      <c r="F1091" s="1">
        <f>IFERROR(__xludf.DUMMYFUNCTION("""COMPUTED_VALUE"""),2.0)</f>
        <v>2</v>
      </c>
      <c r="G1091" s="1" t="str">
        <f>IFERROR(__xludf.DUMMYFUNCTION("""COMPUTED_VALUE"""),"PR038")</f>
        <v>PR038</v>
      </c>
      <c r="H1091" s="1" t="str">
        <f>IFERROR(__xludf.DUMMYFUNCTION("""COMPUTED_VALUE"""),"VD032")</f>
        <v>VD032</v>
      </c>
      <c r="I1091" s="1">
        <f>IFERROR(__xludf.DUMMYFUNCTION("""COMPUTED_VALUE"""),8.0)</f>
        <v>8</v>
      </c>
      <c r="J1091" s="1">
        <f>IFERROR(__xludf.DUMMYFUNCTION("""COMPUTED_VALUE"""),1188.93)</f>
        <v>1188.93</v>
      </c>
      <c r="K1091" s="1">
        <f>IFERROR(__xludf.DUMMYFUNCTION("""COMPUTED_VALUE"""),1188.93)</f>
        <v>1188.93</v>
      </c>
    </row>
    <row r="1092">
      <c r="A1092" s="1">
        <f>IFERROR(__xludf.DUMMYFUNCTION("""COMPUTED_VALUE"""),1000.0)</f>
        <v>1000</v>
      </c>
      <c r="B1092" s="1">
        <f>IFERROR(__xludf.DUMMYFUNCTION("""COMPUTED_VALUE"""),184253.0)</f>
        <v>184253</v>
      </c>
      <c r="C1092" s="1">
        <f>IFERROR(__xludf.DUMMYFUNCTION("""COMPUTED_VALUE"""),2026.0)</f>
        <v>2026</v>
      </c>
      <c r="D1092" s="1">
        <f>IFERROR(__xludf.DUMMYFUNCTION("""COMPUTED_VALUE"""),46162.0)</f>
        <v>46162</v>
      </c>
      <c r="E1092" s="1" t="str">
        <f>IFERROR(__xludf.DUMMYFUNCTION("""COMPUTED_VALUE"""),"VF")</f>
        <v>VF</v>
      </c>
      <c r="F1092" s="1">
        <f>IFERROR(__xludf.DUMMYFUNCTION("""COMPUTED_VALUE"""),1.0)</f>
        <v>1</v>
      </c>
      <c r="G1092" s="1" t="str">
        <f>IFERROR(__xludf.DUMMYFUNCTION("""COMPUTED_VALUE"""),"PR060")</f>
        <v>PR060</v>
      </c>
      <c r="H1092" s="1" t="str">
        <f>IFERROR(__xludf.DUMMYFUNCTION("""COMPUTED_VALUE"""),"VD047")</f>
        <v>VD047</v>
      </c>
      <c r="I1092" s="1">
        <f>IFERROR(__xludf.DUMMYFUNCTION("""COMPUTED_VALUE"""),16.0)</f>
        <v>16</v>
      </c>
      <c r="J1092" s="1">
        <f>IFERROR(__xludf.DUMMYFUNCTION("""COMPUTED_VALUE"""),3139.2)</f>
        <v>3139.2</v>
      </c>
      <c r="K1092" s="1">
        <f>IFERROR(__xludf.DUMMYFUNCTION("""COMPUTED_VALUE"""),3139.2)</f>
        <v>3139.2</v>
      </c>
    </row>
    <row r="1093">
      <c r="A1093" s="1">
        <f>IFERROR(__xludf.DUMMYFUNCTION("""COMPUTED_VALUE"""),1000.0)</f>
        <v>1000</v>
      </c>
      <c r="B1093" s="1">
        <f>IFERROR(__xludf.DUMMYFUNCTION("""COMPUTED_VALUE"""),184254.0)</f>
        <v>184254</v>
      </c>
      <c r="C1093" s="1">
        <f>IFERROR(__xludf.DUMMYFUNCTION("""COMPUTED_VALUE"""),2026.0)</f>
        <v>2026</v>
      </c>
      <c r="D1093" s="1">
        <f>IFERROR(__xludf.DUMMYFUNCTION("""COMPUTED_VALUE"""),46162.0)</f>
        <v>46162</v>
      </c>
      <c r="E1093" s="1" t="str">
        <f>IFERROR(__xludf.DUMMYFUNCTION("""COMPUTED_VALUE"""),"VF")</f>
        <v>VF</v>
      </c>
      <c r="F1093" s="1">
        <f>IFERROR(__xludf.DUMMYFUNCTION("""COMPUTED_VALUE"""),1.0)</f>
        <v>1</v>
      </c>
      <c r="G1093" s="1" t="str">
        <f>IFERROR(__xludf.DUMMYFUNCTION("""COMPUTED_VALUE"""),"PR049")</f>
        <v>PR049</v>
      </c>
      <c r="H1093" s="1" t="str">
        <f>IFERROR(__xludf.DUMMYFUNCTION("""COMPUTED_VALUE"""),"VD035")</f>
        <v>VD035</v>
      </c>
      <c r="I1093" s="1">
        <f>IFERROR(__xludf.DUMMYFUNCTION("""COMPUTED_VALUE"""),3.0)</f>
        <v>3</v>
      </c>
      <c r="J1093" s="1">
        <f>IFERROR(__xludf.DUMMYFUNCTION("""COMPUTED_VALUE"""),102.65)</f>
        <v>102.65</v>
      </c>
      <c r="K1093" s="1">
        <f>IFERROR(__xludf.DUMMYFUNCTION("""COMPUTED_VALUE"""),102.65)</f>
        <v>102.65</v>
      </c>
    </row>
    <row r="1094">
      <c r="A1094" s="1">
        <f>IFERROR(__xludf.DUMMYFUNCTION("""COMPUTED_VALUE"""),1000.0)</f>
        <v>1000</v>
      </c>
      <c r="B1094" s="1">
        <f>IFERROR(__xludf.DUMMYFUNCTION("""COMPUTED_VALUE"""),184255.0)</f>
        <v>184255</v>
      </c>
      <c r="C1094" s="1">
        <f>IFERROR(__xludf.DUMMYFUNCTION("""COMPUTED_VALUE"""),2026.0)</f>
        <v>2026</v>
      </c>
      <c r="D1094" s="1">
        <f>IFERROR(__xludf.DUMMYFUNCTION("""COMPUTED_VALUE"""),46162.0)</f>
        <v>46162</v>
      </c>
      <c r="E1094" s="1" t="str">
        <f>IFERROR(__xludf.DUMMYFUNCTION("""COMPUTED_VALUE"""),"VF")</f>
        <v>VF</v>
      </c>
      <c r="F1094" s="1">
        <f>IFERROR(__xludf.DUMMYFUNCTION("""COMPUTED_VALUE"""),1.0)</f>
        <v>1</v>
      </c>
      <c r="G1094" s="1" t="str">
        <f>IFERROR(__xludf.DUMMYFUNCTION("""COMPUTED_VALUE"""),"PR035")</f>
        <v>PR035</v>
      </c>
      <c r="H1094" s="1" t="str">
        <f>IFERROR(__xludf.DUMMYFUNCTION("""COMPUTED_VALUE"""),"VD045")</f>
        <v>VD045</v>
      </c>
      <c r="I1094" s="1">
        <f>IFERROR(__xludf.DUMMYFUNCTION("""COMPUTED_VALUE"""),5.0)</f>
        <v>5</v>
      </c>
      <c r="J1094" s="1">
        <f>IFERROR(__xludf.DUMMYFUNCTION("""COMPUTED_VALUE"""),466.14)</f>
        <v>466.14</v>
      </c>
      <c r="K1094" s="1">
        <f>IFERROR(__xludf.DUMMYFUNCTION("""COMPUTED_VALUE"""),466.14)</f>
        <v>466.14</v>
      </c>
    </row>
    <row r="1095">
      <c r="A1095" s="1">
        <f>IFERROR(__xludf.DUMMYFUNCTION("""COMPUTED_VALUE"""),1000.0)</f>
        <v>1000</v>
      </c>
      <c r="B1095" s="1">
        <f>IFERROR(__xludf.DUMMYFUNCTION("""COMPUTED_VALUE"""),184256.0)</f>
        <v>184256</v>
      </c>
      <c r="C1095" s="1">
        <f>IFERROR(__xludf.DUMMYFUNCTION("""COMPUTED_VALUE"""),2026.0)</f>
        <v>2026</v>
      </c>
      <c r="D1095" s="1">
        <f>IFERROR(__xludf.DUMMYFUNCTION("""COMPUTED_VALUE"""),46161.0)</f>
        <v>46161</v>
      </c>
      <c r="E1095" s="1" t="str">
        <f>IFERROR(__xludf.DUMMYFUNCTION("""COMPUTED_VALUE"""),"VF")</f>
        <v>VF</v>
      </c>
      <c r="F1095" s="1">
        <f>IFERROR(__xludf.DUMMYFUNCTION("""COMPUTED_VALUE"""),1.0)</f>
        <v>1</v>
      </c>
      <c r="G1095" s="1" t="str">
        <f>IFERROR(__xludf.DUMMYFUNCTION("""COMPUTED_VALUE"""),"PR017")</f>
        <v>PR017</v>
      </c>
      <c r="H1095" s="1" t="str">
        <f>IFERROR(__xludf.DUMMYFUNCTION("""COMPUTED_VALUE"""),"VD032")</f>
        <v>VD032</v>
      </c>
      <c r="I1095" s="1">
        <f>IFERROR(__xludf.DUMMYFUNCTION("""COMPUTED_VALUE"""),18.0)</f>
        <v>18</v>
      </c>
      <c r="J1095" s="1">
        <f>IFERROR(__xludf.DUMMYFUNCTION("""COMPUTED_VALUE"""),559.73)</f>
        <v>559.73</v>
      </c>
      <c r="K1095" s="1">
        <f>IFERROR(__xludf.DUMMYFUNCTION("""COMPUTED_VALUE"""),559.73)</f>
        <v>559.73</v>
      </c>
    </row>
    <row r="1096">
      <c r="A1096" s="1">
        <f>IFERROR(__xludf.DUMMYFUNCTION("""COMPUTED_VALUE"""),1000.0)</f>
        <v>1000</v>
      </c>
      <c r="B1096" s="1">
        <f>IFERROR(__xludf.DUMMYFUNCTION("""COMPUTED_VALUE"""),184257.0)</f>
        <v>184257</v>
      </c>
      <c r="C1096" s="1">
        <f>IFERROR(__xludf.DUMMYFUNCTION("""COMPUTED_VALUE"""),2026.0)</f>
        <v>2026</v>
      </c>
      <c r="D1096" s="1">
        <f>IFERROR(__xludf.DUMMYFUNCTION("""COMPUTED_VALUE"""),46161.0)</f>
        <v>46161</v>
      </c>
      <c r="E1096" s="1" t="str">
        <f>IFERROR(__xludf.DUMMYFUNCTION("""COMPUTED_VALUE"""),"VF")</f>
        <v>VF</v>
      </c>
      <c r="F1096" s="1">
        <f>IFERROR(__xludf.DUMMYFUNCTION("""COMPUTED_VALUE"""),1.0)</f>
        <v>1</v>
      </c>
      <c r="G1096" s="1" t="str">
        <f>IFERROR(__xludf.DUMMYFUNCTION("""COMPUTED_VALUE"""),"PR060")</f>
        <v>PR060</v>
      </c>
      <c r="H1096" s="1" t="str">
        <f>IFERROR(__xludf.DUMMYFUNCTION("""COMPUTED_VALUE"""),"VD020")</f>
        <v>VD020</v>
      </c>
      <c r="I1096" s="1">
        <f>IFERROR(__xludf.DUMMYFUNCTION("""COMPUTED_VALUE"""),9.0)</f>
        <v>9</v>
      </c>
      <c r="J1096" s="1">
        <f>IFERROR(__xludf.DUMMYFUNCTION("""COMPUTED_VALUE"""),1684.8)</f>
        <v>1684.8</v>
      </c>
      <c r="K1096" s="1">
        <f>IFERROR(__xludf.DUMMYFUNCTION("""COMPUTED_VALUE"""),1684.8)</f>
        <v>1684.8</v>
      </c>
    </row>
    <row r="1097">
      <c r="A1097" s="1">
        <f>IFERROR(__xludf.DUMMYFUNCTION("""COMPUTED_VALUE"""),2000.0)</f>
        <v>2000</v>
      </c>
      <c r="B1097" s="1">
        <f>IFERROR(__xludf.DUMMYFUNCTION("""COMPUTED_VALUE"""),184258.0)</f>
        <v>184258</v>
      </c>
      <c r="C1097" s="1">
        <f>IFERROR(__xludf.DUMMYFUNCTION("""COMPUTED_VALUE"""),2026.0)</f>
        <v>2026</v>
      </c>
      <c r="D1097" s="1">
        <f>IFERROR(__xludf.DUMMYFUNCTION("""COMPUTED_VALUE"""),46160.0)</f>
        <v>46160</v>
      </c>
      <c r="E1097" s="1" t="str">
        <f>IFERROR(__xludf.DUMMYFUNCTION("""COMPUTED_VALUE"""),"VF")</f>
        <v>VF</v>
      </c>
      <c r="F1097" s="1">
        <f>IFERROR(__xludf.DUMMYFUNCTION("""COMPUTED_VALUE"""),1.0)</f>
        <v>1</v>
      </c>
      <c r="G1097" s="1" t="str">
        <f>IFERROR(__xludf.DUMMYFUNCTION("""COMPUTED_VALUE"""),"PR036")</f>
        <v>PR036</v>
      </c>
      <c r="H1097" s="1" t="str">
        <f>IFERROR(__xludf.DUMMYFUNCTION("""COMPUTED_VALUE"""),"VD046")</f>
        <v>VD046</v>
      </c>
      <c r="I1097" s="1">
        <f>IFERROR(__xludf.DUMMYFUNCTION("""COMPUTED_VALUE"""),10.0)</f>
        <v>10</v>
      </c>
      <c r="J1097" s="1">
        <f>IFERROR(__xludf.DUMMYFUNCTION("""COMPUTED_VALUE"""),1028.5)</f>
        <v>1028.5</v>
      </c>
      <c r="K1097" s="1">
        <f>IFERROR(__xludf.DUMMYFUNCTION("""COMPUTED_VALUE"""),1028.5)</f>
        <v>1028.5</v>
      </c>
    </row>
    <row r="1098">
      <c r="A1098" s="1">
        <f>IFERROR(__xludf.DUMMYFUNCTION("""COMPUTED_VALUE"""),1000.0)</f>
        <v>1000</v>
      </c>
      <c r="B1098" s="1">
        <f>IFERROR(__xludf.DUMMYFUNCTION("""COMPUTED_VALUE"""),184258.0)</f>
        <v>184258</v>
      </c>
      <c r="C1098" s="1">
        <f>IFERROR(__xludf.DUMMYFUNCTION("""COMPUTED_VALUE"""),2026.0)</f>
        <v>2026</v>
      </c>
      <c r="D1098" s="1">
        <f>IFERROR(__xludf.DUMMYFUNCTION("""COMPUTED_VALUE"""),46160.0)</f>
        <v>46160</v>
      </c>
      <c r="E1098" s="1" t="str">
        <f>IFERROR(__xludf.DUMMYFUNCTION("""COMPUTED_VALUE"""),"VF")</f>
        <v>VF</v>
      </c>
      <c r="F1098" s="1">
        <f>IFERROR(__xludf.DUMMYFUNCTION("""COMPUTED_VALUE"""),2.0)</f>
        <v>2</v>
      </c>
      <c r="G1098" s="1" t="str">
        <f>IFERROR(__xludf.DUMMYFUNCTION("""COMPUTED_VALUE"""),"PR043")</f>
        <v>PR043</v>
      </c>
      <c r="H1098" s="1" t="str">
        <f>IFERROR(__xludf.DUMMYFUNCTION("""COMPUTED_VALUE"""),"VD022")</f>
        <v>VD022</v>
      </c>
      <c r="I1098" s="1">
        <f>IFERROR(__xludf.DUMMYFUNCTION("""COMPUTED_VALUE"""),2.0)</f>
        <v>2</v>
      </c>
      <c r="J1098" s="1">
        <f>IFERROR(__xludf.DUMMYFUNCTION("""COMPUTED_VALUE"""),153.7)</f>
        <v>153.7</v>
      </c>
      <c r="K1098" s="1">
        <f>IFERROR(__xludf.DUMMYFUNCTION("""COMPUTED_VALUE"""),153.7)</f>
        <v>153.7</v>
      </c>
    </row>
    <row r="1099">
      <c r="A1099" s="1">
        <f>IFERROR(__xludf.DUMMYFUNCTION("""COMPUTED_VALUE"""),1000.0)</f>
        <v>1000</v>
      </c>
      <c r="B1099" s="1">
        <f>IFERROR(__xludf.DUMMYFUNCTION("""COMPUTED_VALUE"""),184259.0)</f>
        <v>184259</v>
      </c>
      <c r="C1099" s="1">
        <f>IFERROR(__xludf.DUMMYFUNCTION("""COMPUTED_VALUE"""),2026.0)</f>
        <v>2026</v>
      </c>
      <c r="D1099" s="1">
        <f>IFERROR(__xludf.DUMMYFUNCTION("""COMPUTED_VALUE"""),46160.0)</f>
        <v>46160</v>
      </c>
      <c r="E1099" s="1" t="str">
        <f>IFERROR(__xludf.DUMMYFUNCTION("""COMPUTED_VALUE"""),"VF")</f>
        <v>VF</v>
      </c>
      <c r="F1099" s="1">
        <f>IFERROR(__xludf.DUMMYFUNCTION("""COMPUTED_VALUE"""),1.0)</f>
        <v>1</v>
      </c>
      <c r="G1099" s="1" t="str">
        <f>IFERROR(__xludf.DUMMYFUNCTION("""COMPUTED_VALUE"""),"PR007")</f>
        <v>PR007</v>
      </c>
      <c r="H1099" s="1" t="str">
        <f>IFERROR(__xludf.DUMMYFUNCTION("""COMPUTED_VALUE"""),"VD041")</f>
        <v>VD041</v>
      </c>
      <c r="I1099" s="1">
        <f>IFERROR(__xludf.DUMMYFUNCTION("""COMPUTED_VALUE"""),2.0)</f>
        <v>2</v>
      </c>
      <c r="J1099" s="1">
        <f>IFERROR(__xludf.DUMMYFUNCTION("""COMPUTED_VALUE"""),187.26)</f>
        <v>187.26</v>
      </c>
      <c r="K1099" s="1">
        <f>IFERROR(__xludf.DUMMYFUNCTION("""COMPUTED_VALUE"""),187.26)</f>
        <v>187.26</v>
      </c>
    </row>
    <row r="1100">
      <c r="A1100" s="1">
        <f>IFERROR(__xludf.DUMMYFUNCTION("""COMPUTED_VALUE"""),1000.0)</f>
        <v>1000</v>
      </c>
      <c r="B1100" s="1">
        <f>IFERROR(__xludf.DUMMYFUNCTION("""COMPUTED_VALUE"""),184260.0)</f>
        <v>184260</v>
      </c>
      <c r="C1100" s="1">
        <f>IFERROR(__xludf.DUMMYFUNCTION("""COMPUTED_VALUE"""),2026.0)</f>
        <v>2026</v>
      </c>
      <c r="D1100" s="1">
        <f>IFERROR(__xludf.DUMMYFUNCTION("""COMPUTED_VALUE"""),46160.0)</f>
        <v>46160</v>
      </c>
      <c r="E1100" s="1" t="str">
        <f>IFERROR(__xludf.DUMMYFUNCTION("""COMPUTED_VALUE"""),"VF")</f>
        <v>VF</v>
      </c>
      <c r="F1100" s="1">
        <f>IFERROR(__xludf.DUMMYFUNCTION("""COMPUTED_VALUE"""),1.0)</f>
        <v>1</v>
      </c>
      <c r="G1100" s="1" t="str">
        <f>IFERROR(__xludf.DUMMYFUNCTION("""COMPUTED_VALUE"""),"PR037")</f>
        <v>PR037</v>
      </c>
      <c r="H1100" s="1" t="str">
        <f>IFERROR(__xludf.DUMMYFUNCTION("""COMPUTED_VALUE"""),"VD043")</f>
        <v>VD043</v>
      </c>
      <c r="I1100" s="1">
        <f>IFERROR(__xludf.DUMMYFUNCTION("""COMPUTED_VALUE"""),9.0)</f>
        <v>9</v>
      </c>
      <c r="J1100" s="1">
        <f>IFERROR(__xludf.DUMMYFUNCTION("""COMPUTED_VALUE"""),1297.8)</f>
        <v>1297.8</v>
      </c>
      <c r="K1100" s="1">
        <f>IFERROR(__xludf.DUMMYFUNCTION("""COMPUTED_VALUE"""),1297.8)</f>
        <v>1297.8</v>
      </c>
    </row>
    <row r="1101">
      <c r="A1101" s="1">
        <f>IFERROR(__xludf.DUMMYFUNCTION("""COMPUTED_VALUE"""),1000.0)</f>
        <v>1000</v>
      </c>
      <c r="B1101" s="1">
        <f>IFERROR(__xludf.DUMMYFUNCTION("""COMPUTED_VALUE"""),184261.0)</f>
        <v>184261</v>
      </c>
      <c r="C1101" s="1">
        <f>IFERROR(__xludf.DUMMYFUNCTION("""COMPUTED_VALUE"""),2026.0)</f>
        <v>2026</v>
      </c>
      <c r="D1101" s="1">
        <f>IFERROR(__xludf.DUMMYFUNCTION("""COMPUTED_VALUE"""),46160.0)</f>
        <v>46160</v>
      </c>
      <c r="E1101" s="1" t="str">
        <f>IFERROR(__xludf.DUMMYFUNCTION("""COMPUTED_VALUE"""),"VF")</f>
        <v>VF</v>
      </c>
      <c r="F1101" s="1">
        <f>IFERROR(__xludf.DUMMYFUNCTION("""COMPUTED_VALUE"""),1.0)</f>
        <v>1</v>
      </c>
      <c r="G1101" s="1" t="str">
        <f>IFERROR(__xludf.DUMMYFUNCTION("""COMPUTED_VALUE"""),"PR030")</f>
        <v>PR030</v>
      </c>
      <c r="H1101" s="1" t="str">
        <f>IFERROR(__xludf.DUMMYFUNCTION("""COMPUTED_VALUE"""),"VD010")</f>
        <v>VD010</v>
      </c>
      <c r="I1101" s="1">
        <f>IFERROR(__xludf.DUMMYFUNCTION("""COMPUTED_VALUE"""),18.0)</f>
        <v>18</v>
      </c>
      <c r="J1101" s="1">
        <f>IFERROR(__xludf.DUMMYFUNCTION("""COMPUTED_VALUE"""),5146.02)</f>
        <v>5146.02</v>
      </c>
      <c r="K1101" s="1">
        <f>IFERROR(__xludf.DUMMYFUNCTION("""COMPUTED_VALUE"""),5146.02)</f>
        <v>5146.02</v>
      </c>
    </row>
    <row r="1102">
      <c r="A1102" s="1">
        <f>IFERROR(__xludf.DUMMYFUNCTION("""COMPUTED_VALUE"""),2000.0)</f>
        <v>2000</v>
      </c>
      <c r="B1102" s="1">
        <f>IFERROR(__xludf.DUMMYFUNCTION("""COMPUTED_VALUE"""),184262.0)</f>
        <v>184262</v>
      </c>
      <c r="C1102" s="1">
        <f>IFERROR(__xludf.DUMMYFUNCTION("""COMPUTED_VALUE"""),2026.0)</f>
        <v>2026</v>
      </c>
      <c r="D1102" s="1">
        <f>IFERROR(__xludf.DUMMYFUNCTION("""COMPUTED_VALUE"""),46160.0)</f>
        <v>46160</v>
      </c>
      <c r="E1102" s="1" t="str">
        <f>IFERROR(__xludf.DUMMYFUNCTION("""COMPUTED_VALUE"""),"VF")</f>
        <v>VF</v>
      </c>
      <c r="F1102" s="1">
        <f>IFERROR(__xludf.DUMMYFUNCTION("""COMPUTED_VALUE"""),1.0)</f>
        <v>1</v>
      </c>
      <c r="G1102" s="1" t="str">
        <f>IFERROR(__xludf.DUMMYFUNCTION("""COMPUTED_VALUE"""),"PR049")</f>
        <v>PR049</v>
      </c>
      <c r="H1102" s="1" t="str">
        <f>IFERROR(__xludf.DUMMYFUNCTION("""COMPUTED_VALUE"""),"VD049")</f>
        <v>VD049</v>
      </c>
      <c r="I1102" s="1">
        <f>IFERROR(__xludf.DUMMYFUNCTION("""COMPUTED_VALUE"""),4.0)</f>
        <v>4</v>
      </c>
      <c r="J1102" s="1">
        <f>IFERROR(__xludf.DUMMYFUNCTION("""COMPUTED_VALUE"""),142.13)</f>
        <v>142.13</v>
      </c>
      <c r="K1102" s="1">
        <f>IFERROR(__xludf.DUMMYFUNCTION("""COMPUTED_VALUE"""),142.13)</f>
        <v>142.13</v>
      </c>
    </row>
    <row r="1103">
      <c r="A1103" s="1">
        <f>IFERROR(__xludf.DUMMYFUNCTION("""COMPUTED_VALUE"""),1000.0)</f>
        <v>1000</v>
      </c>
      <c r="B1103" s="1">
        <f>IFERROR(__xludf.DUMMYFUNCTION("""COMPUTED_VALUE"""),184262.0)</f>
        <v>184262</v>
      </c>
      <c r="C1103" s="1">
        <f>IFERROR(__xludf.DUMMYFUNCTION("""COMPUTED_VALUE"""),2026.0)</f>
        <v>2026</v>
      </c>
      <c r="D1103" s="1">
        <f>IFERROR(__xludf.DUMMYFUNCTION("""COMPUTED_VALUE"""),46160.0)</f>
        <v>46160</v>
      </c>
      <c r="E1103" s="1" t="str">
        <f>IFERROR(__xludf.DUMMYFUNCTION("""COMPUTED_VALUE"""),"VF")</f>
        <v>VF</v>
      </c>
      <c r="F1103" s="1">
        <f>IFERROR(__xludf.DUMMYFUNCTION("""COMPUTED_VALUE"""),2.0)</f>
        <v>2</v>
      </c>
      <c r="G1103" s="1" t="str">
        <f>IFERROR(__xludf.DUMMYFUNCTION("""COMPUTED_VALUE"""),"PR024")</f>
        <v>PR024</v>
      </c>
      <c r="H1103" s="1" t="str">
        <f>IFERROR(__xludf.DUMMYFUNCTION("""COMPUTED_VALUE"""),"VD033")</f>
        <v>VD033</v>
      </c>
      <c r="I1103" s="1">
        <f>IFERROR(__xludf.DUMMYFUNCTION("""COMPUTED_VALUE"""),5.0)</f>
        <v>5</v>
      </c>
      <c r="J1103" s="1">
        <f>IFERROR(__xludf.DUMMYFUNCTION("""COMPUTED_VALUE"""),1312.5)</f>
        <v>1312.5</v>
      </c>
      <c r="K1103" s="1">
        <f>IFERROR(__xludf.DUMMYFUNCTION("""COMPUTED_VALUE"""),1312.5)</f>
        <v>1312.5</v>
      </c>
    </row>
    <row r="1104">
      <c r="A1104" s="1">
        <f>IFERROR(__xludf.DUMMYFUNCTION("""COMPUTED_VALUE"""),1000.0)</f>
        <v>1000</v>
      </c>
      <c r="B1104" s="1">
        <f>IFERROR(__xludf.DUMMYFUNCTION("""COMPUTED_VALUE"""),184262.0)</f>
        <v>184262</v>
      </c>
      <c r="C1104" s="1">
        <f>IFERROR(__xludf.DUMMYFUNCTION("""COMPUTED_VALUE"""),2026.0)</f>
        <v>2026</v>
      </c>
      <c r="D1104" s="1">
        <f>IFERROR(__xludf.DUMMYFUNCTION("""COMPUTED_VALUE"""),46160.0)</f>
        <v>46160</v>
      </c>
      <c r="E1104" s="1" t="str">
        <f>IFERROR(__xludf.DUMMYFUNCTION("""COMPUTED_VALUE"""),"VF")</f>
        <v>VF</v>
      </c>
      <c r="F1104" s="1">
        <f>IFERROR(__xludf.DUMMYFUNCTION("""COMPUTED_VALUE"""),3.0)</f>
        <v>3</v>
      </c>
      <c r="G1104" s="1" t="str">
        <f>IFERROR(__xludf.DUMMYFUNCTION("""COMPUTED_VALUE"""),"PR025")</f>
        <v>PR025</v>
      </c>
      <c r="H1104" s="1" t="str">
        <f>IFERROR(__xludf.DUMMYFUNCTION("""COMPUTED_VALUE"""),"VD027")</f>
        <v>VD027</v>
      </c>
      <c r="I1104" s="1">
        <f>IFERROR(__xludf.DUMMYFUNCTION("""COMPUTED_VALUE"""),16.0)</f>
        <v>16</v>
      </c>
      <c r="J1104" s="1">
        <f>IFERROR(__xludf.DUMMYFUNCTION("""COMPUTED_VALUE"""),5278.24)</f>
        <v>5278.24</v>
      </c>
      <c r="K1104" s="1">
        <f>IFERROR(__xludf.DUMMYFUNCTION("""COMPUTED_VALUE"""),5278.24)</f>
        <v>5278.24</v>
      </c>
    </row>
    <row r="1105">
      <c r="A1105" s="1">
        <f>IFERROR(__xludf.DUMMYFUNCTION("""COMPUTED_VALUE"""),2000.0)</f>
        <v>2000</v>
      </c>
      <c r="B1105" s="1">
        <f>IFERROR(__xludf.DUMMYFUNCTION("""COMPUTED_VALUE"""),184263.0)</f>
        <v>184263</v>
      </c>
      <c r="C1105" s="1">
        <f>IFERROR(__xludf.DUMMYFUNCTION("""COMPUTED_VALUE"""),2026.0)</f>
        <v>2026</v>
      </c>
      <c r="D1105" s="1">
        <f>IFERROR(__xludf.DUMMYFUNCTION("""COMPUTED_VALUE"""),46160.0)</f>
        <v>46160</v>
      </c>
      <c r="E1105" s="1" t="str">
        <f>IFERROR(__xludf.DUMMYFUNCTION("""COMPUTED_VALUE"""),"VF")</f>
        <v>VF</v>
      </c>
      <c r="F1105" s="1">
        <f>IFERROR(__xludf.DUMMYFUNCTION("""COMPUTED_VALUE"""),1.0)</f>
        <v>1</v>
      </c>
      <c r="G1105" s="1" t="str">
        <f>IFERROR(__xludf.DUMMYFUNCTION("""COMPUTED_VALUE"""),"PR040")</f>
        <v>PR040</v>
      </c>
      <c r="H1105" s="1" t="str">
        <f>IFERROR(__xludf.DUMMYFUNCTION("""COMPUTED_VALUE"""),"VD020")</f>
        <v>VD020</v>
      </c>
      <c r="I1105" s="1">
        <f>IFERROR(__xludf.DUMMYFUNCTION("""COMPUTED_VALUE"""),5.0)</f>
        <v>5</v>
      </c>
      <c r="J1105" s="1">
        <f>IFERROR(__xludf.DUMMYFUNCTION("""COMPUTED_VALUE"""),385.0)</f>
        <v>385</v>
      </c>
      <c r="K1105" s="1">
        <f>IFERROR(__xludf.DUMMYFUNCTION("""COMPUTED_VALUE"""),385.0)</f>
        <v>385</v>
      </c>
    </row>
    <row r="1106">
      <c r="A1106" s="1">
        <f>IFERROR(__xludf.DUMMYFUNCTION("""COMPUTED_VALUE"""),1000.0)</f>
        <v>1000</v>
      </c>
      <c r="B1106" s="1">
        <f>IFERROR(__xludf.DUMMYFUNCTION("""COMPUTED_VALUE"""),184264.0)</f>
        <v>184264</v>
      </c>
      <c r="C1106" s="1">
        <f>IFERROR(__xludf.DUMMYFUNCTION("""COMPUTED_VALUE"""),2026.0)</f>
        <v>2026</v>
      </c>
      <c r="D1106" s="1">
        <f>IFERROR(__xludf.DUMMYFUNCTION("""COMPUTED_VALUE"""),46159.0)</f>
        <v>46159</v>
      </c>
      <c r="E1106" s="1" t="str">
        <f>IFERROR(__xludf.DUMMYFUNCTION("""COMPUTED_VALUE"""),"VF")</f>
        <v>VF</v>
      </c>
      <c r="F1106" s="1">
        <f>IFERROR(__xludf.DUMMYFUNCTION("""COMPUTED_VALUE"""),1.0)</f>
        <v>1</v>
      </c>
      <c r="G1106" s="1" t="str">
        <f>IFERROR(__xludf.DUMMYFUNCTION("""COMPUTED_VALUE"""),"PR012")</f>
        <v>PR012</v>
      </c>
      <c r="H1106" s="1" t="str">
        <f>IFERROR(__xludf.DUMMYFUNCTION("""COMPUTED_VALUE"""),"VD042")</f>
        <v>VD042</v>
      </c>
      <c r="I1106" s="1">
        <f>IFERROR(__xludf.DUMMYFUNCTION("""COMPUTED_VALUE"""),6.0)</f>
        <v>6</v>
      </c>
      <c r="J1106" s="1">
        <f>IFERROR(__xludf.DUMMYFUNCTION("""COMPUTED_VALUE"""),316.87)</f>
        <v>316.87</v>
      </c>
      <c r="K1106" s="1">
        <f>IFERROR(__xludf.DUMMYFUNCTION("""COMPUTED_VALUE"""),316.87)</f>
        <v>316.87</v>
      </c>
    </row>
    <row r="1107">
      <c r="A1107" s="1">
        <f>IFERROR(__xludf.DUMMYFUNCTION("""COMPUTED_VALUE"""),1000.0)</f>
        <v>1000</v>
      </c>
      <c r="B1107" s="1">
        <f>IFERROR(__xludf.DUMMYFUNCTION("""COMPUTED_VALUE"""),184265.0)</f>
        <v>184265</v>
      </c>
      <c r="C1107" s="1">
        <f>IFERROR(__xludf.DUMMYFUNCTION("""COMPUTED_VALUE"""),2026.0)</f>
        <v>2026</v>
      </c>
      <c r="D1107" s="1">
        <f>IFERROR(__xludf.DUMMYFUNCTION("""COMPUTED_VALUE"""),46159.0)</f>
        <v>46159</v>
      </c>
      <c r="E1107" s="1" t="str">
        <f>IFERROR(__xludf.DUMMYFUNCTION("""COMPUTED_VALUE"""),"VF")</f>
        <v>VF</v>
      </c>
      <c r="F1107" s="1">
        <f>IFERROR(__xludf.DUMMYFUNCTION("""COMPUTED_VALUE"""),1.0)</f>
        <v>1</v>
      </c>
      <c r="G1107" s="1" t="str">
        <f>IFERROR(__xludf.DUMMYFUNCTION("""COMPUTED_VALUE"""),"PR050")</f>
        <v>PR050</v>
      </c>
      <c r="H1107" s="1" t="str">
        <f>IFERROR(__xludf.DUMMYFUNCTION("""COMPUTED_VALUE"""),"VD039")</f>
        <v>VD039</v>
      </c>
      <c r="I1107" s="1">
        <f>IFERROR(__xludf.DUMMYFUNCTION("""COMPUTED_VALUE"""),2.0)</f>
        <v>2</v>
      </c>
      <c r="J1107" s="1">
        <f>IFERROR(__xludf.DUMMYFUNCTION("""COMPUTED_VALUE"""),65.8)</f>
        <v>65.8</v>
      </c>
      <c r="K1107" s="1">
        <f>IFERROR(__xludf.DUMMYFUNCTION("""COMPUTED_VALUE"""),65.8)</f>
        <v>65.8</v>
      </c>
    </row>
    <row r="1108">
      <c r="A1108" s="1">
        <f>IFERROR(__xludf.DUMMYFUNCTION("""COMPUTED_VALUE"""),1000.0)</f>
        <v>1000</v>
      </c>
      <c r="B1108" s="1">
        <f>IFERROR(__xludf.DUMMYFUNCTION("""COMPUTED_VALUE"""),184265.0)</f>
        <v>184265</v>
      </c>
      <c r="C1108" s="1">
        <f>IFERROR(__xludf.DUMMYFUNCTION("""COMPUTED_VALUE"""),2026.0)</f>
        <v>2026</v>
      </c>
      <c r="D1108" s="1">
        <f>IFERROR(__xludf.DUMMYFUNCTION("""COMPUTED_VALUE"""),46159.0)</f>
        <v>46159</v>
      </c>
      <c r="E1108" s="1" t="str">
        <f>IFERROR(__xludf.DUMMYFUNCTION("""COMPUTED_VALUE"""),"VF")</f>
        <v>VF</v>
      </c>
      <c r="F1108" s="1">
        <f>IFERROR(__xludf.DUMMYFUNCTION("""COMPUTED_VALUE"""),2.0)</f>
        <v>2</v>
      </c>
      <c r="G1108" s="1" t="str">
        <f>IFERROR(__xludf.DUMMYFUNCTION("""COMPUTED_VALUE"""),"PR036")</f>
        <v>PR036</v>
      </c>
      <c r="H1108" s="1" t="str">
        <f>IFERROR(__xludf.DUMMYFUNCTION("""COMPUTED_VALUE"""),"VD010")</f>
        <v>VD010</v>
      </c>
      <c r="I1108" s="1">
        <f>IFERROR(__xludf.DUMMYFUNCTION("""COMPUTED_VALUE"""),8.0)</f>
        <v>8</v>
      </c>
      <c r="J1108" s="1">
        <f>IFERROR(__xludf.DUMMYFUNCTION("""COMPUTED_VALUE"""),755.48)</f>
        <v>755.48</v>
      </c>
      <c r="K1108" s="1">
        <f>IFERROR(__xludf.DUMMYFUNCTION("""COMPUTED_VALUE"""),755.48)</f>
        <v>755.48</v>
      </c>
    </row>
    <row r="1109">
      <c r="A1109" s="1">
        <f>IFERROR(__xludf.DUMMYFUNCTION("""COMPUTED_VALUE"""),1000.0)</f>
        <v>1000</v>
      </c>
      <c r="B1109" s="1">
        <f>IFERROR(__xludf.DUMMYFUNCTION("""COMPUTED_VALUE"""),184266.0)</f>
        <v>184266</v>
      </c>
      <c r="C1109" s="1">
        <f>IFERROR(__xludf.DUMMYFUNCTION("""COMPUTED_VALUE"""),2026.0)</f>
        <v>2026</v>
      </c>
      <c r="D1109" s="1">
        <f>IFERROR(__xludf.DUMMYFUNCTION("""COMPUTED_VALUE"""),46159.0)</f>
        <v>46159</v>
      </c>
      <c r="E1109" s="1" t="str">
        <f>IFERROR(__xludf.DUMMYFUNCTION("""COMPUTED_VALUE"""),"VF")</f>
        <v>VF</v>
      </c>
      <c r="F1109" s="1">
        <f>IFERROR(__xludf.DUMMYFUNCTION("""COMPUTED_VALUE"""),1.0)</f>
        <v>1</v>
      </c>
      <c r="G1109" s="1" t="str">
        <f>IFERROR(__xludf.DUMMYFUNCTION("""COMPUTED_VALUE"""),"PR031")</f>
        <v>PR031</v>
      </c>
      <c r="H1109" s="1" t="str">
        <f>IFERROR(__xludf.DUMMYFUNCTION("""COMPUTED_VALUE"""),"VD030")</f>
        <v>VD030</v>
      </c>
      <c r="I1109" s="1">
        <f>IFERROR(__xludf.DUMMYFUNCTION("""COMPUTED_VALUE"""),9.0)</f>
        <v>9</v>
      </c>
      <c r="J1109" s="1">
        <f>IFERROR(__xludf.DUMMYFUNCTION("""COMPUTED_VALUE"""),2227.05)</f>
        <v>2227.05</v>
      </c>
      <c r="K1109" s="1">
        <f>IFERROR(__xludf.DUMMYFUNCTION("""COMPUTED_VALUE"""),2227.05)</f>
        <v>2227.05</v>
      </c>
    </row>
    <row r="1110">
      <c r="A1110" s="1">
        <f>IFERROR(__xludf.DUMMYFUNCTION("""COMPUTED_VALUE"""),1000.0)</f>
        <v>1000</v>
      </c>
      <c r="B1110" s="1">
        <f>IFERROR(__xludf.DUMMYFUNCTION("""COMPUTED_VALUE"""),184267.0)</f>
        <v>184267</v>
      </c>
      <c r="C1110" s="1">
        <f>IFERROR(__xludf.DUMMYFUNCTION("""COMPUTED_VALUE"""),2026.0)</f>
        <v>2026</v>
      </c>
      <c r="D1110" s="1">
        <f>IFERROR(__xludf.DUMMYFUNCTION("""COMPUTED_VALUE"""),46158.0)</f>
        <v>46158</v>
      </c>
      <c r="E1110" s="1" t="str">
        <f>IFERROR(__xludf.DUMMYFUNCTION("""COMPUTED_VALUE"""),"VF")</f>
        <v>VF</v>
      </c>
      <c r="F1110" s="1">
        <f>IFERROR(__xludf.DUMMYFUNCTION("""COMPUTED_VALUE"""),1.0)</f>
        <v>1</v>
      </c>
      <c r="G1110" s="1" t="str">
        <f>IFERROR(__xludf.DUMMYFUNCTION("""COMPUTED_VALUE"""),"PR060")</f>
        <v>PR060</v>
      </c>
      <c r="H1110" s="1" t="str">
        <f>IFERROR(__xludf.DUMMYFUNCTION("""COMPUTED_VALUE"""),"VD045")</f>
        <v>VD045</v>
      </c>
      <c r="I1110" s="1">
        <f>IFERROR(__xludf.DUMMYFUNCTION("""COMPUTED_VALUE"""),3.0)</f>
        <v>3</v>
      </c>
      <c r="J1110" s="1">
        <f>IFERROR(__xludf.DUMMYFUNCTION("""COMPUTED_VALUE"""),556.2)</f>
        <v>556.2</v>
      </c>
      <c r="K1110" s="1">
        <f>IFERROR(__xludf.DUMMYFUNCTION("""COMPUTED_VALUE"""),556.2)</f>
        <v>556.2</v>
      </c>
    </row>
    <row r="1111">
      <c r="A1111" s="1">
        <f>IFERROR(__xludf.DUMMYFUNCTION("""COMPUTED_VALUE"""),1000.0)</f>
        <v>1000</v>
      </c>
      <c r="B1111" s="1">
        <f>IFERROR(__xludf.DUMMYFUNCTION("""COMPUTED_VALUE"""),184267.0)</f>
        <v>184267</v>
      </c>
      <c r="C1111" s="1">
        <f>IFERROR(__xludf.DUMMYFUNCTION("""COMPUTED_VALUE"""),2026.0)</f>
        <v>2026</v>
      </c>
      <c r="D1111" s="1">
        <f>IFERROR(__xludf.DUMMYFUNCTION("""COMPUTED_VALUE"""),46158.0)</f>
        <v>46158</v>
      </c>
      <c r="E1111" s="1" t="str">
        <f>IFERROR(__xludf.DUMMYFUNCTION("""COMPUTED_VALUE"""),"VF")</f>
        <v>VF</v>
      </c>
      <c r="F1111" s="1">
        <f>IFERROR(__xludf.DUMMYFUNCTION("""COMPUTED_VALUE"""),2.0)</f>
        <v>2</v>
      </c>
      <c r="G1111" s="1" t="str">
        <f>IFERROR(__xludf.DUMMYFUNCTION("""COMPUTED_VALUE"""),"PR028")</f>
        <v>PR028</v>
      </c>
      <c r="H1111" s="1" t="str">
        <f>IFERROR(__xludf.DUMMYFUNCTION("""COMPUTED_VALUE"""),"VD038")</f>
        <v>VD038</v>
      </c>
      <c r="I1111" s="1">
        <f>IFERROR(__xludf.DUMMYFUNCTION("""COMPUTED_VALUE"""),1.0)</f>
        <v>1</v>
      </c>
      <c r="J1111" s="1">
        <f>IFERROR(__xludf.DUMMYFUNCTION("""COMPUTED_VALUE"""),249.9)</f>
        <v>249.9</v>
      </c>
      <c r="K1111" s="1">
        <f>IFERROR(__xludf.DUMMYFUNCTION("""COMPUTED_VALUE"""),249.9)</f>
        <v>249.9</v>
      </c>
    </row>
    <row r="1112">
      <c r="A1112" s="1">
        <f>IFERROR(__xludf.DUMMYFUNCTION("""COMPUTED_VALUE"""),1000.0)</f>
        <v>1000</v>
      </c>
      <c r="B1112" s="1">
        <f>IFERROR(__xludf.DUMMYFUNCTION("""COMPUTED_VALUE"""),184267.0)</f>
        <v>184267</v>
      </c>
      <c r="C1112" s="1">
        <f>IFERROR(__xludf.DUMMYFUNCTION("""COMPUTED_VALUE"""),2026.0)</f>
        <v>2026</v>
      </c>
      <c r="D1112" s="1">
        <f>IFERROR(__xludf.DUMMYFUNCTION("""COMPUTED_VALUE"""),46158.0)</f>
        <v>46158</v>
      </c>
      <c r="E1112" s="1" t="str">
        <f>IFERROR(__xludf.DUMMYFUNCTION("""COMPUTED_VALUE"""),"VF")</f>
        <v>VF</v>
      </c>
      <c r="F1112" s="1">
        <f>IFERROR(__xludf.DUMMYFUNCTION("""COMPUTED_VALUE"""),3.0)</f>
        <v>3</v>
      </c>
      <c r="G1112" s="1" t="str">
        <f>IFERROR(__xludf.DUMMYFUNCTION("""COMPUTED_VALUE"""),"PR056")</f>
        <v>PR056</v>
      </c>
      <c r="H1112" s="1" t="str">
        <f>IFERROR(__xludf.DUMMYFUNCTION("""COMPUTED_VALUE"""),"VD031")</f>
        <v>VD031</v>
      </c>
      <c r="I1112" s="1">
        <f>IFERROR(__xludf.DUMMYFUNCTION("""COMPUTED_VALUE"""),18.0)</f>
        <v>18</v>
      </c>
      <c r="J1112" s="1">
        <f>IFERROR(__xludf.DUMMYFUNCTION("""COMPUTED_VALUE"""),1747.66)</f>
        <v>1747.66</v>
      </c>
      <c r="K1112" s="1">
        <f>IFERROR(__xludf.DUMMYFUNCTION("""COMPUTED_VALUE"""),1747.66)</f>
        <v>1747.66</v>
      </c>
    </row>
    <row r="1113">
      <c r="A1113" s="1">
        <f>IFERROR(__xludf.DUMMYFUNCTION("""COMPUTED_VALUE"""),1000.0)</f>
        <v>1000</v>
      </c>
      <c r="B1113" s="1">
        <f>IFERROR(__xludf.DUMMYFUNCTION("""COMPUTED_VALUE"""),184268.0)</f>
        <v>184268</v>
      </c>
      <c r="C1113" s="1">
        <f>IFERROR(__xludf.DUMMYFUNCTION("""COMPUTED_VALUE"""),2026.0)</f>
        <v>2026</v>
      </c>
      <c r="D1113" s="1">
        <f>IFERROR(__xludf.DUMMYFUNCTION("""COMPUTED_VALUE"""),46158.0)</f>
        <v>46158</v>
      </c>
      <c r="E1113" s="1" t="str">
        <f>IFERROR(__xludf.DUMMYFUNCTION("""COMPUTED_VALUE"""),"VF")</f>
        <v>VF</v>
      </c>
      <c r="F1113" s="1">
        <f>IFERROR(__xludf.DUMMYFUNCTION("""COMPUTED_VALUE"""),1.0)</f>
        <v>1</v>
      </c>
      <c r="G1113" s="1" t="str">
        <f>IFERROR(__xludf.DUMMYFUNCTION("""COMPUTED_VALUE"""),"PR055")</f>
        <v>PR055</v>
      </c>
      <c r="H1113" s="1" t="str">
        <f>IFERROR(__xludf.DUMMYFUNCTION("""COMPUTED_VALUE"""),"VD041")</f>
        <v>VD041</v>
      </c>
      <c r="I1113" s="1">
        <f>IFERROR(__xludf.DUMMYFUNCTION("""COMPUTED_VALUE"""),6.0)</f>
        <v>6</v>
      </c>
      <c r="J1113" s="1">
        <f>IFERROR(__xludf.DUMMYFUNCTION("""COMPUTED_VALUE"""),550.19)</f>
        <v>550.19</v>
      </c>
      <c r="K1113" s="1">
        <f>IFERROR(__xludf.DUMMYFUNCTION("""COMPUTED_VALUE"""),550.19)</f>
        <v>550.19</v>
      </c>
    </row>
    <row r="1114">
      <c r="A1114" s="1">
        <f>IFERROR(__xludf.DUMMYFUNCTION("""COMPUTED_VALUE"""),1000.0)</f>
        <v>1000</v>
      </c>
      <c r="B1114" s="1">
        <f>IFERROR(__xludf.DUMMYFUNCTION("""COMPUTED_VALUE"""),184268.0)</f>
        <v>184268</v>
      </c>
      <c r="C1114" s="1">
        <f>IFERROR(__xludf.DUMMYFUNCTION("""COMPUTED_VALUE"""),2026.0)</f>
        <v>2026</v>
      </c>
      <c r="D1114" s="1">
        <f>IFERROR(__xludf.DUMMYFUNCTION("""COMPUTED_VALUE"""),46158.0)</f>
        <v>46158</v>
      </c>
      <c r="E1114" s="1" t="str">
        <f>IFERROR(__xludf.DUMMYFUNCTION("""COMPUTED_VALUE"""),"VF")</f>
        <v>VF</v>
      </c>
      <c r="F1114" s="1">
        <f>IFERROR(__xludf.DUMMYFUNCTION("""COMPUTED_VALUE"""),2.0)</f>
        <v>2</v>
      </c>
      <c r="G1114" s="1" t="str">
        <f>IFERROR(__xludf.DUMMYFUNCTION("""COMPUTED_VALUE"""),"PR058")</f>
        <v>PR058</v>
      </c>
      <c r="H1114" s="1" t="str">
        <f>IFERROR(__xludf.DUMMYFUNCTION("""COMPUTED_VALUE"""),"VD027")</f>
        <v>VD027</v>
      </c>
      <c r="I1114" s="1">
        <f>IFERROR(__xludf.DUMMYFUNCTION("""COMPUTED_VALUE"""),18.0)</f>
        <v>18</v>
      </c>
      <c r="J1114" s="1">
        <f>IFERROR(__xludf.DUMMYFUNCTION("""COMPUTED_VALUE"""),3531.6)</f>
        <v>3531.6</v>
      </c>
      <c r="K1114" s="1">
        <f>IFERROR(__xludf.DUMMYFUNCTION("""COMPUTED_VALUE"""),3531.6)</f>
        <v>3531.6</v>
      </c>
    </row>
    <row r="1115">
      <c r="A1115" s="1">
        <f>IFERROR(__xludf.DUMMYFUNCTION("""COMPUTED_VALUE"""),1000.0)</f>
        <v>1000</v>
      </c>
      <c r="B1115" s="1">
        <f>IFERROR(__xludf.DUMMYFUNCTION("""COMPUTED_VALUE"""),184269.0)</f>
        <v>184269</v>
      </c>
      <c r="C1115" s="1">
        <f>IFERROR(__xludf.DUMMYFUNCTION("""COMPUTED_VALUE"""),2026.0)</f>
        <v>2026</v>
      </c>
      <c r="D1115" s="1">
        <f>IFERROR(__xludf.DUMMYFUNCTION("""COMPUTED_VALUE"""),46158.0)</f>
        <v>46158</v>
      </c>
      <c r="E1115" s="1" t="str">
        <f>IFERROR(__xludf.DUMMYFUNCTION("""COMPUTED_VALUE"""),"VF")</f>
        <v>VF</v>
      </c>
      <c r="F1115" s="1">
        <f>IFERROR(__xludf.DUMMYFUNCTION("""COMPUTED_VALUE"""),1.0)</f>
        <v>1</v>
      </c>
      <c r="G1115" s="1" t="str">
        <f>IFERROR(__xludf.DUMMYFUNCTION("""COMPUTED_VALUE"""),"PR021")</f>
        <v>PR021</v>
      </c>
      <c r="H1115" s="1" t="str">
        <f>IFERROR(__xludf.DUMMYFUNCTION("""COMPUTED_VALUE"""),"VD025")</f>
        <v>VD025</v>
      </c>
      <c r="I1115" s="1">
        <f>IFERROR(__xludf.DUMMYFUNCTION("""COMPUTED_VALUE"""),10.0)</f>
        <v>10</v>
      </c>
      <c r="J1115" s="1">
        <f>IFERROR(__xludf.DUMMYFUNCTION("""COMPUTED_VALUE"""),3271.32)</f>
        <v>3271.32</v>
      </c>
      <c r="K1115" s="1">
        <f>IFERROR(__xludf.DUMMYFUNCTION("""COMPUTED_VALUE"""),3271.32)</f>
        <v>3271.32</v>
      </c>
    </row>
    <row r="1116">
      <c r="A1116" s="1">
        <f>IFERROR(__xludf.DUMMYFUNCTION("""COMPUTED_VALUE"""),1000.0)</f>
        <v>1000</v>
      </c>
      <c r="B1116" s="1">
        <f>IFERROR(__xludf.DUMMYFUNCTION("""COMPUTED_VALUE"""),184269.0)</f>
        <v>184269</v>
      </c>
      <c r="C1116" s="1">
        <f>IFERROR(__xludf.DUMMYFUNCTION("""COMPUTED_VALUE"""),2026.0)</f>
        <v>2026</v>
      </c>
      <c r="D1116" s="1">
        <f>IFERROR(__xludf.DUMMYFUNCTION("""COMPUTED_VALUE"""),46157.0)</f>
        <v>46157</v>
      </c>
      <c r="E1116" s="1" t="str">
        <f>IFERROR(__xludf.DUMMYFUNCTION("""COMPUTED_VALUE"""),"VF")</f>
        <v>VF</v>
      </c>
      <c r="F1116" s="1">
        <f>IFERROR(__xludf.DUMMYFUNCTION("""COMPUTED_VALUE"""),2.0)</f>
        <v>2</v>
      </c>
      <c r="G1116" s="1" t="str">
        <f>IFERROR(__xludf.DUMMYFUNCTION("""COMPUTED_VALUE"""),"PR019")</f>
        <v>PR019</v>
      </c>
      <c r="H1116" s="1" t="str">
        <f>IFERROR(__xludf.DUMMYFUNCTION("""COMPUTED_VALUE"""),"VD033")</f>
        <v>VD033</v>
      </c>
      <c r="I1116" s="1">
        <f>IFERROR(__xludf.DUMMYFUNCTION("""COMPUTED_VALUE"""),6.0)</f>
        <v>6</v>
      </c>
      <c r="J1116" s="1">
        <f>IFERROR(__xludf.DUMMYFUNCTION("""COMPUTED_VALUE"""),314.37)</f>
        <v>314.37</v>
      </c>
      <c r="K1116" s="1">
        <f>IFERROR(__xludf.DUMMYFUNCTION("""COMPUTED_VALUE"""),314.37)</f>
        <v>314.37</v>
      </c>
    </row>
    <row r="1117">
      <c r="A1117" s="1">
        <f>IFERROR(__xludf.DUMMYFUNCTION("""COMPUTED_VALUE"""),1000.0)</f>
        <v>1000</v>
      </c>
      <c r="B1117" s="1">
        <f>IFERROR(__xludf.DUMMYFUNCTION("""COMPUTED_VALUE"""),184270.0)</f>
        <v>184270</v>
      </c>
      <c r="C1117" s="1">
        <f>IFERROR(__xludf.DUMMYFUNCTION("""COMPUTED_VALUE"""),2026.0)</f>
        <v>2026</v>
      </c>
      <c r="D1117" s="1">
        <f>IFERROR(__xludf.DUMMYFUNCTION("""COMPUTED_VALUE"""),46157.0)</f>
        <v>46157</v>
      </c>
      <c r="E1117" s="1" t="str">
        <f>IFERROR(__xludf.DUMMYFUNCTION("""COMPUTED_VALUE"""),"VF")</f>
        <v>VF</v>
      </c>
      <c r="F1117" s="1">
        <f>IFERROR(__xludf.DUMMYFUNCTION("""COMPUTED_VALUE"""),1.0)</f>
        <v>1</v>
      </c>
      <c r="G1117" s="1" t="str">
        <f>IFERROR(__xludf.DUMMYFUNCTION("""COMPUTED_VALUE"""),"PR024")</f>
        <v>PR024</v>
      </c>
      <c r="H1117" s="1" t="str">
        <f>IFERROR(__xludf.DUMMYFUNCTION("""COMPUTED_VALUE"""),"VD014")</f>
        <v>VD014</v>
      </c>
      <c r="I1117" s="1">
        <f>IFERROR(__xludf.DUMMYFUNCTION("""COMPUTED_VALUE"""),20.0)</f>
        <v>20</v>
      </c>
      <c r="J1117" s="1">
        <f>IFERROR(__xludf.DUMMYFUNCTION("""COMPUTED_VALUE"""),5613.84)</f>
        <v>5613.84</v>
      </c>
      <c r="K1117" s="1">
        <f>IFERROR(__xludf.DUMMYFUNCTION("""COMPUTED_VALUE"""),5613.84)</f>
        <v>5613.84</v>
      </c>
    </row>
    <row r="1118">
      <c r="A1118" s="1">
        <f>IFERROR(__xludf.DUMMYFUNCTION("""COMPUTED_VALUE"""),1000.0)</f>
        <v>1000</v>
      </c>
      <c r="B1118" s="1">
        <f>IFERROR(__xludf.DUMMYFUNCTION("""COMPUTED_VALUE"""),184271.0)</f>
        <v>184271</v>
      </c>
      <c r="C1118" s="1">
        <f>IFERROR(__xludf.DUMMYFUNCTION("""COMPUTED_VALUE"""),2026.0)</f>
        <v>2026</v>
      </c>
      <c r="D1118" s="1">
        <f>IFERROR(__xludf.DUMMYFUNCTION("""COMPUTED_VALUE"""),46157.0)</f>
        <v>46157</v>
      </c>
      <c r="E1118" s="1" t="str">
        <f>IFERROR(__xludf.DUMMYFUNCTION("""COMPUTED_VALUE"""),"VF")</f>
        <v>VF</v>
      </c>
      <c r="F1118" s="1">
        <f>IFERROR(__xludf.DUMMYFUNCTION("""COMPUTED_VALUE"""),1.0)</f>
        <v>1</v>
      </c>
      <c r="G1118" s="1" t="str">
        <f>IFERROR(__xludf.DUMMYFUNCTION("""COMPUTED_VALUE"""),"PR042")</f>
        <v>PR042</v>
      </c>
      <c r="H1118" s="1" t="str">
        <f>IFERROR(__xludf.DUMMYFUNCTION("""COMPUTED_VALUE"""),"VD042")</f>
        <v>VD042</v>
      </c>
      <c r="I1118" s="1">
        <f>IFERROR(__xludf.DUMMYFUNCTION("""COMPUTED_VALUE"""),3.0)</f>
        <v>3</v>
      </c>
      <c r="J1118" s="1">
        <f>IFERROR(__xludf.DUMMYFUNCTION("""COMPUTED_VALUE"""),171.29)</f>
        <v>171.29</v>
      </c>
      <c r="K1118" s="1">
        <f>IFERROR(__xludf.DUMMYFUNCTION("""COMPUTED_VALUE"""),171.29)</f>
        <v>171.29</v>
      </c>
    </row>
    <row r="1119">
      <c r="A1119" s="1">
        <f>IFERROR(__xludf.DUMMYFUNCTION("""COMPUTED_VALUE"""),1000.0)</f>
        <v>1000</v>
      </c>
      <c r="B1119" s="1">
        <f>IFERROR(__xludf.DUMMYFUNCTION("""COMPUTED_VALUE"""),184272.0)</f>
        <v>184272</v>
      </c>
      <c r="C1119" s="1">
        <f>IFERROR(__xludf.DUMMYFUNCTION("""COMPUTED_VALUE"""),2026.0)</f>
        <v>2026</v>
      </c>
      <c r="D1119" s="1">
        <f>IFERROR(__xludf.DUMMYFUNCTION("""COMPUTED_VALUE"""),46157.0)</f>
        <v>46157</v>
      </c>
      <c r="E1119" s="1" t="str">
        <f>IFERROR(__xludf.DUMMYFUNCTION("""COMPUTED_VALUE"""),"VF")</f>
        <v>VF</v>
      </c>
      <c r="F1119" s="1">
        <f>IFERROR(__xludf.DUMMYFUNCTION("""COMPUTED_VALUE"""),1.0)</f>
        <v>1</v>
      </c>
      <c r="G1119" s="1" t="str">
        <f>IFERROR(__xludf.DUMMYFUNCTION("""COMPUTED_VALUE"""),"PR041")</f>
        <v>PR041</v>
      </c>
      <c r="H1119" s="1" t="str">
        <f>IFERROR(__xludf.DUMMYFUNCTION("""COMPUTED_VALUE"""),"VD012")</f>
        <v>VD012</v>
      </c>
      <c r="I1119" s="1">
        <f>IFERROR(__xludf.DUMMYFUNCTION("""COMPUTED_VALUE"""),1.0)</f>
        <v>1</v>
      </c>
      <c r="J1119" s="1">
        <f>IFERROR(__xludf.DUMMYFUNCTION("""COMPUTED_VALUE"""),55.45)</f>
        <v>55.45</v>
      </c>
      <c r="K1119" s="1">
        <f>IFERROR(__xludf.DUMMYFUNCTION("""COMPUTED_VALUE"""),55.45)</f>
        <v>55.45</v>
      </c>
    </row>
    <row r="1120">
      <c r="A1120" s="1">
        <f>IFERROR(__xludf.DUMMYFUNCTION("""COMPUTED_VALUE"""),1000.0)</f>
        <v>1000</v>
      </c>
      <c r="B1120" s="1">
        <f>IFERROR(__xludf.DUMMYFUNCTION("""COMPUTED_VALUE"""),184272.0)</f>
        <v>184272</v>
      </c>
      <c r="C1120" s="1">
        <f>IFERROR(__xludf.DUMMYFUNCTION("""COMPUTED_VALUE"""),2026.0)</f>
        <v>2026</v>
      </c>
      <c r="D1120" s="1">
        <f>IFERROR(__xludf.DUMMYFUNCTION("""COMPUTED_VALUE"""),46157.0)</f>
        <v>46157</v>
      </c>
      <c r="E1120" s="1" t="str">
        <f>IFERROR(__xludf.DUMMYFUNCTION("""COMPUTED_VALUE"""),"VF")</f>
        <v>VF</v>
      </c>
      <c r="F1120" s="1">
        <f>IFERROR(__xludf.DUMMYFUNCTION("""COMPUTED_VALUE"""),2.0)</f>
        <v>2</v>
      </c>
      <c r="G1120" s="1" t="str">
        <f>IFERROR(__xludf.DUMMYFUNCTION("""COMPUTED_VALUE"""),"PR055")</f>
        <v>PR055</v>
      </c>
      <c r="H1120" s="1" t="str">
        <f>IFERROR(__xludf.DUMMYFUNCTION("""COMPUTED_VALUE"""),"VD040")</f>
        <v>VD040</v>
      </c>
      <c r="I1120" s="1">
        <f>IFERROR(__xludf.DUMMYFUNCTION("""COMPUTED_VALUE"""),4.0)</f>
        <v>4</v>
      </c>
      <c r="J1120" s="1">
        <f>IFERROR(__xludf.DUMMYFUNCTION("""COMPUTED_VALUE"""),373.98)</f>
        <v>373.98</v>
      </c>
      <c r="K1120" s="1">
        <f>IFERROR(__xludf.DUMMYFUNCTION("""COMPUTED_VALUE"""),373.98)</f>
        <v>373.98</v>
      </c>
    </row>
    <row r="1121">
      <c r="A1121" s="1">
        <f>IFERROR(__xludf.DUMMYFUNCTION("""COMPUTED_VALUE"""),1000.0)</f>
        <v>1000</v>
      </c>
      <c r="B1121" s="1">
        <f>IFERROR(__xludf.DUMMYFUNCTION("""COMPUTED_VALUE"""),184273.0)</f>
        <v>184273</v>
      </c>
      <c r="C1121" s="1">
        <f>IFERROR(__xludf.DUMMYFUNCTION("""COMPUTED_VALUE"""),2026.0)</f>
        <v>2026</v>
      </c>
      <c r="D1121" s="1">
        <f>IFERROR(__xludf.DUMMYFUNCTION("""COMPUTED_VALUE"""),46157.0)</f>
        <v>46157</v>
      </c>
      <c r="E1121" s="1" t="str">
        <f>IFERROR(__xludf.DUMMYFUNCTION("""COMPUTED_VALUE"""),"VF")</f>
        <v>VF</v>
      </c>
      <c r="F1121" s="1">
        <f>IFERROR(__xludf.DUMMYFUNCTION("""COMPUTED_VALUE"""),1.0)</f>
        <v>1</v>
      </c>
      <c r="G1121" s="1" t="str">
        <f>IFERROR(__xludf.DUMMYFUNCTION("""COMPUTED_VALUE"""),"PR011")</f>
        <v>PR011</v>
      </c>
      <c r="H1121" s="1" t="str">
        <f>IFERROR(__xludf.DUMMYFUNCTION("""COMPUTED_VALUE"""),"VD018")</f>
        <v>VD018</v>
      </c>
      <c r="I1121" s="1">
        <f>IFERROR(__xludf.DUMMYFUNCTION("""COMPUTED_VALUE"""),8.0)</f>
        <v>8</v>
      </c>
      <c r="J1121" s="1">
        <f>IFERROR(__xludf.DUMMYFUNCTION("""COMPUTED_VALUE"""),378.95)</f>
        <v>378.95</v>
      </c>
      <c r="K1121" s="1">
        <f>IFERROR(__xludf.DUMMYFUNCTION("""COMPUTED_VALUE"""),378.95)</f>
        <v>378.95</v>
      </c>
    </row>
    <row r="1122">
      <c r="A1122" s="1">
        <f>IFERROR(__xludf.DUMMYFUNCTION("""COMPUTED_VALUE"""),2000.0)</f>
        <v>2000</v>
      </c>
      <c r="B1122" s="1">
        <f>IFERROR(__xludf.DUMMYFUNCTION("""COMPUTED_VALUE"""),184273.0)</f>
        <v>184273</v>
      </c>
      <c r="C1122" s="1">
        <f>IFERROR(__xludf.DUMMYFUNCTION("""COMPUTED_VALUE"""),2026.0)</f>
        <v>2026</v>
      </c>
      <c r="D1122" s="1">
        <f>IFERROR(__xludf.DUMMYFUNCTION("""COMPUTED_VALUE"""),46157.0)</f>
        <v>46157</v>
      </c>
      <c r="E1122" s="1" t="str">
        <f>IFERROR(__xludf.DUMMYFUNCTION("""COMPUTED_VALUE"""),"VF")</f>
        <v>VF</v>
      </c>
      <c r="F1122" s="1">
        <f>IFERROR(__xludf.DUMMYFUNCTION("""COMPUTED_VALUE"""),2.0)</f>
        <v>2</v>
      </c>
      <c r="G1122" s="1" t="str">
        <f>IFERROR(__xludf.DUMMYFUNCTION("""COMPUTED_VALUE"""),"PR053")</f>
        <v>PR053</v>
      </c>
      <c r="H1122" s="1" t="str">
        <f>IFERROR(__xludf.DUMMYFUNCTION("""COMPUTED_VALUE"""),"VD016")</f>
        <v>VD016</v>
      </c>
      <c r="I1122" s="1">
        <f>IFERROR(__xludf.DUMMYFUNCTION("""COMPUTED_VALUE"""),16.0)</f>
        <v>16</v>
      </c>
      <c r="J1122" s="1">
        <f>IFERROR(__xludf.DUMMYFUNCTION("""COMPUTED_VALUE"""),830.34)</f>
        <v>830.34</v>
      </c>
      <c r="K1122" s="1">
        <f>IFERROR(__xludf.DUMMYFUNCTION("""COMPUTED_VALUE"""),830.34)</f>
        <v>830.34</v>
      </c>
    </row>
    <row r="1123">
      <c r="A1123" s="1">
        <f>IFERROR(__xludf.DUMMYFUNCTION("""COMPUTED_VALUE"""),1000.0)</f>
        <v>1000</v>
      </c>
      <c r="B1123" s="1">
        <f>IFERROR(__xludf.DUMMYFUNCTION("""COMPUTED_VALUE"""),184274.0)</f>
        <v>184274</v>
      </c>
      <c r="C1123" s="1">
        <f>IFERROR(__xludf.DUMMYFUNCTION("""COMPUTED_VALUE"""),2026.0)</f>
        <v>2026</v>
      </c>
      <c r="D1123" s="1">
        <f>IFERROR(__xludf.DUMMYFUNCTION("""COMPUTED_VALUE"""),46156.0)</f>
        <v>46156</v>
      </c>
      <c r="E1123" s="1" t="str">
        <f>IFERROR(__xludf.DUMMYFUNCTION("""COMPUTED_VALUE"""),"VF")</f>
        <v>VF</v>
      </c>
      <c r="F1123" s="1">
        <f>IFERROR(__xludf.DUMMYFUNCTION("""COMPUTED_VALUE"""),1.0)</f>
        <v>1</v>
      </c>
      <c r="G1123" s="1" t="str">
        <f>IFERROR(__xludf.DUMMYFUNCTION("""COMPUTED_VALUE"""),"PR044")</f>
        <v>PR044</v>
      </c>
      <c r="H1123" s="1" t="str">
        <f>IFERROR(__xludf.DUMMYFUNCTION("""COMPUTED_VALUE"""),"VD012")</f>
        <v>VD012</v>
      </c>
      <c r="I1123" s="1">
        <f>IFERROR(__xludf.DUMMYFUNCTION("""COMPUTED_VALUE"""),8.0)</f>
        <v>8</v>
      </c>
      <c r="J1123" s="1">
        <f>IFERROR(__xludf.DUMMYFUNCTION("""COMPUTED_VALUE"""),614.8)</f>
        <v>614.8</v>
      </c>
      <c r="K1123" s="1">
        <f>IFERROR(__xludf.DUMMYFUNCTION("""COMPUTED_VALUE"""),614.8)</f>
        <v>614.8</v>
      </c>
    </row>
    <row r="1124">
      <c r="A1124" s="1">
        <f>IFERROR(__xludf.DUMMYFUNCTION("""COMPUTED_VALUE"""),1000.0)</f>
        <v>1000</v>
      </c>
      <c r="B1124" s="1">
        <f>IFERROR(__xludf.DUMMYFUNCTION("""COMPUTED_VALUE"""),184275.0)</f>
        <v>184275</v>
      </c>
      <c r="C1124" s="1">
        <f>IFERROR(__xludf.DUMMYFUNCTION("""COMPUTED_VALUE"""),2026.0)</f>
        <v>2026</v>
      </c>
      <c r="D1124" s="1">
        <f>IFERROR(__xludf.DUMMYFUNCTION("""COMPUTED_VALUE"""),46156.0)</f>
        <v>46156</v>
      </c>
      <c r="E1124" s="1" t="str">
        <f>IFERROR(__xludf.DUMMYFUNCTION("""COMPUTED_VALUE"""),"VF")</f>
        <v>VF</v>
      </c>
      <c r="F1124" s="1">
        <f>IFERROR(__xludf.DUMMYFUNCTION("""COMPUTED_VALUE"""),1.0)</f>
        <v>1</v>
      </c>
      <c r="G1124" s="1" t="str">
        <f>IFERROR(__xludf.DUMMYFUNCTION("""COMPUTED_VALUE"""),"PR024")</f>
        <v>PR024</v>
      </c>
      <c r="H1124" s="1" t="str">
        <f>IFERROR(__xludf.DUMMYFUNCTION("""COMPUTED_VALUE"""),"VD036")</f>
        <v>VD036</v>
      </c>
      <c r="I1124" s="1">
        <f>IFERROR(__xludf.DUMMYFUNCTION("""COMPUTED_VALUE"""),16.0)</f>
        <v>16</v>
      </c>
      <c r="J1124" s="1">
        <f>IFERROR(__xludf.DUMMYFUNCTION("""COMPUTED_VALUE"""),4283.15)</f>
        <v>4283.15</v>
      </c>
      <c r="K1124" s="1">
        <f>IFERROR(__xludf.DUMMYFUNCTION("""COMPUTED_VALUE"""),4283.15)</f>
        <v>4283.15</v>
      </c>
    </row>
    <row r="1125">
      <c r="A1125" s="1">
        <f>IFERROR(__xludf.DUMMYFUNCTION("""COMPUTED_VALUE"""),2000.0)</f>
        <v>2000</v>
      </c>
      <c r="B1125" s="1">
        <f>IFERROR(__xludf.DUMMYFUNCTION("""COMPUTED_VALUE"""),184276.0)</f>
        <v>184276</v>
      </c>
      <c r="C1125" s="1">
        <f>IFERROR(__xludf.DUMMYFUNCTION("""COMPUTED_VALUE"""),2026.0)</f>
        <v>2026</v>
      </c>
      <c r="D1125" s="1">
        <f>IFERROR(__xludf.DUMMYFUNCTION("""COMPUTED_VALUE"""),46156.0)</f>
        <v>46156</v>
      </c>
      <c r="E1125" s="1" t="str">
        <f>IFERROR(__xludf.DUMMYFUNCTION("""COMPUTED_VALUE"""),"VF")</f>
        <v>VF</v>
      </c>
      <c r="F1125" s="1">
        <f>IFERROR(__xludf.DUMMYFUNCTION("""COMPUTED_VALUE"""),1.0)</f>
        <v>1</v>
      </c>
      <c r="G1125" s="1" t="str">
        <f>IFERROR(__xludf.DUMMYFUNCTION("""COMPUTED_VALUE"""),"PR029")</f>
        <v>PR029</v>
      </c>
      <c r="H1125" s="1" t="str">
        <f>IFERROR(__xludf.DUMMYFUNCTION("""COMPUTED_VALUE"""),"VD017")</f>
        <v>VD017</v>
      </c>
      <c r="I1125" s="1">
        <f>IFERROR(__xludf.DUMMYFUNCTION("""COMPUTED_VALUE"""),8.0)</f>
        <v>8</v>
      </c>
      <c r="J1125" s="1">
        <f>IFERROR(__xludf.DUMMYFUNCTION("""COMPUTED_VALUE"""),2182.8)</f>
        <v>2182.8</v>
      </c>
      <c r="K1125" s="1">
        <f>IFERROR(__xludf.DUMMYFUNCTION("""COMPUTED_VALUE"""),2182.8)</f>
        <v>2182.8</v>
      </c>
    </row>
    <row r="1126">
      <c r="A1126" s="1">
        <f>IFERROR(__xludf.DUMMYFUNCTION("""COMPUTED_VALUE"""),1000.0)</f>
        <v>1000</v>
      </c>
      <c r="B1126" s="1">
        <f>IFERROR(__xludf.DUMMYFUNCTION("""COMPUTED_VALUE"""),184277.0)</f>
        <v>184277</v>
      </c>
      <c r="C1126" s="1">
        <f>IFERROR(__xludf.DUMMYFUNCTION("""COMPUTED_VALUE"""),2026.0)</f>
        <v>2026</v>
      </c>
      <c r="D1126" s="1">
        <f>IFERROR(__xludf.DUMMYFUNCTION("""COMPUTED_VALUE"""),46156.0)</f>
        <v>46156</v>
      </c>
      <c r="E1126" s="1" t="str">
        <f>IFERROR(__xludf.DUMMYFUNCTION("""COMPUTED_VALUE"""),"VF")</f>
        <v>VF</v>
      </c>
      <c r="F1126" s="1">
        <f>IFERROR(__xludf.DUMMYFUNCTION("""COMPUTED_VALUE"""),1.0)</f>
        <v>1</v>
      </c>
      <c r="G1126" s="1" t="str">
        <f>IFERROR(__xludf.DUMMYFUNCTION("""COMPUTED_VALUE"""),"PR039")</f>
        <v>PR039</v>
      </c>
      <c r="H1126" s="1" t="str">
        <f>IFERROR(__xludf.DUMMYFUNCTION("""COMPUTED_VALUE"""),"VD037")</f>
        <v>VD037</v>
      </c>
      <c r="I1126" s="1">
        <f>IFERROR(__xludf.DUMMYFUNCTION("""COMPUTED_VALUE"""),16.0)</f>
        <v>16</v>
      </c>
      <c r="J1126" s="1">
        <f>IFERROR(__xludf.DUMMYFUNCTION("""COMPUTED_VALUE"""),2429.44)</f>
        <v>2429.44</v>
      </c>
      <c r="K1126" s="1">
        <f>IFERROR(__xludf.DUMMYFUNCTION("""COMPUTED_VALUE"""),2429.44)</f>
        <v>2429.44</v>
      </c>
    </row>
    <row r="1127">
      <c r="A1127" s="1">
        <f>IFERROR(__xludf.DUMMYFUNCTION("""COMPUTED_VALUE"""),2000.0)</f>
        <v>2000</v>
      </c>
      <c r="B1127" s="1">
        <f>IFERROR(__xludf.DUMMYFUNCTION("""COMPUTED_VALUE"""),184278.0)</f>
        <v>184278</v>
      </c>
      <c r="C1127" s="1">
        <f>IFERROR(__xludf.DUMMYFUNCTION("""COMPUTED_VALUE"""),2026.0)</f>
        <v>2026</v>
      </c>
      <c r="D1127" s="1">
        <f>IFERROR(__xludf.DUMMYFUNCTION("""COMPUTED_VALUE"""),46156.0)</f>
        <v>46156</v>
      </c>
      <c r="E1127" s="1" t="str">
        <f>IFERROR(__xludf.DUMMYFUNCTION("""COMPUTED_VALUE"""),"VF")</f>
        <v>VF</v>
      </c>
      <c r="F1127" s="1">
        <f>IFERROR(__xludf.DUMMYFUNCTION("""COMPUTED_VALUE"""),1.0)</f>
        <v>1</v>
      </c>
      <c r="G1127" s="1" t="str">
        <f>IFERROR(__xludf.DUMMYFUNCTION("""COMPUTED_VALUE"""),"PR002")</f>
        <v>PR002</v>
      </c>
      <c r="H1127" s="1" t="str">
        <f>IFERROR(__xludf.DUMMYFUNCTION("""COMPUTED_VALUE"""),"VD015")</f>
        <v>VD015</v>
      </c>
      <c r="I1127" s="1">
        <f>IFERROR(__xludf.DUMMYFUNCTION("""COMPUTED_VALUE"""),1.0)</f>
        <v>1</v>
      </c>
      <c r="J1127" s="1">
        <f>IFERROR(__xludf.DUMMYFUNCTION("""COMPUTED_VALUE"""),72.0)</f>
        <v>72</v>
      </c>
      <c r="K1127" s="1">
        <f>IFERROR(__xludf.DUMMYFUNCTION("""COMPUTED_VALUE"""),72.0)</f>
        <v>72</v>
      </c>
    </row>
    <row r="1128">
      <c r="A1128" s="1">
        <f>IFERROR(__xludf.DUMMYFUNCTION("""COMPUTED_VALUE"""),2000.0)</f>
        <v>2000</v>
      </c>
      <c r="B1128" s="1">
        <f>IFERROR(__xludf.DUMMYFUNCTION("""COMPUTED_VALUE"""),184279.0)</f>
        <v>184279</v>
      </c>
      <c r="C1128" s="1">
        <f>IFERROR(__xludf.DUMMYFUNCTION("""COMPUTED_VALUE"""),2026.0)</f>
        <v>2026</v>
      </c>
      <c r="D1128" s="1">
        <f>IFERROR(__xludf.DUMMYFUNCTION("""COMPUTED_VALUE"""),46155.0)</f>
        <v>46155</v>
      </c>
      <c r="E1128" s="1" t="str">
        <f>IFERROR(__xludf.DUMMYFUNCTION("""COMPUTED_VALUE"""),"VF")</f>
        <v>VF</v>
      </c>
      <c r="F1128" s="1">
        <f>IFERROR(__xludf.DUMMYFUNCTION("""COMPUTED_VALUE"""),1.0)</f>
        <v>1</v>
      </c>
      <c r="G1128" s="1" t="str">
        <f>IFERROR(__xludf.DUMMYFUNCTION("""COMPUTED_VALUE"""),"PR007")</f>
        <v>PR007</v>
      </c>
      <c r="H1128" s="1" t="str">
        <f>IFERROR(__xludf.DUMMYFUNCTION("""COMPUTED_VALUE"""),"VD035")</f>
        <v>VD035</v>
      </c>
      <c r="I1128" s="1">
        <f>IFERROR(__xludf.DUMMYFUNCTION("""COMPUTED_VALUE"""),2.0)</f>
        <v>2</v>
      </c>
      <c r="J1128" s="1">
        <f>IFERROR(__xludf.DUMMYFUNCTION("""COMPUTED_VALUE"""),185.54)</f>
        <v>185.54</v>
      </c>
      <c r="K1128" s="1">
        <f>IFERROR(__xludf.DUMMYFUNCTION("""COMPUTED_VALUE"""),185.54)</f>
        <v>185.54</v>
      </c>
    </row>
    <row r="1129">
      <c r="A1129" s="1">
        <f>IFERROR(__xludf.DUMMYFUNCTION("""COMPUTED_VALUE"""),1000.0)</f>
        <v>1000</v>
      </c>
      <c r="B1129" s="1">
        <f>IFERROR(__xludf.DUMMYFUNCTION("""COMPUTED_VALUE"""),184279.0)</f>
        <v>184279</v>
      </c>
      <c r="C1129" s="1">
        <f>IFERROR(__xludf.DUMMYFUNCTION("""COMPUTED_VALUE"""),2026.0)</f>
        <v>2026</v>
      </c>
      <c r="D1129" s="1">
        <f>IFERROR(__xludf.DUMMYFUNCTION("""COMPUTED_VALUE"""),46155.0)</f>
        <v>46155</v>
      </c>
      <c r="E1129" s="1" t="str">
        <f>IFERROR(__xludf.DUMMYFUNCTION("""COMPUTED_VALUE"""),"VF")</f>
        <v>VF</v>
      </c>
      <c r="F1129" s="1">
        <f>IFERROR(__xludf.DUMMYFUNCTION("""COMPUTED_VALUE"""),2.0)</f>
        <v>2</v>
      </c>
      <c r="G1129" s="1" t="str">
        <f>IFERROR(__xludf.DUMMYFUNCTION("""COMPUTED_VALUE"""),"PR012")</f>
        <v>PR012</v>
      </c>
      <c r="H1129" s="1" t="str">
        <f>IFERROR(__xludf.DUMMYFUNCTION("""COMPUTED_VALUE"""),"VD027")</f>
        <v>VD027</v>
      </c>
      <c r="I1129" s="1">
        <f>IFERROR(__xludf.DUMMYFUNCTION("""COMPUTED_VALUE"""),6.0)</f>
        <v>6</v>
      </c>
      <c r="J1129" s="1">
        <f>IFERROR(__xludf.DUMMYFUNCTION("""COMPUTED_VALUE"""),296.33)</f>
        <v>296.33</v>
      </c>
      <c r="K1129" s="1">
        <f>IFERROR(__xludf.DUMMYFUNCTION("""COMPUTED_VALUE"""),296.33)</f>
        <v>296.33</v>
      </c>
    </row>
    <row r="1130">
      <c r="A1130" s="1">
        <f>IFERROR(__xludf.DUMMYFUNCTION("""COMPUTED_VALUE"""),1000.0)</f>
        <v>1000</v>
      </c>
      <c r="B1130" s="1">
        <f>IFERROR(__xludf.DUMMYFUNCTION("""COMPUTED_VALUE"""),184280.0)</f>
        <v>184280</v>
      </c>
      <c r="C1130" s="1">
        <f>IFERROR(__xludf.DUMMYFUNCTION("""COMPUTED_VALUE"""),2026.0)</f>
        <v>2026</v>
      </c>
      <c r="D1130" s="1">
        <f>IFERROR(__xludf.DUMMYFUNCTION("""COMPUTED_VALUE"""),46155.0)</f>
        <v>46155</v>
      </c>
      <c r="E1130" s="1" t="str">
        <f>IFERROR(__xludf.DUMMYFUNCTION("""COMPUTED_VALUE"""),"VF")</f>
        <v>VF</v>
      </c>
      <c r="F1130" s="1">
        <f>IFERROR(__xludf.DUMMYFUNCTION("""COMPUTED_VALUE"""),1.0)</f>
        <v>1</v>
      </c>
      <c r="G1130" s="1" t="str">
        <f>IFERROR(__xludf.DUMMYFUNCTION("""COMPUTED_VALUE"""),"PR034")</f>
        <v>PR034</v>
      </c>
      <c r="H1130" s="1" t="str">
        <f>IFERROR(__xludf.DUMMYFUNCTION("""COMPUTED_VALUE"""),"VD017")</f>
        <v>VD017</v>
      </c>
      <c r="I1130" s="1">
        <f>IFERROR(__xludf.DUMMYFUNCTION("""COMPUTED_VALUE"""),3.0)</f>
        <v>3</v>
      </c>
      <c r="J1130" s="1">
        <f>IFERROR(__xludf.DUMMYFUNCTION("""COMPUTED_VALUE"""),275.09)</f>
        <v>275.09</v>
      </c>
      <c r="K1130" s="1">
        <f>IFERROR(__xludf.DUMMYFUNCTION("""COMPUTED_VALUE"""),275.09)</f>
        <v>275.09</v>
      </c>
    </row>
    <row r="1131">
      <c r="A1131" s="1">
        <f>IFERROR(__xludf.DUMMYFUNCTION("""COMPUTED_VALUE"""),2000.0)</f>
        <v>2000</v>
      </c>
      <c r="B1131" s="1">
        <f>IFERROR(__xludf.DUMMYFUNCTION("""COMPUTED_VALUE"""),184280.0)</f>
        <v>184280</v>
      </c>
      <c r="C1131" s="1">
        <f>IFERROR(__xludf.DUMMYFUNCTION("""COMPUTED_VALUE"""),2026.0)</f>
        <v>2026</v>
      </c>
      <c r="D1131" s="1">
        <f>IFERROR(__xludf.DUMMYFUNCTION("""COMPUTED_VALUE"""),46155.0)</f>
        <v>46155</v>
      </c>
      <c r="E1131" s="1" t="str">
        <f>IFERROR(__xludf.DUMMYFUNCTION("""COMPUTED_VALUE"""),"VF")</f>
        <v>VF</v>
      </c>
      <c r="F1131" s="1">
        <f>IFERROR(__xludf.DUMMYFUNCTION("""COMPUTED_VALUE"""),2.0)</f>
        <v>2</v>
      </c>
      <c r="G1131" s="1" t="str">
        <f>IFERROR(__xludf.DUMMYFUNCTION("""COMPUTED_VALUE"""),"PR039")</f>
        <v>PR039</v>
      </c>
      <c r="H1131" s="1" t="str">
        <f>IFERROR(__xludf.DUMMYFUNCTION("""COMPUTED_VALUE"""),"VD020")</f>
        <v>VD020</v>
      </c>
      <c r="I1131" s="1">
        <f>IFERROR(__xludf.DUMMYFUNCTION("""COMPUTED_VALUE"""),14.0)</f>
        <v>14</v>
      </c>
      <c r="J1131" s="1">
        <f>IFERROR(__xludf.DUMMYFUNCTION("""COMPUTED_VALUE"""),2125.76)</f>
        <v>2125.76</v>
      </c>
      <c r="K1131" s="1">
        <f>IFERROR(__xludf.DUMMYFUNCTION("""COMPUTED_VALUE"""),2125.76)</f>
        <v>2125.76</v>
      </c>
    </row>
    <row r="1132">
      <c r="A1132" s="1">
        <f>IFERROR(__xludf.DUMMYFUNCTION("""COMPUTED_VALUE"""),1000.0)</f>
        <v>1000</v>
      </c>
      <c r="B1132" s="1">
        <f>IFERROR(__xludf.DUMMYFUNCTION("""COMPUTED_VALUE"""),184281.0)</f>
        <v>184281</v>
      </c>
      <c r="C1132" s="1">
        <f>IFERROR(__xludf.DUMMYFUNCTION("""COMPUTED_VALUE"""),2026.0)</f>
        <v>2026</v>
      </c>
      <c r="D1132" s="1">
        <f>IFERROR(__xludf.DUMMYFUNCTION("""COMPUTED_VALUE"""),46154.0)</f>
        <v>46154</v>
      </c>
      <c r="E1132" s="1" t="str">
        <f>IFERROR(__xludf.DUMMYFUNCTION("""COMPUTED_VALUE"""),"VF")</f>
        <v>VF</v>
      </c>
      <c r="F1132" s="1">
        <f>IFERROR(__xludf.DUMMYFUNCTION("""COMPUTED_VALUE"""),1.0)</f>
        <v>1</v>
      </c>
      <c r="G1132" s="1" t="str">
        <f>IFERROR(__xludf.DUMMYFUNCTION("""COMPUTED_VALUE"""),"PR015")</f>
        <v>PR015</v>
      </c>
      <c r="H1132" s="1" t="str">
        <f>IFERROR(__xludf.DUMMYFUNCTION("""COMPUTED_VALUE"""),"VD048")</f>
        <v>VD048</v>
      </c>
      <c r="I1132" s="1">
        <f>IFERROR(__xludf.DUMMYFUNCTION("""COMPUTED_VALUE"""),6.0)</f>
        <v>6</v>
      </c>
      <c r="J1132" s="1">
        <f>IFERROR(__xludf.DUMMYFUNCTION("""COMPUTED_VALUE"""),267.75)</f>
        <v>267.75</v>
      </c>
      <c r="K1132" s="1">
        <f>IFERROR(__xludf.DUMMYFUNCTION("""COMPUTED_VALUE"""),267.75)</f>
        <v>267.75</v>
      </c>
    </row>
    <row r="1133">
      <c r="A1133" s="1">
        <f>IFERROR(__xludf.DUMMYFUNCTION("""COMPUTED_VALUE"""),2000.0)</f>
        <v>2000</v>
      </c>
      <c r="B1133" s="1">
        <f>IFERROR(__xludf.DUMMYFUNCTION("""COMPUTED_VALUE"""),184281.0)</f>
        <v>184281</v>
      </c>
      <c r="C1133" s="1">
        <f>IFERROR(__xludf.DUMMYFUNCTION("""COMPUTED_VALUE"""),2026.0)</f>
        <v>2026</v>
      </c>
      <c r="D1133" s="1">
        <f>IFERROR(__xludf.DUMMYFUNCTION("""COMPUTED_VALUE"""),46154.0)</f>
        <v>46154</v>
      </c>
      <c r="E1133" s="1" t="str">
        <f>IFERROR(__xludf.DUMMYFUNCTION("""COMPUTED_VALUE"""),"VF")</f>
        <v>VF</v>
      </c>
      <c r="F1133" s="1">
        <f>IFERROR(__xludf.DUMMYFUNCTION("""COMPUTED_VALUE"""),2.0)</f>
        <v>2</v>
      </c>
      <c r="G1133" s="1" t="str">
        <f>IFERROR(__xludf.DUMMYFUNCTION("""COMPUTED_VALUE"""),"PR029")</f>
        <v>PR029</v>
      </c>
      <c r="H1133" s="1" t="str">
        <f>IFERROR(__xludf.DUMMYFUNCTION("""COMPUTED_VALUE"""),"VD043")</f>
        <v>VD043</v>
      </c>
      <c r="I1133" s="1">
        <f>IFERROR(__xludf.DUMMYFUNCTION("""COMPUTED_VALUE"""),5.0)</f>
        <v>5</v>
      </c>
      <c r="J1133" s="1">
        <f>IFERROR(__xludf.DUMMYFUNCTION("""COMPUTED_VALUE"""),1300.5)</f>
        <v>1300.5</v>
      </c>
      <c r="K1133" s="1">
        <f>IFERROR(__xludf.DUMMYFUNCTION("""COMPUTED_VALUE"""),1300.5)</f>
        <v>1300.5</v>
      </c>
    </row>
    <row r="1134">
      <c r="A1134" s="1">
        <f>IFERROR(__xludf.DUMMYFUNCTION("""COMPUTED_VALUE"""),1000.0)</f>
        <v>1000</v>
      </c>
      <c r="B1134" s="1">
        <f>IFERROR(__xludf.DUMMYFUNCTION("""COMPUTED_VALUE"""),184282.0)</f>
        <v>184282</v>
      </c>
      <c r="C1134" s="1">
        <f>IFERROR(__xludf.DUMMYFUNCTION("""COMPUTED_VALUE"""),2026.0)</f>
        <v>2026</v>
      </c>
      <c r="D1134" s="1">
        <f>IFERROR(__xludf.DUMMYFUNCTION("""COMPUTED_VALUE"""),46153.0)</f>
        <v>46153</v>
      </c>
      <c r="E1134" s="1" t="str">
        <f>IFERROR(__xludf.DUMMYFUNCTION("""COMPUTED_VALUE"""),"VF")</f>
        <v>VF</v>
      </c>
      <c r="F1134" s="1">
        <f>IFERROR(__xludf.DUMMYFUNCTION("""COMPUTED_VALUE"""),1.0)</f>
        <v>1</v>
      </c>
      <c r="G1134" s="1" t="str">
        <f>IFERROR(__xludf.DUMMYFUNCTION("""COMPUTED_VALUE"""),"PR016")</f>
        <v>PR016</v>
      </c>
      <c r="H1134" s="1" t="str">
        <f>IFERROR(__xludf.DUMMYFUNCTION("""COMPUTED_VALUE"""),"VD039")</f>
        <v>VD039</v>
      </c>
      <c r="I1134" s="1">
        <f>IFERROR(__xludf.DUMMYFUNCTION("""COMPUTED_VALUE"""),4.0)</f>
        <v>4</v>
      </c>
      <c r="J1134" s="1">
        <f>IFERROR(__xludf.DUMMYFUNCTION("""COMPUTED_VALUE"""),111.89)</f>
        <v>111.89</v>
      </c>
      <c r="K1134" s="1">
        <f>IFERROR(__xludf.DUMMYFUNCTION("""COMPUTED_VALUE"""),111.89)</f>
        <v>111.89</v>
      </c>
    </row>
    <row r="1135">
      <c r="A1135" s="1">
        <f>IFERROR(__xludf.DUMMYFUNCTION("""COMPUTED_VALUE"""),1000.0)</f>
        <v>1000</v>
      </c>
      <c r="B1135" s="1">
        <f>IFERROR(__xludf.DUMMYFUNCTION("""COMPUTED_VALUE"""),184283.0)</f>
        <v>184283</v>
      </c>
      <c r="C1135" s="1">
        <f>IFERROR(__xludf.DUMMYFUNCTION("""COMPUTED_VALUE"""),2026.0)</f>
        <v>2026</v>
      </c>
      <c r="D1135" s="1">
        <f>IFERROR(__xludf.DUMMYFUNCTION("""COMPUTED_VALUE"""),46153.0)</f>
        <v>46153</v>
      </c>
      <c r="E1135" s="1" t="str">
        <f>IFERROR(__xludf.DUMMYFUNCTION("""COMPUTED_VALUE"""),"VF")</f>
        <v>VF</v>
      </c>
      <c r="F1135" s="1">
        <f>IFERROR(__xludf.DUMMYFUNCTION("""COMPUTED_VALUE"""),1.0)</f>
        <v>1</v>
      </c>
      <c r="G1135" s="1" t="str">
        <f>IFERROR(__xludf.DUMMYFUNCTION("""COMPUTED_VALUE"""),"PR012")</f>
        <v>PR012</v>
      </c>
      <c r="H1135" s="1" t="str">
        <f>IFERROR(__xludf.DUMMYFUNCTION("""COMPUTED_VALUE"""),"VD037")</f>
        <v>VD037</v>
      </c>
      <c r="I1135" s="1">
        <f>IFERROR(__xludf.DUMMYFUNCTION("""COMPUTED_VALUE"""),2.0)</f>
        <v>2</v>
      </c>
      <c r="J1135" s="1">
        <f>IFERROR(__xludf.DUMMYFUNCTION("""COMPUTED_VALUE"""),99.76)</f>
        <v>99.76</v>
      </c>
      <c r="K1135" s="1">
        <f>IFERROR(__xludf.DUMMYFUNCTION("""COMPUTED_VALUE"""),99.76)</f>
        <v>99.76</v>
      </c>
    </row>
    <row r="1136">
      <c r="A1136" s="1">
        <f>IFERROR(__xludf.DUMMYFUNCTION("""COMPUTED_VALUE"""),1000.0)</f>
        <v>1000</v>
      </c>
      <c r="B1136" s="1">
        <f>IFERROR(__xludf.DUMMYFUNCTION("""COMPUTED_VALUE"""),184283.0)</f>
        <v>184283</v>
      </c>
      <c r="C1136" s="1">
        <f>IFERROR(__xludf.DUMMYFUNCTION("""COMPUTED_VALUE"""),2026.0)</f>
        <v>2026</v>
      </c>
      <c r="D1136" s="1">
        <f>IFERROR(__xludf.DUMMYFUNCTION("""COMPUTED_VALUE"""),46152.0)</f>
        <v>46152</v>
      </c>
      <c r="E1136" s="1" t="str">
        <f>IFERROR(__xludf.DUMMYFUNCTION("""COMPUTED_VALUE"""),"VF")</f>
        <v>VF</v>
      </c>
      <c r="F1136" s="1">
        <f>IFERROR(__xludf.DUMMYFUNCTION("""COMPUTED_VALUE"""),2.0)</f>
        <v>2</v>
      </c>
      <c r="G1136" s="1" t="str">
        <f>IFERROR(__xludf.DUMMYFUNCTION("""COMPUTED_VALUE"""),"PR020")</f>
        <v>PR020</v>
      </c>
      <c r="H1136" s="1" t="str">
        <f>IFERROR(__xludf.DUMMYFUNCTION("""COMPUTED_VALUE"""),"VD014")</f>
        <v>VD014</v>
      </c>
      <c r="I1136" s="1">
        <f>IFERROR(__xludf.DUMMYFUNCTION("""COMPUTED_VALUE"""),2.0)</f>
        <v>2</v>
      </c>
      <c r="J1136" s="1">
        <f>IFERROR(__xludf.DUMMYFUNCTION("""COMPUTED_VALUE"""),659.78)</f>
        <v>659.78</v>
      </c>
      <c r="K1136" s="1">
        <f>IFERROR(__xludf.DUMMYFUNCTION("""COMPUTED_VALUE"""),659.78)</f>
        <v>659.78</v>
      </c>
    </row>
    <row r="1137">
      <c r="A1137" s="1">
        <f>IFERROR(__xludf.DUMMYFUNCTION("""COMPUTED_VALUE"""),1000.0)</f>
        <v>1000</v>
      </c>
      <c r="B1137" s="1">
        <f>IFERROR(__xludf.DUMMYFUNCTION("""COMPUTED_VALUE"""),184284.0)</f>
        <v>184284</v>
      </c>
      <c r="C1137" s="1">
        <f>IFERROR(__xludf.DUMMYFUNCTION("""COMPUTED_VALUE"""),2026.0)</f>
        <v>2026</v>
      </c>
      <c r="D1137" s="1">
        <f>IFERROR(__xludf.DUMMYFUNCTION("""COMPUTED_VALUE"""),46152.0)</f>
        <v>46152</v>
      </c>
      <c r="E1137" s="1" t="str">
        <f>IFERROR(__xludf.DUMMYFUNCTION("""COMPUTED_VALUE"""),"VF")</f>
        <v>VF</v>
      </c>
      <c r="F1137" s="1">
        <f>IFERROR(__xludf.DUMMYFUNCTION("""COMPUTED_VALUE"""),1.0)</f>
        <v>1</v>
      </c>
      <c r="G1137" s="1" t="str">
        <f>IFERROR(__xludf.DUMMYFUNCTION("""COMPUTED_VALUE"""),"PR043")</f>
        <v>PR043</v>
      </c>
      <c r="H1137" s="1" t="str">
        <f>IFERROR(__xludf.DUMMYFUNCTION("""COMPUTED_VALUE"""),"VD039")</f>
        <v>VD039</v>
      </c>
      <c r="I1137" s="1">
        <f>IFERROR(__xludf.DUMMYFUNCTION("""COMPUTED_VALUE"""),8.0)</f>
        <v>8</v>
      </c>
      <c r="J1137" s="1">
        <f>IFERROR(__xludf.DUMMYFUNCTION("""COMPUTED_VALUE"""),585.8)</f>
        <v>585.8</v>
      </c>
      <c r="K1137" s="1">
        <f>IFERROR(__xludf.DUMMYFUNCTION("""COMPUTED_VALUE"""),585.8)</f>
        <v>585.8</v>
      </c>
    </row>
    <row r="1138">
      <c r="A1138" s="1">
        <f>IFERROR(__xludf.DUMMYFUNCTION("""COMPUTED_VALUE"""),1000.0)</f>
        <v>1000</v>
      </c>
      <c r="B1138" s="1">
        <f>IFERROR(__xludf.DUMMYFUNCTION("""COMPUTED_VALUE"""),184284.0)</f>
        <v>184284</v>
      </c>
      <c r="C1138" s="1">
        <f>IFERROR(__xludf.DUMMYFUNCTION("""COMPUTED_VALUE"""),2026.0)</f>
        <v>2026</v>
      </c>
      <c r="D1138" s="1">
        <f>IFERROR(__xludf.DUMMYFUNCTION("""COMPUTED_VALUE"""),46151.0)</f>
        <v>46151</v>
      </c>
      <c r="E1138" s="1" t="str">
        <f>IFERROR(__xludf.DUMMYFUNCTION("""COMPUTED_VALUE"""),"VF")</f>
        <v>VF</v>
      </c>
      <c r="F1138" s="1">
        <f>IFERROR(__xludf.DUMMYFUNCTION("""COMPUTED_VALUE"""),2.0)</f>
        <v>2</v>
      </c>
      <c r="G1138" s="1" t="str">
        <f>IFERROR(__xludf.DUMMYFUNCTION("""COMPUTED_VALUE"""),"PR059")</f>
        <v>PR059</v>
      </c>
      <c r="H1138" s="1" t="str">
        <f>IFERROR(__xludf.DUMMYFUNCTION("""COMPUTED_VALUE"""),"VD039")</f>
        <v>VD039</v>
      </c>
      <c r="I1138" s="1">
        <f>IFERROR(__xludf.DUMMYFUNCTION("""COMPUTED_VALUE"""),14.0)</f>
        <v>14</v>
      </c>
      <c r="J1138" s="1">
        <f>IFERROR(__xludf.DUMMYFUNCTION("""COMPUTED_VALUE"""),2620.8)</f>
        <v>2620.8</v>
      </c>
      <c r="K1138" s="1">
        <f>IFERROR(__xludf.DUMMYFUNCTION("""COMPUTED_VALUE"""),2620.8)</f>
        <v>2620.8</v>
      </c>
    </row>
    <row r="1139">
      <c r="A1139" s="1">
        <f>IFERROR(__xludf.DUMMYFUNCTION("""COMPUTED_VALUE"""),1000.0)</f>
        <v>1000</v>
      </c>
      <c r="B1139" s="1">
        <f>IFERROR(__xludf.DUMMYFUNCTION("""COMPUTED_VALUE"""),184285.0)</f>
        <v>184285</v>
      </c>
      <c r="C1139" s="1">
        <f>IFERROR(__xludf.DUMMYFUNCTION("""COMPUTED_VALUE"""),2026.0)</f>
        <v>2026</v>
      </c>
      <c r="D1139" s="1">
        <f>IFERROR(__xludf.DUMMYFUNCTION("""COMPUTED_VALUE"""),46151.0)</f>
        <v>46151</v>
      </c>
      <c r="E1139" s="1" t="str">
        <f>IFERROR(__xludf.DUMMYFUNCTION("""COMPUTED_VALUE"""),"VF")</f>
        <v>VF</v>
      </c>
      <c r="F1139" s="1">
        <f>IFERROR(__xludf.DUMMYFUNCTION("""COMPUTED_VALUE"""),1.0)</f>
        <v>1</v>
      </c>
      <c r="G1139" s="1" t="str">
        <f>IFERROR(__xludf.DUMMYFUNCTION("""COMPUTED_VALUE"""),"PR053")</f>
        <v>PR053</v>
      </c>
      <c r="H1139" s="1" t="str">
        <f>IFERROR(__xludf.DUMMYFUNCTION("""COMPUTED_VALUE"""),"VD035")</f>
        <v>VD035</v>
      </c>
      <c r="I1139" s="1">
        <f>IFERROR(__xludf.DUMMYFUNCTION("""COMPUTED_VALUE"""),1.0)</f>
        <v>1</v>
      </c>
      <c r="J1139" s="1">
        <f>IFERROR(__xludf.DUMMYFUNCTION("""COMPUTED_VALUE"""),51.4)</f>
        <v>51.4</v>
      </c>
      <c r="K1139" s="1">
        <f>IFERROR(__xludf.DUMMYFUNCTION("""COMPUTED_VALUE"""),51.4)</f>
        <v>51.4</v>
      </c>
    </row>
    <row r="1140">
      <c r="A1140" s="1">
        <f>IFERROR(__xludf.DUMMYFUNCTION("""COMPUTED_VALUE"""),1000.0)</f>
        <v>1000</v>
      </c>
      <c r="B1140" s="1">
        <f>IFERROR(__xludf.DUMMYFUNCTION("""COMPUTED_VALUE"""),184286.0)</f>
        <v>184286</v>
      </c>
      <c r="C1140" s="1">
        <f>IFERROR(__xludf.DUMMYFUNCTION("""COMPUTED_VALUE"""),2026.0)</f>
        <v>2026</v>
      </c>
      <c r="D1140" s="1">
        <f>IFERROR(__xludf.DUMMYFUNCTION("""COMPUTED_VALUE"""),46151.0)</f>
        <v>46151</v>
      </c>
      <c r="E1140" s="1" t="str">
        <f>IFERROR(__xludf.DUMMYFUNCTION("""COMPUTED_VALUE"""),"VF")</f>
        <v>VF</v>
      </c>
      <c r="F1140" s="1">
        <f>IFERROR(__xludf.DUMMYFUNCTION("""COMPUTED_VALUE"""),1.0)</f>
        <v>1</v>
      </c>
      <c r="G1140" s="1" t="str">
        <f>IFERROR(__xludf.DUMMYFUNCTION("""COMPUTED_VALUE"""),"PR016")</f>
        <v>PR016</v>
      </c>
      <c r="H1140" s="1" t="str">
        <f>IFERROR(__xludf.DUMMYFUNCTION("""COMPUTED_VALUE"""),"VD041")</f>
        <v>VD041</v>
      </c>
      <c r="I1140" s="1">
        <f>IFERROR(__xludf.DUMMYFUNCTION("""COMPUTED_VALUE"""),10.0)</f>
        <v>10</v>
      </c>
      <c r="J1140" s="1">
        <f>IFERROR(__xludf.DUMMYFUNCTION("""COMPUTED_VALUE"""),271.95)</f>
        <v>271.95</v>
      </c>
      <c r="K1140" s="1">
        <f>IFERROR(__xludf.DUMMYFUNCTION("""COMPUTED_VALUE"""),271.95)</f>
        <v>271.95</v>
      </c>
    </row>
    <row r="1141">
      <c r="A1141" s="1">
        <f>IFERROR(__xludf.DUMMYFUNCTION("""COMPUTED_VALUE"""),1000.0)</f>
        <v>1000</v>
      </c>
      <c r="B1141" s="1">
        <f>IFERROR(__xludf.DUMMYFUNCTION("""COMPUTED_VALUE"""),184286.0)</f>
        <v>184286</v>
      </c>
      <c r="C1141" s="1">
        <f>IFERROR(__xludf.DUMMYFUNCTION("""COMPUTED_VALUE"""),2026.0)</f>
        <v>2026</v>
      </c>
      <c r="D1141" s="1">
        <f>IFERROR(__xludf.DUMMYFUNCTION("""COMPUTED_VALUE"""),46151.0)</f>
        <v>46151</v>
      </c>
      <c r="E1141" s="1" t="str">
        <f>IFERROR(__xludf.DUMMYFUNCTION("""COMPUTED_VALUE"""),"VF")</f>
        <v>VF</v>
      </c>
      <c r="F1141" s="1">
        <f>IFERROR(__xludf.DUMMYFUNCTION("""COMPUTED_VALUE"""),2.0)</f>
        <v>2</v>
      </c>
      <c r="G1141" s="1" t="str">
        <f>IFERROR(__xludf.DUMMYFUNCTION("""COMPUTED_VALUE"""),"PR038")</f>
        <v>PR038</v>
      </c>
      <c r="H1141" s="1" t="str">
        <f>IFERROR(__xludf.DUMMYFUNCTION("""COMPUTED_VALUE"""),"VD031")</f>
        <v>VD031</v>
      </c>
      <c r="I1141" s="1">
        <f>IFERROR(__xludf.DUMMYFUNCTION("""COMPUTED_VALUE"""),8.0)</f>
        <v>8</v>
      </c>
      <c r="J1141" s="1">
        <f>IFERROR(__xludf.DUMMYFUNCTION("""COMPUTED_VALUE"""),1177.5)</f>
        <v>1177.5</v>
      </c>
      <c r="K1141" s="1">
        <f>IFERROR(__xludf.DUMMYFUNCTION("""COMPUTED_VALUE"""),1177.5)</f>
        <v>1177.5</v>
      </c>
    </row>
    <row r="1142">
      <c r="A1142" s="1">
        <f>IFERROR(__xludf.DUMMYFUNCTION("""COMPUTED_VALUE"""),1000.0)</f>
        <v>1000</v>
      </c>
      <c r="B1142" s="1">
        <f>IFERROR(__xludf.DUMMYFUNCTION("""COMPUTED_VALUE"""),184287.0)</f>
        <v>184287</v>
      </c>
      <c r="C1142" s="1">
        <f>IFERROR(__xludf.DUMMYFUNCTION("""COMPUTED_VALUE"""),2026.0)</f>
        <v>2026</v>
      </c>
      <c r="D1142" s="1">
        <f>IFERROR(__xludf.DUMMYFUNCTION("""COMPUTED_VALUE"""),46151.0)</f>
        <v>46151</v>
      </c>
      <c r="E1142" s="1" t="str">
        <f>IFERROR(__xludf.DUMMYFUNCTION("""COMPUTED_VALUE"""),"VF")</f>
        <v>VF</v>
      </c>
      <c r="F1142" s="1">
        <f>IFERROR(__xludf.DUMMYFUNCTION("""COMPUTED_VALUE"""),1.0)</f>
        <v>1</v>
      </c>
      <c r="G1142" s="1" t="str">
        <f>IFERROR(__xludf.DUMMYFUNCTION("""COMPUTED_VALUE"""),"PR059")</f>
        <v>PR059</v>
      </c>
      <c r="H1142" s="1" t="str">
        <f>IFERROR(__xludf.DUMMYFUNCTION("""COMPUTED_VALUE"""),"VD045")</f>
        <v>VD045</v>
      </c>
      <c r="I1142" s="1">
        <f>IFERROR(__xludf.DUMMYFUNCTION("""COMPUTED_VALUE"""),2.0)</f>
        <v>2</v>
      </c>
      <c r="J1142" s="1">
        <f>IFERROR(__xludf.DUMMYFUNCTION("""COMPUTED_VALUE"""),378.0)</f>
        <v>378</v>
      </c>
      <c r="K1142" s="1">
        <f>IFERROR(__xludf.DUMMYFUNCTION("""COMPUTED_VALUE"""),378.0)</f>
        <v>378</v>
      </c>
    </row>
    <row r="1143">
      <c r="A1143" s="1">
        <f>IFERROR(__xludf.DUMMYFUNCTION("""COMPUTED_VALUE"""),2000.0)</f>
        <v>2000</v>
      </c>
      <c r="B1143" s="1">
        <f>IFERROR(__xludf.DUMMYFUNCTION("""COMPUTED_VALUE"""),184288.0)</f>
        <v>184288</v>
      </c>
      <c r="C1143" s="1">
        <f>IFERROR(__xludf.DUMMYFUNCTION("""COMPUTED_VALUE"""),2026.0)</f>
        <v>2026</v>
      </c>
      <c r="D1143" s="1">
        <f>IFERROR(__xludf.DUMMYFUNCTION("""COMPUTED_VALUE"""),46151.0)</f>
        <v>46151</v>
      </c>
      <c r="E1143" s="1" t="str">
        <f>IFERROR(__xludf.DUMMYFUNCTION("""COMPUTED_VALUE"""),"VF")</f>
        <v>VF</v>
      </c>
      <c r="F1143" s="1">
        <f>IFERROR(__xludf.DUMMYFUNCTION("""COMPUTED_VALUE"""),1.0)</f>
        <v>1</v>
      </c>
      <c r="G1143" s="1" t="str">
        <f>IFERROR(__xludf.DUMMYFUNCTION("""COMPUTED_VALUE"""),"PR047")</f>
        <v>PR047</v>
      </c>
      <c r="H1143" s="1" t="str">
        <f>IFERROR(__xludf.DUMMYFUNCTION("""COMPUTED_VALUE"""),"VD018")</f>
        <v>VD018</v>
      </c>
      <c r="I1143" s="1">
        <f>IFERROR(__xludf.DUMMYFUNCTION("""COMPUTED_VALUE"""),16.0)</f>
        <v>16</v>
      </c>
      <c r="J1143" s="1">
        <f>IFERROR(__xludf.DUMMYFUNCTION("""COMPUTED_VALUE"""),4731.17)</f>
        <v>4731.17</v>
      </c>
      <c r="K1143" s="1">
        <f>IFERROR(__xludf.DUMMYFUNCTION("""COMPUTED_VALUE"""),4731.17)</f>
        <v>4731.17</v>
      </c>
    </row>
    <row r="1144">
      <c r="A1144" s="1">
        <f>IFERROR(__xludf.DUMMYFUNCTION("""COMPUTED_VALUE"""),1000.0)</f>
        <v>1000</v>
      </c>
      <c r="B1144" s="1">
        <f>IFERROR(__xludf.DUMMYFUNCTION("""COMPUTED_VALUE"""),184289.0)</f>
        <v>184289</v>
      </c>
      <c r="C1144" s="1">
        <f>IFERROR(__xludf.DUMMYFUNCTION("""COMPUTED_VALUE"""),2026.0)</f>
        <v>2026</v>
      </c>
      <c r="D1144" s="1">
        <f>IFERROR(__xludf.DUMMYFUNCTION("""COMPUTED_VALUE"""),46151.0)</f>
        <v>46151</v>
      </c>
      <c r="E1144" s="1" t="str">
        <f>IFERROR(__xludf.DUMMYFUNCTION("""COMPUTED_VALUE"""),"VF")</f>
        <v>VF</v>
      </c>
      <c r="F1144" s="1">
        <f>IFERROR(__xludf.DUMMYFUNCTION("""COMPUTED_VALUE"""),1.0)</f>
        <v>1</v>
      </c>
      <c r="G1144" s="1" t="str">
        <f>IFERROR(__xludf.DUMMYFUNCTION("""COMPUTED_VALUE"""),"PR011")</f>
        <v>PR011</v>
      </c>
      <c r="H1144" s="1" t="str">
        <f>IFERROR(__xludf.DUMMYFUNCTION("""COMPUTED_VALUE"""),"VD032")</f>
        <v>VD032</v>
      </c>
      <c r="I1144" s="1">
        <f>IFERROR(__xludf.DUMMYFUNCTION("""COMPUTED_VALUE"""),2.0)</f>
        <v>2</v>
      </c>
      <c r="J1144" s="1">
        <f>IFERROR(__xludf.DUMMYFUNCTION("""COMPUTED_VALUE"""),95.68)</f>
        <v>95.68</v>
      </c>
      <c r="K1144" s="1">
        <f>IFERROR(__xludf.DUMMYFUNCTION("""COMPUTED_VALUE"""),95.68)</f>
        <v>95.68</v>
      </c>
    </row>
    <row r="1145">
      <c r="A1145" s="1">
        <f>IFERROR(__xludf.DUMMYFUNCTION("""COMPUTED_VALUE"""),1000.0)</f>
        <v>1000</v>
      </c>
      <c r="B1145" s="1">
        <f>IFERROR(__xludf.DUMMYFUNCTION("""COMPUTED_VALUE"""),184290.0)</f>
        <v>184290</v>
      </c>
      <c r="C1145" s="1">
        <f>IFERROR(__xludf.DUMMYFUNCTION("""COMPUTED_VALUE"""),2026.0)</f>
        <v>2026</v>
      </c>
      <c r="D1145" s="1">
        <f>IFERROR(__xludf.DUMMYFUNCTION("""COMPUTED_VALUE"""),46150.0)</f>
        <v>46150</v>
      </c>
      <c r="E1145" s="1" t="str">
        <f>IFERROR(__xludf.DUMMYFUNCTION("""COMPUTED_VALUE"""),"VF")</f>
        <v>VF</v>
      </c>
      <c r="F1145" s="1">
        <f>IFERROR(__xludf.DUMMYFUNCTION("""COMPUTED_VALUE"""),1.0)</f>
        <v>1</v>
      </c>
      <c r="G1145" s="1" t="str">
        <f>IFERROR(__xludf.DUMMYFUNCTION("""COMPUTED_VALUE"""),"PR054")</f>
        <v>PR054</v>
      </c>
      <c r="H1145" s="1" t="str">
        <f>IFERROR(__xludf.DUMMYFUNCTION("""COMPUTED_VALUE"""),"VD046")</f>
        <v>VD046</v>
      </c>
      <c r="I1145" s="1">
        <f>IFERROR(__xludf.DUMMYFUNCTION("""COMPUTED_VALUE"""),8.0)</f>
        <v>8</v>
      </c>
      <c r="J1145" s="1">
        <f>IFERROR(__xludf.DUMMYFUNCTION("""COMPUTED_VALUE"""),431.14)</f>
        <v>431.14</v>
      </c>
      <c r="K1145" s="1">
        <f>IFERROR(__xludf.DUMMYFUNCTION("""COMPUTED_VALUE"""),431.14)</f>
        <v>431.14</v>
      </c>
    </row>
    <row r="1146">
      <c r="A1146" s="1">
        <f>IFERROR(__xludf.DUMMYFUNCTION("""COMPUTED_VALUE"""),1000.0)</f>
        <v>1000</v>
      </c>
      <c r="B1146" s="1">
        <f>IFERROR(__xludf.DUMMYFUNCTION("""COMPUTED_VALUE"""),184291.0)</f>
        <v>184291</v>
      </c>
      <c r="C1146" s="1">
        <f>IFERROR(__xludf.DUMMYFUNCTION("""COMPUTED_VALUE"""),2026.0)</f>
        <v>2026</v>
      </c>
      <c r="D1146" s="1">
        <f>IFERROR(__xludf.DUMMYFUNCTION("""COMPUTED_VALUE"""),46150.0)</f>
        <v>46150</v>
      </c>
      <c r="E1146" s="1" t="str">
        <f>IFERROR(__xludf.DUMMYFUNCTION("""COMPUTED_VALUE"""),"VF")</f>
        <v>VF</v>
      </c>
      <c r="F1146" s="1">
        <f>IFERROR(__xludf.DUMMYFUNCTION("""COMPUTED_VALUE"""),1.0)</f>
        <v>1</v>
      </c>
      <c r="G1146" s="1" t="str">
        <f>IFERROR(__xludf.DUMMYFUNCTION("""COMPUTED_VALUE"""),"PR058")</f>
        <v>PR058</v>
      </c>
      <c r="H1146" s="1" t="str">
        <f>IFERROR(__xludf.DUMMYFUNCTION("""COMPUTED_VALUE"""),"VD033")</f>
        <v>VD033</v>
      </c>
      <c r="I1146" s="1">
        <f>IFERROR(__xludf.DUMMYFUNCTION("""COMPUTED_VALUE"""),10.0)</f>
        <v>10</v>
      </c>
      <c r="J1146" s="1">
        <f>IFERROR(__xludf.DUMMYFUNCTION("""COMPUTED_VALUE"""),1980.0)</f>
        <v>1980</v>
      </c>
      <c r="K1146" s="1">
        <f>IFERROR(__xludf.DUMMYFUNCTION("""COMPUTED_VALUE"""),1980.0)</f>
        <v>1980</v>
      </c>
    </row>
    <row r="1147">
      <c r="A1147" s="1">
        <f>IFERROR(__xludf.DUMMYFUNCTION("""COMPUTED_VALUE"""),2000.0)</f>
        <v>2000</v>
      </c>
      <c r="B1147" s="1">
        <f>IFERROR(__xludf.DUMMYFUNCTION("""COMPUTED_VALUE"""),184292.0)</f>
        <v>184292</v>
      </c>
      <c r="C1147" s="1">
        <f>IFERROR(__xludf.DUMMYFUNCTION("""COMPUTED_VALUE"""),2026.0)</f>
        <v>2026</v>
      </c>
      <c r="D1147" s="1">
        <f>IFERROR(__xludf.DUMMYFUNCTION("""COMPUTED_VALUE"""),46149.0)</f>
        <v>46149</v>
      </c>
      <c r="E1147" s="1" t="str">
        <f>IFERROR(__xludf.DUMMYFUNCTION("""COMPUTED_VALUE"""),"VF")</f>
        <v>VF</v>
      </c>
      <c r="F1147" s="1">
        <f>IFERROR(__xludf.DUMMYFUNCTION("""COMPUTED_VALUE"""),1.0)</f>
        <v>1</v>
      </c>
      <c r="G1147" s="1" t="str">
        <f>IFERROR(__xludf.DUMMYFUNCTION("""COMPUTED_VALUE"""),"PR002")</f>
        <v>PR002</v>
      </c>
      <c r="H1147" s="1" t="str">
        <f>IFERROR(__xludf.DUMMYFUNCTION("""COMPUTED_VALUE"""),"VD043")</f>
        <v>VD043</v>
      </c>
      <c r="I1147" s="1">
        <f>IFERROR(__xludf.DUMMYFUNCTION("""COMPUTED_VALUE"""),16.0)</f>
        <v>16</v>
      </c>
      <c r="J1147" s="1">
        <f>IFERROR(__xludf.DUMMYFUNCTION("""COMPUTED_VALUE"""),1118.4)</f>
        <v>1118.4</v>
      </c>
      <c r="K1147" s="1">
        <f>IFERROR(__xludf.DUMMYFUNCTION("""COMPUTED_VALUE"""),1118.4)</f>
        <v>1118.4</v>
      </c>
    </row>
    <row r="1148">
      <c r="A1148" s="1">
        <f>IFERROR(__xludf.DUMMYFUNCTION("""COMPUTED_VALUE"""),1000.0)</f>
        <v>1000</v>
      </c>
      <c r="B1148" s="1">
        <f>IFERROR(__xludf.DUMMYFUNCTION("""COMPUTED_VALUE"""),184293.0)</f>
        <v>184293</v>
      </c>
      <c r="C1148" s="1">
        <f>IFERROR(__xludf.DUMMYFUNCTION("""COMPUTED_VALUE"""),2026.0)</f>
        <v>2026</v>
      </c>
      <c r="D1148" s="1">
        <f>IFERROR(__xludf.DUMMYFUNCTION("""COMPUTED_VALUE"""),46149.0)</f>
        <v>46149</v>
      </c>
      <c r="E1148" s="1" t="str">
        <f>IFERROR(__xludf.DUMMYFUNCTION("""COMPUTED_VALUE"""),"VF")</f>
        <v>VF</v>
      </c>
      <c r="F1148" s="1">
        <f>IFERROR(__xludf.DUMMYFUNCTION("""COMPUTED_VALUE"""),1.0)</f>
        <v>1</v>
      </c>
      <c r="G1148" s="1" t="str">
        <f>IFERROR(__xludf.DUMMYFUNCTION("""COMPUTED_VALUE"""),"PR052")</f>
        <v>PR052</v>
      </c>
      <c r="H1148" s="1" t="str">
        <f>IFERROR(__xludf.DUMMYFUNCTION("""COMPUTED_VALUE"""),"VD025")</f>
        <v>VD025</v>
      </c>
      <c r="I1148" s="1">
        <f>IFERROR(__xludf.DUMMYFUNCTION("""COMPUTED_VALUE"""),8.0)</f>
        <v>8</v>
      </c>
      <c r="J1148" s="1">
        <f>IFERROR(__xludf.DUMMYFUNCTION("""COMPUTED_VALUE"""),439.12)</f>
        <v>439.12</v>
      </c>
      <c r="K1148" s="1">
        <f>IFERROR(__xludf.DUMMYFUNCTION("""COMPUTED_VALUE"""),439.12)</f>
        <v>439.12</v>
      </c>
    </row>
    <row r="1149">
      <c r="A1149" s="1">
        <f>IFERROR(__xludf.DUMMYFUNCTION("""COMPUTED_VALUE"""),1000.0)</f>
        <v>1000</v>
      </c>
      <c r="B1149" s="1">
        <f>IFERROR(__xludf.DUMMYFUNCTION("""COMPUTED_VALUE"""),184294.0)</f>
        <v>184294</v>
      </c>
      <c r="C1149" s="1">
        <f>IFERROR(__xludf.DUMMYFUNCTION("""COMPUTED_VALUE"""),2026.0)</f>
        <v>2026</v>
      </c>
      <c r="D1149" s="1">
        <f>IFERROR(__xludf.DUMMYFUNCTION("""COMPUTED_VALUE"""),46149.0)</f>
        <v>46149</v>
      </c>
      <c r="E1149" s="1" t="str">
        <f>IFERROR(__xludf.DUMMYFUNCTION("""COMPUTED_VALUE"""),"VF")</f>
        <v>VF</v>
      </c>
      <c r="F1149" s="1">
        <f>IFERROR(__xludf.DUMMYFUNCTION("""COMPUTED_VALUE"""),1.0)</f>
        <v>1</v>
      </c>
      <c r="G1149" s="1" t="str">
        <f>IFERROR(__xludf.DUMMYFUNCTION("""COMPUTED_VALUE"""),"PR002")</f>
        <v>PR002</v>
      </c>
      <c r="H1149" s="1" t="str">
        <f>IFERROR(__xludf.DUMMYFUNCTION("""COMPUTED_VALUE"""),"VD029")</f>
        <v>VD029</v>
      </c>
      <c r="I1149" s="1">
        <f>IFERROR(__xludf.DUMMYFUNCTION("""COMPUTED_VALUE"""),8.0)</f>
        <v>8</v>
      </c>
      <c r="J1149" s="1">
        <f>IFERROR(__xludf.DUMMYFUNCTION("""COMPUTED_VALUE"""),559.2)</f>
        <v>559.2</v>
      </c>
      <c r="K1149" s="1">
        <f>IFERROR(__xludf.DUMMYFUNCTION("""COMPUTED_VALUE"""),559.2)</f>
        <v>559.2</v>
      </c>
    </row>
    <row r="1150">
      <c r="A1150" s="1">
        <f>IFERROR(__xludf.DUMMYFUNCTION("""COMPUTED_VALUE"""),1000.0)</f>
        <v>1000</v>
      </c>
      <c r="B1150" s="1">
        <f>IFERROR(__xludf.DUMMYFUNCTION("""COMPUTED_VALUE"""),184295.0)</f>
        <v>184295</v>
      </c>
      <c r="C1150" s="1">
        <f>IFERROR(__xludf.DUMMYFUNCTION("""COMPUTED_VALUE"""),2026.0)</f>
        <v>2026</v>
      </c>
      <c r="D1150" s="1">
        <f>IFERROR(__xludf.DUMMYFUNCTION("""COMPUTED_VALUE"""),46149.0)</f>
        <v>46149</v>
      </c>
      <c r="E1150" s="1" t="str">
        <f>IFERROR(__xludf.DUMMYFUNCTION("""COMPUTED_VALUE"""),"VF")</f>
        <v>VF</v>
      </c>
      <c r="F1150" s="1">
        <f>IFERROR(__xludf.DUMMYFUNCTION("""COMPUTED_VALUE"""),1.0)</f>
        <v>1</v>
      </c>
      <c r="G1150" s="1" t="str">
        <f>IFERROR(__xludf.DUMMYFUNCTION("""COMPUTED_VALUE"""),"PR050")</f>
        <v>PR050</v>
      </c>
      <c r="H1150" s="1" t="str">
        <f>IFERROR(__xludf.DUMMYFUNCTION("""COMPUTED_VALUE"""),"VD026")</f>
        <v>VD026</v>
      </c>
      <c r="I1150" s="1">
        <f>IFERROR(__xludf.DUMMYFUNCTION("""COMPUTED_VALUE"""),18.0)</f>
        <v>18</v>
      </c>
      <c r="J1150" s="1">
        <f>IFERROR(__xludf.DUMMYFUNCTION("""COMPUTED_VALUE"""),604.04)</f>
        <v>604.04</v>
      </c>
      <c r="K1150" s="1">
        <f>IFERROR(__xludf.DUMMYFUNCTION("""COMPUTED_VALUE"""),604.04)</f>
        <v>604.04</v>
      </c>
    </row>
    <row r="1151">
      <c r="A1151" s="1">
        <f>IFERROR(__xludf.DUMMYFUNCTION("""COMPUTED_VALUE"""),1000.0)</f>
        <v>1000</v>
      </c>
      <c r="B1151" s="1">
        <f>IFERROR(__xludf.DUMMYFUNCTION("""COMPUTED_VALUE"""),184296.0)</f>
        <v>184296</v>
      </c>
      <c r="C1151" s="1">
        <f>IFERROR(__xludf.DUMMYFUNCTION("""COMPUTED_VALUE"""),2026.0)</f>
        <v>2026</v>
      </c>
      <c r="D1151" s="1">
        <f>IFERROR(__xludf.DUMMYFUNCTION("""COMPUTED_VALUE"""),46149.0)</f>
        <v>46149</v>
      </c>
      <c r="E1151" s="1" t="str">
        <f>IFERROR(__xludf.DUMMYFUNCTION("""COMPUTED_VALUE"""),"VF")</f>
        <v>VF</v>
      </c>
      <c r="F1151" s="1">
        <f>IFERROR(__xludf.DUMMYFUNCTION("""COMPUTED_VALUE"""),1.0)</f>
        <v>1</v>
      </c>
      <c r="G1151" s="1" t="str">
        <f>IFERROR(__xludf.DUMMYFUNCTION("""COMPUTED_VALUE"""),"PR040")</f>
        <v>PR040</v>
      </c>
      <c r="H1151" s="1" t="str">
        <f>IFERROR(__xludf.DUMMYFUNCTION("""COMPUTED_VALUE"""),"VD031")</f>
        <v>VD031</v>
      </c>
      <c r="I1151" s="1">
        <f>IFERROR(__xludf.DUMMYFUNCTION("""COMPUTED_VALUE"""),4.0)</f>
        <v>4</v>
      </c>
      <c r="J1151" s="1">
        <f>IFERROR(__xludf.DUMMYFUNCTION("""COMPUTED_VALUE"""),282.8)</f>
        <v>282.8</v>
      </c>
      <c r="K1151" s="1">
        <f>IFERROR(__xludf.DUMMYFUNCTION("""COMPUTED_VALUE"""),282.8)</f>
        <v>282.8</v>
      </c>
    </row>
    <row r="1152">
      <c r="A1152" s="1">
        <f>IFERROR(__xludf.DUMMYFUNCTION("""COMPUTED_VALUE"""),1000.0)</f>
        <v>1000</v>
      </c>
      <c r="B1152" s="1">
        <f>IFERROR(__xludf.DUMMYFUNCTION("""COMPUTED_VALUE"""),184297.0)</f>
        <v>184297</v>
      </c>
      <c r="C1152" s="1">
        <f>IFERROR(__xludf.DUMMYFUNCTION("""COMPUTED_VALUE"""),2026.0)</f>
        <v>2026</v>
      </c>
      <c r="D1152" s="1">
        <f>IFERROR(__xludf.DUMMYFUNCTION("""COMPUTED_VALUE"""),46149.0)</f>
        <v>46149</v>
      </c>
      <c r="E1152" s="1" t="str">
        <f>IFERROR(__xludf.DUMMYFUNCTION("""COMPUTED_VALUE"""),"VF")</f>
        <v>VF</v>
      </c>
      <c r="F1152" s="1">
        <f>IFERROR(__xludf.DUMMYFUNCTION("""COMPUTED_VALUE"""),1.0)</f>
        <v>1</v>
      </c>
      <c r="G1152" s="1" t="str">
        <f>IFERROR(__xludf.DUMMYFUNCTION("""COMPUTED_VALUE"""),"PR021")</f>
        <v>PR021</v>
      </c>
      <c r="H1152" s="1" t="str">
        <f>IFERROR(__xludf.DUMMYFUNCTION("""COMPUTED_VALUE"""),"VD049")</f>
        <v>VD049</v>
      </c>
      <c r="I1152" s="1">
        <f>IFERROR(__xludf.DUMMYFUNCTION("""COMPUTED_VALUE"""),2.0)</f>
        <v>2</v>
      </c>
      <c r="J1152" s="1">
        <f>IFERROR(__xludf.DUMMYFUNCTION("""COMPUTED_VALUE"""),623.97)</f>
        <v>623.97</v>
      </c>
      <c r="K1152" s="1">
        <f>IFERROR(__xludf.DUMMYFUNCTION("""COMPUTED_VALUE"""),623.97)</f>
        <v>623.97</v>
      </c>
    </row>
    <row r="1153">
      <c r="A1153" s="1">
        <f>IFERROR(__xludf.DUMMYFUNCTION("""COMPUTED_VALUE"""),1000.0)</f>
        <v>1000</v>
      </c>
      <c r="B1153" s="1">
        <f>IFERROR(__xludf.DUMMYFUNCTION("""COMPUTED_VALUE"""),184298.0)</f>
        <v>184298</v>
      </c>
      <c r="C1153" s="1">
        <f>IFERROR(__xludf.DUMMYFUNCTION("""COMPUTED_VALUE"""),2026.0)</f>
        <v>2026</v>
      </c>
      <c r="D1153" s="1">
        <f>IFERROR(__xludf.DUMMYFUNCTION("""COMPUTED_VALUE"""),46149.0)</f>
        <v>46149</v>
      </c>
      <c r="E1153" s="1" t="str">
        <f>IFERROR(__xludf.DUMMYFUNCTION("""COMPUTED_VALUE"""),"VF")</f>
        <v>VF</v>
      </c>
      <c r="F1153" s="1">
        <f>IFERROR(__xludf.DUMMYFUNCTION("""COMPUTED_VALUE"""),1.0)</f>
        <v>1</v>
      </c>
      <c r="G1153" s="1" t="str">
        <f>IFERROR(__xludf.DUMMYFUNCTION("""COMPUTED_VALUE"""),"PR028")</f>
        <v>PR028</v>
      </c>
      <c r="H1153" s="1" t="str">
        <f>IFERROR(__xludf.DUMMYFUNCTION("""COMPUTED_VALUE"""),"VD011")</f>
        <v>VD011</v>
      </c>
      <c r="I1153" s="1">
        <f>IFERROR(__xludf.DUMMYFUNCTION("""COMPUTED_VALUE"""),2.0)</f>
        <v>2</v>
      </c>
      <c r="J1153" s="1">
        <f>IFERROR(__xludf.DUMMYFUNCTION("""COMPUTED_VALUE"""),504.8)</f>
        <v>504.8</v>
      </c>
      <c r="K1153" s="1">
        <f>IFERROR(__xludf.DUMMYFUNCTION("""COMPUTED_VALUE"""),504.8)</f>
        <v>504.8</v>
      </c>
    </row>
    <row r="1154">
      <c r="A1154" s="1">
        <f>IFERROR(__xludf.DUMMYFUNCTION("""COMPUTED_VALUE"""),1000.0)</f>
        <v>1000</v>
      </c>
      <c r="B1154" s="1">
        <f>IFERROR(__xludf.DUMMYFUNCTION("""COMPUTED_VALUE"""),184299.0)</f>
        <v>184299</v>
      </c>
      <c r="C1154" s="1">
        <f>IFERROR(__xludf.DUMMYFUNCTION("""COMPUTED_VALUE"""),2026.0)</f>
        <v>2026</v>
      </c>
      <c r="D1154" s="1">
        <f>IFERROR(__xludf.DUMMYFUNCTION("""COMPUTED_VALUE"""),46148.0)</f>
        <v>46148</v>
      </c>
      <c r="E1154" s="1" t="str">
        <f>IFERROR(__xludf.DUMMYFUNCTION("""COMPUTED_VALUE"""),"VF")</f>
        <v>VF</v>
      </c>
      <c r="F1154" s="1">
        <f>IFERROR(__xludf.DUMMYFUNCTION("""COMPUTED_VALUE"""),1.0)</f>
        <v>1</v>
      </c>
      <c r="G1154" s="1" t="str">
        <f>IFERROR(__xludf.DUMMYFUNCTION("""COMPUTED_VALUE"""),"PR020")</f>
        <v>PR020</v>
      </c>
      <c r="H1154" s="1" t="str">
        <f>IFERROR(__xludf.DUMMYFUNCTION("""COMPUTED_VALUE"""),"VD019")</f>
        <v>VD019</v>
      </c>
      <c r="I1154" s="1">
        <f>IFERROR(__xludf.DUMMYFUNCTION("""COMPUTED_VALUE"""),6.0)</f>
        <v>6</v>
      </c>
      <c r="J1154" s="1">
        <f>IFERROR(__xludf.DUMMYFUNCTION("""COMPUTED_VALUE"""),1907.36)</f>
        <v>1907.36</v>
      </c>
      <c r="K1154" s="1">
        <f>IFERROR(__xludf.DUMMYFUNCTION("""COMPUTED_VALUE"""),1907.36)</f>
        <v>1907.36</v>
      </c>
    </row>
    <row r="1155">
      <c r="A1155" s="1">
        <f>IFERROR(__xludf.DUMMYFUNCTION("""COMPUTED_VALUE"""),1000.0)</f>
        <v>1000</v>
      </c>
      <c r="B1155" s="1">
        <f>IFERROR(__xludf.DUMMYFUNCTION("""COMPUTED_VALUE"""),184300.0)</f>
        <v>184300</v>
      </c>
      <c r="C1155" s="1">
        <f>IFERROR(__xludf.DUMMYFUNCTION("""COMPUTED_VALUE"""),2026.0)</f>
        <v>2026</v>
      </c>
      <c r="D1155" s="1">
        <f>IFERROR(__xludf.DUMMYFUNCTION("""COMPUTED_VALUE"""),46148.0)</f>
        <v>46148</v>
      </c>
      <c r="E1155" s="1" t="str">
        <f>IFERROR(__xludf.DUMMYFUNCTION("""COMPUTED_VALUE"""),"VF")</f>
        <v>VF</v>
      </c>
      <c r="F1155" s="1">
        <f>IFERROR(__xludf.DUMMYFUNCTION("""COMPUTED_VALUE"""),1.0)</f>
        <v>1</v>
      </c>
      <c r="G1155" s="1" t="str">
        <f>IFERROR(__xludf.DUMMYFUNCTION("""COMPUTED_VALUE"""),"PR052")</f>
        <v>PR052</v>
      </c>
      <c r="H1155" s="1" t="str">
        <f>IFERROR(__xludf.DUMMYFUNCTION("""COMPUTED_VALUE"""),"VD030")</f>
        <v>VD030</v>
      </c>
      <c r="I1155" s="1">
        <f>IFERROR(__xludf.DUMMYFUNCTION("""COMPUTED_VALUE"""),20.0)</f>
        <v>20</v>
      </c>
      <c r="J1155" s="1">
        <f>IFERROR(__xludf.DUMMYFUNCTION("""COMPUTED_VALUE"""),1097.8)</f>
        <v>1097.8</v>
      </c>
      <c r="K1155" s="1">
        <f>IFERROR(__xludf.DUMMYFUNCTION("""COMPUTED_VALUE"""),1097.8)</f>
        <v>1097.8</v>
      </c>
    </row>
    <row r="1156">
      <c r="A1156" s="1">
        <f>IFERROR(__xludf.DUMMYFUNCTION("""COMPUTED_VALUE"""),2000.0)</f>
        <v>2000</v>
      </c>
      <c r="B1156" s="1">
        <f>IFERROR(__xludf.DUMMYFUNCTION("""COMPUTED_VALUE"""),184300.0)</f>
        <v>184300</v>
      </c>
      <c r="C1156" s="1">
        <f>IFERROR(__xludf.DUMMYFUNCTION("""COMPUTED_VALUE"""),2026.0)</f>
        <v>2026</v>
      </c>
      <c r="D1156" s="1">
        <f>IFERROR(__xludf.DUMMYFUNCTION("""COMPUTED_VALUE"""),46148.0)</f>
        <v>46148</v>
      </c>
      <c r="E1156" s="1" t="str">
        <f>IFERROR(__xludf.DUMMYFUNCTION("""COMPUTED_VALUE"""),"VF")</f>
        <v>VF</v>
      </c>
      <c r="F1156" s="1">
        <f>IFERROR(__xludf.DUMMYFUNCTION("""COMPUTED_VALUE"""),2.0)</f>
        <v>2</v>
      </c>
      <c r="G1156" s="1" t="str">
        <f>IFERROR(__xludf.DUMMYFUNCTION("""COMPUTED_VALUE"""),"PR033")</f>
        <v>PR033</v>
      </c>
      <c r="H1156" s="1" t="str">
        <f>IFERROR(__xludf.DUMMYFUNCTION("""COMPUTED_VALUE"""),"VD017")</f>
        <v>VD017</v>
      </c>
      <c r="I1156" s="1">
        <f>IFERROR(__xludf.DUMMYFUNCTION("""COMPUTED_VALUE"""),9.0)</f>
        <v>9</v>
      </c>
      <c r="J1156" s="1">
        <f>IFERROR(__xludf.DUMMYFUNCTION("""COMPUTED_VALUE"""),2479.45)</f>
        <v>2479.45</v>
      </c>
      <c r="K1156" s="1">
        <f>IFERROR(__xludf.DUMMYFUNCTION("""COMPUTED_VALUE"""),2479.45)</f>
        <v>2479.45</v>
      </c>
    </row>
    <row r="1157">
      <c r="A1157" s="1">
        <f>IFERROR(__xludf.DUMMYFUNCTION("""COMPUTED_VALUE"""),1000.0)</f>
        <v>1000</v>
      </c>
      <c r="B1157" s="1">
        <f>IFERROR(__xludf.DUMMYFUNCTION("""COMPUTED_VALUE"""),184301.0)</f>
        <v>184301</v>
      </c>
      <c r="C1157" s="1">
        <f>IFERROR(__xludf.DUMMYFUNCTION("""COMPUTED_VALUE"""),2026.0)</f>
        <v>2026</v>
      </c>
      <c r="D1157" s="1">
        <f>IFERROR(__xludf.DUMMYFUNCTION("""COMPUTED_VALUE"""),46148.0)</f>
        <v>46148</v>
      </c>
      <c r="E1157" s="1" t="str">
        <f>IFERROR(__xludf.DUMMYFUNCTION("""COMPUTED_VALUE"""),"VF")</f>
        <v>VF</v>
      </c>
      <c r="F1157" s="1">
        <f>IFERROR(__xludf.DUMMYFUNCTION("""COMPUTED_VALUE"""),1.0)</f>
        <v>1</v>
      </c>
      <c r="G1157" s="1" t="str">
        <f>IFERROR(__xludf.DUMMYFUNCTION("""COMPUTED_VALUE"""),"PR016")</f>
        <v>PR016</v>
      </c>
      <c r="H1157" s="1" t="str">
        <f>IFERROR(__xludf.DUMMYFUNCTION("""COMPUTED_VALUE"""),"VD039")</f>
        <v>VD039</v>
      </c>
      <c r="I1157" s="1">
        <f>IFERROR(__xludf.DUMMYFUNCTION("""COMPUTED_VALUE"""),4.0)</f>
        <v>4</v>
      </c>
      <c r="J1157" s="1">
        <f>IFERROR(__xludf.DUMMYFUNCTION("""COMPUTED_VALUE"""),103.6)</f>
        <v>103.6</v>
      </c>
      <c r="K1157" s="1">
        <f>IFERROR(__xludf.DUMMYFUNCTION("""COMPUTED_VALUE"""),103.6)</f>
        <v>103.6</v>
      </c>
    </row>
    <row r="1158">
      <c r="A1158" s="1">
        <f>IFERROR(__xludf.DUMMYFUNCTION("""COMPUTED_VALUE"""),1000.0)</f>
        <v>1000</v>
      </c>
      <c r="B1158" s="1">
        <f>IFERROR(__xludf.DUMMYFUNCTION("""COMPUTED_VALUE"""),184301.0)</f>
        <v>184301</v>
      </c>
      <c r="C1158" s="1">
        <f>IFERROR(__xludf.DUMMYFUNCTION("""COMPUTED_VALUE"""),2026.0)</f>
        <v>2026</v>
      </c>
      <c r="D1158" s="1">
        <f>IFERROR(__xludf.DUMMYFUNCTION("""COMPUTED_VALUE"""),46148.0)</f>
        <v>46148</v>
      </c>
      <c r="E1158" s="1" t="str">
        <f>IFERROR(__xludf.DUMMYFUNCTION("""COMPUTED_VALUE"""),"VF")</f>
        <v>VF</v>
      </c>
      <c r="F1158" s="1">
        <f>IFERROR(__xludf.DUMMYFUNCTION("""COMPUTED_VALUE"""),2.0)</f>
        <v>2</v>
      </c>
      <c r="G1158" s="1" t="str">
        <f>IFERROR(__xludf.DUMMYFUNCTION("""COMPUTED_VALUE"""),"PR034")</f>
        <v>PR034</v>
      </c>
      <c r="H1158" s="1" t="str">
        <f>IFERROR(__xludf.DUMMYFUNCTION("""COMPUTED_VALUE"""),"VD028")</f>
        <v>VD028</v>
      </c>
      <c r="I1158" s="1">
        <f>IFERROR(__xludf.DUMMYFUNCTION("""COMPUTED_VALUE"""),20.0)</f>
        <v>20</v>
      </c>
      <c r="J1158" s="1">
        <f>IFERROR(__xludf.DUMMYFUNCTION("""COMPUTED_VALUE"""),1905.88)</f>
        <v>1905.88</v>
      </c>
      <c r="K1158" s="1">
        <f>IFERROR(__xludf.DUMMYFUNCTION("""COMPUTED_VALUE"""),1905.88)</f>
        <v>1905.88</v>
      </c>
    </row>
    <row r="1159">
      <c r="A1159" s="1">
        <f>IFERROR(__xludf.DUMMYFUNCTION("""COMPUTED_VALUE"""),1000.0)</f>
        <v>1000</v>
      </c>
      <c r="B1159" s="1">
        <f>IFERROR(__xludf.DUMMYFUNCTION("""COMPUTED_VALUE"""),184302.0)</f>
        <v>184302</v>
      </c>
      <c r="C1159" s="1">
        <f>IFERROR(__xludf.DUMMYFUNCTION("""COMPUTED_VALUE"""),2026.0)</f>
        <v>2026</v>
      </c>
      <c r="D1159" s="1">
        <f>IFERROR(__xludf.DUMMYFUNCTION("""COMPUTED_VALUE"""),46148.0)</f>
        <v>46148</v>
      </c>
      <c r="E1159" s="1" t="str">
        <f>IFERROR(__xludf.DUMMYFUNCTION("""COMPUTED_VALUE"""),"VF")</f>
        <v>VF</v>
      </c>
      <c r="F1159" s="1">
        <f>IFERROR(__xludf.DUMMYFUNCTION("""COMPUTED_VALUE"""),1.0)</f>
        <v>1</v>
      </c>
      <c r="G1159" s="1" t="str">
        <f>IFERROR(__xludf.DUMMYFUNCTION("""COMPUTED_VALUE"""),"PR014")</f>
        <v>PR014</v>
      </c>
      <c r="H1159" s="1" t="str">
        <f>IFERROR(__xludf.DUMMYFUNCTION("""COMPUTED_VALUE"""),"VD047")</f>
        <v>VD047</v>
      </c>
      <c r="I1159" s="1">
        <f>IFERROR(__xludf.DUMMYFUNCTION("""COMPUTED_VALUE"""),4.0)</f>
        <v>4</v>
      </c>
      <c r="J1159" s="1">
        <f>IFERROR(__xludf.DUMMYFUNCTION("""COMPUTED_VALUE"""),165.98)</f>
        <v>165.98</v>
      </c>
      <c r="K1159" s="1">
        <f>IFERROR(__xludf.DUMMYFUNCTION("""COMPUTED_VALUE"""),165.98)</f>
        <v>165.98</v>
      </c>
    </row>
    <row r="1160">
      <c r="A1160" s="1">
        <f>IFERROR(__xludf.DUMMYFUNCTION("""COMPUTED_VALUE"""),1000.0)</f>
        <v>1000</v>
      </c>
      <c r="B1160" s="1">
        <f>IFERROR(__xludf.DUMMYFUNCTION("""COMPUTED_VALUE"""),184302.0)</f>
        <v>184302</v>
      </c>
      <c r="C1160" s="1">
        <f>IFERROR(__xludf.DUMMYFUNCTION("""COMPUTED_VALUE"""),2026.0)</f>
        <v>2026</v>
      </c>
      <c r="D1160" s="1">
        <f>IFERROR(__xludf.DUMMYFUNCTION("""COMPUTED_VALUE"""),46148.0)</f>
        <v>46148</v>
      </c>
      <c r="E1160" s="1" t="str">
        <f>IFERROR(__xludf.DUMMYFUNCTION("""COMPUTED_VALUE"""),"VF")</f>
        <v>VF</v>
      </c>
      <c r="F1160" s="1">
        <f>IFERROR(__xludf.DUMMYFUNCTION("""COMPUTED_VALUE"""),2.0)</f>
        <v>2</v>
      </c>
      <c r="G1160" s="1" t="str">
        <f>IFERROR(__xludf.DUMMYFUNCTION("""COMPUTED_VALUE"""),"PR048")</f>
        <v>PR048</v>
      </c>
      <c r="H1160" s="1" t="str">
        <f>IFERROR(__xludf.DUMMYFUNCTION("""COMPUTED_VALUE"""),"VD034")</f>
        <v>VD034</v>
      </c>
      <c r="I1160" s="1">
        <f>IFERROR(__xludf.DUMMYFUNCTION("""COMPUTED_VALUE"""),4.0)</f>
        <v>4</v>
      </c>
      <c r="J1160" s="1">
        <f>IFERROR(__xludf.DUMMYFUNCTION("""COMPUTED_VALUE"""),1171.2)</f>
        <v>1171.2</v>
      </c>
      <c r="K1160" s="1">
        <f>IFERROR(__xludf.DUMMYFUNCTION("""COMPUTED_VALUE"""),1171.2)</f>
        <v>1171.2</v>
      </c>
    </row>
    <row r="1161">
      <c r="A1161" s="1">
        <f>IFERROR(__xludf.DUMMYFUNCTION("""COMPUTED_VALUE"""),2000.0)</f>
        <v>2000</v>
      </c>
      <c r="B1161" s="1">
        <f>IFERROR(__xludf.DUMMYFUNCTION("""COMPUTED_VALUE"""),184303.0)</f>
        <v>184303</v>
      </c>
      <c r="C1161" s="1">
        <f>IFERROR(__xludf.DUMMYFUNCTION("""COMPUTED_VALUE"""),2026.0)</f>
        <v>2026</v>
      </c>
      <c r="D1161" s="1">
        <f>IFERROR(__xludf.DUMMYFUNCTION("""COMPUTED_VALUE"""),46148.0)</f>
        <v>46148</v>
      </c>
      <c r="E1161" s="1" t="str">
        <f>IFERROR(__xludf.DUMMYFUNCTION("""COMPUTED_VALUE"""),"VF")</f>
        <v>VF</v>
      </c>
      <c r="F1161" s="1">
        <f>IFERROR(__xludf.DUMMYFUNCTION("""COMPUTED_VALUE"""),1.0)</f>
        <v>1</v>
      </c>
      <c r="G1161" s="1" t="str">
        <f>IFERROR(__xludf.DUMMYFUNCTION("""COMPUTED_VALUE"""),"PR040")</f>
        <v>PR040</v>
      </c>
      <c r="H1161" s="1" t="str">
        <f>IFERROR(__xludf.DUMMYFUNCTION("""COMPUTED_VALUE"""),"VD021")</f>
        <v>VD021</v>
      </c>
      <c r="I1161" s="1">
        <f>IFERROR(__xludf.DUMMYFUNCTION("""COMPUTED_VALUE"""),4.0)</f>
        <v>4</v>
      </c>
      <c r="J1161" s="1">
        <f>IFERROR(__xludf.DUMMYFUNCTION("""COMPUTED_VALUE"""),282.8)</f>
        <v>282.8</v>
      </c>
      <c r="K1161" s="1">
        <f>IFERROR(__xludf.DUMMYFUNCTION("""COMPUTED_VALUE"""),282.8)</f>
        <v>282.8</v>
      </c>
    </row>
    <row r="1162">
      <c r="A1162" s="1">
        <f>IFERROR(__xludf.DUMMYFUNCTION("""COMPUTED_VALUE"""),1000.0)</f>
        <v>1000</v>
      </c>
      <c r="B1162" s="1">
        <f>IFERROR(__xludf.DUMMYFUNCTION("""COMPUTED_VALUE"""),184304.0)</f>
        <v>184304</v>
      </c>
      <c r="C1162" s="1">
        <f>IFERROR(__xludf.DUMMYFUNCTION("""COMPUTED_VALUE"""),2026.0)</f>
        <v>2026</v>
      </c>
      <c r="D1162" s="1">
        <f>IFERROR(__xludf.DUMMYFUNCTION("""COMPUTED_VALUE"""),46148.0)</f>
        <v>46148</v>
      </c>
      <c r="E1162" s="1" t="str">
        <f>IFERROR(__xludf.DUMMYFUNCTION("""COMPUTED_VALUE"""),"VF")</f>
        <v>VF</v>
      </c>
      <c r="F1162" s="1">
        <f>IFERROR(__xludf.DUMMYFUNCTION("""COMPUTED_VALUE"""),1.0)</f>
        <v>1</v>
      </c>
      <c r="G1162" s="1" t="str">
        <f>IFERROR(__xludf.DUMMYFUNCTION("""COMPUTED_VALUE"""),"PR055")</f>
        <v>PR055</v>
      </c>
      <c r="H1162" s="1" t="str">
        <f>IFERROR(__xludf.DUMMYFUNCTION("""COMPUTED_VALUE"""),"VD041")</f>
        <v>VD041</v>
      </c>
      <c r="I1162" s="1">
        <f>IFERROR(__xludf.DUMMYFUNCTION("""COMPUTED_VALUE"""),8.0)</f>
        <v>8</v>
      </c>
      <c r="J1162" s="1">
        <f>IFERROR(__xludf.DUMMYFUNCTION("""COMPUTED_VALUE"""),740.78)</f>
        <v>740.78</v>
      </c>
      <c r="K1162" s="1">
        <f>IFERROR(__xludf.DUMMYFUNCTION("""COMPUTED_VALUE"""),740.78)</f>
        <v>740.78</v>
      </c>
    </row>
    <row r="1163">
      <c r="A1163" s="1">
        <f>IFERROR(__xludf.DUMMYFUNCTION("""COMPUTED_VALUE"""),1000.0)</f>
        <v>1000</v>
      </c>
      <c r="B1163" s="1">
        <f>IFERROR(__xludf.DUMMYFUNCTION("""COMPUTED_VALUE"""),184305.0)</f>
        <v>184305</v>
      </c>
      <c r="C1163" s="1">
        <f>IFERROR(__xludf.DUMMYFUNCTION("""COMPUTED_VALUE"""),2026.0)</f>
        <v>2026</v>
      </c>
      <c r="D1163" s="1">
        <f>IFERROR(__xludf.DUMMYFUNCTION("""COMPUTED_VALUE"""),46148.0)</f>
        <v>46148</v>
      </c>
      <c r="E1163" s="1" t="str">
        <f>IFERROR(__xludf.DUMMYFUNCTION("""COMPUTED_VALUE"""),"VF")</f>
        <v>VF</v>
      </c>
      <c r="F1163" s="1">
        <f>IFERROR(__xludf.DUMMYFUNCTION("""COMPUTED_VALUE"""),1.0)</f>
        <v>1</v>
      </c>
      <c r="G1163" s="1" t="str">
        <f>IFERROR(__xludf.DUMMYFUNCTION("""COMPUTED_VALUE"""),"PR035")</f>
        <v>PR035</v>
      </c>
      <c r="H1163" s="1" t="str">
        <f>IFERROR(__xludf.DUMMYFUNCTION("""COMPUTED_VALUE"""),"VD039")</f>
        <v>VD039</v>
      </c>
      <c r="I1163" s="1">
        <f>IFERROR(__xludf.DUMMYFUNCTION("""COMPUTED_VALUE"""),6.0)</f>
        <v>6</v>
      </c>
      <c r="J1163" s="1">
        <f>IFERROR(__xludf.DUMMYFUNCTION("""COMPUTED_VALUE"""),581.3)</f>
        <v>581.3</v>
      </c>
      <c r="K1163" s="1">
        <f>IFERROR(__xludf.DUMMYFUNCTION("""COMPUTED_VALUE"""),581.3)</f>
        <v>581.3</v>
      </c>
    </row>
    <row r="1164">
      <c r="A1164" s="1">
        <f>IFERROR(__xludf.DUMMYFUNCTION("""COMPUTED_VALUE"""),1000.0)</f>
        <v>1000</v>
      </c>
      <c r="B1164" s="1">
        <f>IFERROR(__xludf.DUMMYFUNCTION("""COMPUTED_VALUE"""),184305.0)</f>
        <v>184305</v>
      </c>
      <c r="C1164" s="1">
        <f>IFERROR(__xludf.DUMMYFUNCTION("""COMPUTED_VALUE"""),2026.0)</f>
        <v>2026</v>
      </c>
      <c r="D1164" s="1">
        <f>IFERROR(__xludf.DUMMYFUNCTION("""COMPUTED_VALUE"""),46147.0)</f>
        <v>46147</v>
      </c>
      <c r="E1164" s="1" t="str">
        <f>IFERROR(__xludf.DUMMYFUNCTION("""COMPUTED_VALUE"""),"VF")</f>
        <v>VF</v>
      </c>
      <c r="F1164" s="1">
        <f>IFERROR(__xludf.DUMMYFUNCTION("""COMPUTED_VALUE"""),2.0)</f>
        <v>2</v>
      </c>
      <c r="G1164" s="1" t="str">
        <f>IFERROR(__xludf.DUMMYFUNCTION("""COMPUTED_VALUE"""),"PR007")</f>
        <v>PR007</v>
      </c>
      <c r="H1164" s="1" t="str">
        <f>IFERROR(__xludf.DUMMYFUNCTION("""COMPUTED_VALUE"""),"VD021")</f>
        <v>VD021</v>
      </c>
      <c r="I1164" s="1">
        <f>IFERROR(__xludf.DUMMYFUNCTION("""COMPUTED_VALUE"""),8.0)</f>
        <v>8</v>
      </c>
      <c r="J1164" s="1">
        <f>IFERROR(__xludf.DUMMYFUNCTION("""COMPUTED_VALUE"""),755.92)</f>
        <v>755.92</v>
      </c>
      <c r="K1164" s="1">
        <f>IFERROR(__xludf.DUMMYFUNCTION("""COMPUTED_VALUE"""),755.92)</f>
        <v>755.92</v>
      </c>
    </row>
    <row r="1165">
      <c r="A1165" s="1">
        <f>IFERROR(__xludf.DUMMYFUNCTION("""COMPUTED_VALUE"""),1000.0)</f>
        <v>1000</v>
      </c>
      <c r="B1165" s="1">
        <f>IFERROR(__xludf.DUMMYFUNCTION("""COMPUTED_VALUE"""),184306.0)</f>
        <v>184306</v>
      </c>
      <c r="C1165" s="1">
        <f>IFERROR(__xludf.DUMMYFUNCTION("""COMPUTED_VALUE"""),2026.0)</f>
        <v>2026</v>
      </c>
      <c r="D1165" s="1">
        <f>IFERROR(__xludf.DUMMYFUNCTION("""COMPUTED_VALUE"""),46147.0)</f>
        <v>46147</v>
      </c>
      <c r="E1165" s="1" t="str">
        <f>IFERROR(__xludf.DUMMYFUNCTION("""COMPUTED_VALUE"""),"VF")</f>
        <v>VF</v>
      </c>
      <c r="F1165" s="1">
        <f>IFERROR(__xludf.DUMMYFUNCTION("""COMPUTED_VALUE"""),1.0)</f>
        <v>1</v>
      </c>
      <c r="G1165" s="1" t="str">
        <f>IFERROR(__xludf.DUMMYFUNCTION("""COMPUTED_VALUE"""),"PR020")</f>
        <v>PR020</v>
      </c>
      <c r="H1165" s="1" t="str">
        <f>IFERROR(__xludf.DUMMYFUNCTION("""COMPUTED_VALUE"""),"VD024")</f>
        <v>VD024</v>
      </c>
      <c r="I1165" s="1">
        <f>IFERROR(__xludf.DUMMYFUNCTION("""COMPUTED_VALUE"""),2.0)</f>
        <v>2</v>
      </c>
      <c r="J1165" s="1">
        <f>IFERROR(__xludf.DUMMYFUNCTION("""COMPUTED_VALUE"""),599.8)</f>
        <v>599.8</v>
      </c>
      <c r="K1165" s="1">
        <f>IFERROR(__xludf.DUMMYFUNCTION("""COMPUTED_VALUE"""),599.8)</f>
        <v>599.8</v>
      </c>
    </row>
    <row r="1166">
      <c r="A1166" s="1">
        <f>IFERROR(__xludf.DUMMYFUNCTION("""COMPUTED_VALUE"""),1000.0)</f>
        <v>1000</v>
      </c>
      <c r="B1166" s="1">
        <f>IFERROR(__xludf.DUMMYFUNCTION("""COMPUTED_VALUE"""),184307.0)</f>
        <v>184307</v>
      </c>
      <c r="C1166" s="1">
        <f>IFERROR(__xludf.DUMMYFUNCTION("""COMPUTED_VALUE"""),2026.0)</f>
        <v>2026</v>
      </c>
      <c r="D1166" s="1">
        <f>IFERROR(__xludf.DUMMYFUNCTION("""COMPUTED_VALUE"""),46147.0)</f>
        <v>46147</v>
      </c>
      <c r="E1166" s="1" t="str">
        <f>IFERROR(__xludf.DUMMYFUNCTION("""COMPUTED_VALUE"""),"VF")</f>
        <v>VF</v>
      </c>
      <c r="F1166" s="1">
        <f>IFERROR(__xludf.DUMMYFUNCTION("""COMPUTED_VALUE"""),1.0)</f>
        <v>1</v>
      </c>
      <c r="G1166" s="1" t="str">
        <f>IFERROR(__xludf.DUMMYFUNCTION("""COMPUTED_VALUE"""),"PR052")</f>
        <v>PR052</v>
      </c>
      <c r="H1166" s="1" t="str">
        <f>IFERROR(__xludf.DUMMYFUNCTION("""COMPUTED_VALUE"""),"VD040")</f>
        <v>VD040</v>
      </c>
      <c r="I1166" s="1">
        <f>IFERROR(__xludf.DUMMYFUNCTION("""COMPUTED_VALUE"""),10.0)</f>
        <v>10</v>
      </c>
      <c r="J1166" s="1">
        <f>IFERROR(__xludf.DUMMYFUNCTION("""COMPUTED_VALUE"""),508.98)</f>
        <v>508.98</v>
      </c>
      <c r="K1166" s="1">
        <f>IFERROR(__xludf.DUMMYFUNCTION("""COMPUTED_VALUE"""),508.98)</f>
        <v>508.98</v>
      </c>
    </row>
    <row r="1167">
      <c r="A1167" s="1">
        <f>IFERROR(__xludf.DUMMYFUNCTION("""COMPUTED_VALUE"""),2000.0)</f>
        <v>2000</v>
      </c>
      <c r="B1167" s="1">
        <f>IFERROR(__xludf.DUMMYFUNCTION("""COMPUTED_VALUE"""),184307.0)</f>
        <v>184307</v>
      </c>
      <c r="C1167" s="1">
        <f>IFERROR(__xludf.DUMMYFUNCTION("""COMPUTED_VALUE"""),2026.0)</f>
        <v>2026</v>
      </c>
      <c r="D1167" s="1">
        <f>IFERROR(__xludf.DUMMYFUNCTION("""COMPUTED_VALUE"""),46147.0)</f>
        <v>46147</v>
      </c>
      <c r="E1167" s="1" t="str">
        <f>IFERROR(__xludf.DUMMYFUNCTION("""COMPUTED_VALUE"""),"VF")</f>
        <v>VF</v>
      </c>
      <c r="F1167" s="1">
        <f>IFERROR(__xludf.DUMMYFUNCTION("""COMPUTED_VALUE"""),2.0)</f>
        <v>2</v>
      </c>
      <c r="G1167" s="1" t="str">
        <f>IFERROR(__xludf.DUMMYFUNCTION("""COMPUTED_VALUE"""),"PR003")</f>
        <v>PR003</v>
      </c>
      <c r="H1167" s="1" t="str">
        <f>IFERROR(__xludf.DUMMYFUNCTION("""COMPUTED_VALUE"""),"VD017")</f>
        <v>VD017</v>
      </c>
      <c r="I1167" s="1">
        <f>IFERROR(__xludf.DUMMYFUNCTION("""COMPUTED_VALUE"""),20.0)</f>
        <v>20</v>
      </c>
      <c r="J1167" s="1">
        <f>IFERROR(__xludf.DUMMYFUNCTION("""COMPUTED_VALUE"""),1559.8)</f>
        <v>1559.8</v>
      </c>
      <c r="K1167" s="1">
        <f>IFERROR(__xludf.DUMMYFUNCTION("""COMPUTED_VALUE"""),1559.8)</f>
        <v>1559.8</v>
      </c>
    </row>
    <row r="1168">
      <c r="A1168" s="1">
        <f>IFERROR(__xludf.DUMMYFUNCTION("""COMPUTED_VALUE"""),2000.0)</f>
        <v>2000</v>
      </c>
      <c r="B1168" s="1">
        <f>IFERROR(__xludf.DUMMYFUNCTION("""COMPUTED_VALUE"""),184308.0)</f>
        <v>184308</v>
      </c>
      <c r="C1168" s="1">
        <f>IFERROR(__xludf.DUMMYFUNCTION("""COMPUTED_VALUE"""),2026.0)</f>
        <v>2026</v>
      </c>
      <c r="D1168" s="1">
        <f>IFERROR(__xludf.DUMMYFUNCTION("""COMPUTED_VALUE"""),46146.0)</f>
        <v>46146</v>
      </c>
      <c r="E1168" s="1" t="str">
        <f>IFERROR(__xludf.DUMMYFUNCTION("""COMPUTED_VALUE"""),"VF")</f>
        <v>VF</v>
      </c>
      <c r="F1168" s="1">
        <f>IFERROR(__xludf.DUMMYFUNCTION("""COMPUTED_VALUE"""),1.0)</f>
        <v>1</v>
      </c>
      <c r="G1168" s="1" t="str">
        <f>IFERROR(__xludf.DUMMYFUNCTION("""COMPUTED_VALUE"""),"PR018")</f>
        <v>PR018</v>
      </c>
      <c r="H1168" s="1" t="str">
        <f>IFERROR(__xludf.DUMMYFUNCTION("""COMPUTED_VALUE"""),"VD011")</f>
        <v>VD011</v>
      </c>
      <c r="I1168" s="1">
        <f>IFERROR(__xludf.DUMMYFUNCTION("""COMPUTED_VALUE"""),16.0)</f>
        <v>16</v>
      </c>
      <c r="J1168" s="1">
        <f>IFERROR(__xludf.DUMMYFUNCTION("""COMPUTED_VALUE"""),568.51)</f>
        <v>568.51</v>
      </c>
      <c r="K1168" s="1">
        <f>IFERROR(__xludf.DUMMYFUNCTION("""COMPUTED_VALUE"""),568.51)</f>
        <v>568.51</v>
      </c>
    </row>
    <row r="1169">
      <c r="A1169" s="1">
        <f>IFERROR(__xludf.DUMMYFUNCTION("""COMPUTED_VALUE"""),1000.0)</f>
        <v>1000</v>
      </c>
      <c r="B1169" s="1">
        <f>IFERROR(__xludf.DUMMYFUNCTION("""COMPUTED_VALUE"""),184309.0)</f>
        <v>184309</v>
      </c>
      <c r="C1169" s="1">
        <f>IFERROR(__xludf.DUMMYFUNCTION("""COMPUTED_VALUE"""),2026.0)</f>
        <v>2026</v>
      </c>
      <c r="D1169" s="1">
        <f>IFERROR(__xludf.DUMMYFUNCTION("""COMPUTED_VALUE"""),46146.0)</f>
        <v>46146</v>
      </c>
      <c r="E1169" s="1" t="str">
        <f>IFERROR(__xludf.DUMMYFUNCTION("""COMPUTED_VALUE"""),"VF")</f>
        <v>VF</v>
      </c>
      <c r="F1169" s="1">
        <f>IFERROR(__xludf.DUMMYFUNCTION("""COMPUTED_VALUE"""),1.0)</f>
        <v>1</v>
      </c>
      <c r="G1169" s="1" t="str">
        <f>IFERROR(__xludf.DUMMYFUNCTION("""COMPUTED_VALUE"""),"PR012")</f>
        <v>PR012</v>
      </c>
      <c r="H1169" s="1" t="str">
        <f>IFERROR(__xludf.DUMMYFUNCTION("""COMPUTED_VALUE"""),"VD035")</f>
        <v>VD035</v>
      </c>
      <c r="I1169" s="1">
        <f>IFERROR(__xludf.DUMMYFUNCTION("""COMPUTED_VALUE"""),14.0)</f>
        <v>14</v>
      </c>
      <c r="J1169" s="1">
        <f>IFERROR(__xludf.DUMMYFUNCTION("""COMPUTED_VALUE"""),684.6)</f>
        <v>684.6</v>
      </c>
      <c r="K1169" s="1">
        <f>IFERROR(__xludf.DUMMYFUNCTION("""COMPUTED_VALUE"""),684.6)</f>
        <v>684.6</v>
      </c>
    </row>
    <row r="1170">
      <c r="A1170" s="1">
        <f>IFERROR(__xludf.DUMMYFUNCTION("""COMPUTED_VALUE"""),2000.0)</f>
        <v>2000</v>
      </c>
      <c r="B1170" s="1">
        <f>IFERROR(__xludf.DUMMYFUNCTION("""COMPUTED_VALUE"""),184310.0)</f>
        <v>184310</v>
      </c>
      <c r="C1170" s="1">
        <f>IFERROR(__xludf.DUMMYFUNCTION("""COMPUTED_VALUE"""),2026.0)</f>
        <v>2026</v>
      </c>
      <c r="D1170" s="1">
        <f>IFERROR(__xludf.DUMMYFUNCTION("""COMPUTED_VALUE"""),46146.0)</f>
        <v>46146</v>
      </c>
      <c r="E1170" s="1" t="str">
        <f>IFERROR(__xludf.DUMMYFUNCTION("""COMPUTED_VALUE"""),"VF")</f>
        <v>VF</v>
      </c>
      <c r="F1170" s="1">
        <f>IFERROR(__xludf.DUMMYFUNCTION("""COMPUTED_VALUE"""),1.0)</f>
        <v>1</v>
      </c>
      <c r="G1170" s="1" t="str">
        <f>IFERROR(__xludf.DUMMYFUNCTION("""COMPUTED_VALUE"""),"PR019")</f>
        <v>PR019</v>
      </c>
      <c r="H1170" s="1" t="str">
        <f>IFERROR(__xludf.DUMMYFUNCTION("""COMPUTED_VALUE"""),"VD032")</f>
        <v>VD032</v>
      </c>
      <c r="I1170" s="1">
        <f>IFERROR(__xludf.DUMMYFUNCTION("""COMPUTED_VALUE"""),14.0)</f>
        <v>14</v>
      </c>
      <c r="J1170" s="1">
        <f>IFERROR(__xludf.DUMMYFUNCTION("""COMPUTED_VALUE"""),761.47)</f>
        <v>761.47</v>
      </c>
      <c r="K1170" s="1">
        <f>IFERROR(__xludf.DUMMYFUNCTION("""COMPUTED_VALUE"""),761.47)</f>
        <v>761.47</v>
      </c>
    </row>
    <row r="1171">
      <c r="A1171" s="1">
        <f>IFERROR(__xludf.DUMMYFUNCTION("""COMPUTED_VALUE"""),2000.0)</f>
        <v>2000</v>
      </c>
      <c r="B1171" s="1">
        <f>IFERROR(__xludf.DUMMYFUNCTION("""COMPUTED_VALUE"""),184310.0)</f>
        <v>184310</v>
      </c>
      <c r="C1171" s="1">
        <f>IFERROR(__xludf.DUMMYFUNCTION("""COMPUTED_VALUE"""),2026.0)</f>
        <v>2026</v>
      </c>
      <c r="D1171" s="1">
        <f>IFERROR(__xludf.DUMMYFUNCTION("""COMPUTED_VALUE"""),46145.0)</f>
        <v>46145</v>
      </c>
      <c r="E1171" s="1" t="str">
        <f>IFERROR(__xludf.DUMMYFUNCTION("""COMPUTED_VALUE"""),"VF")</f>
        <v>VF</v>
      </c>
      <c r="F1171" s="1">
        <f>IFERROR(__xludf.DUMMYFUNCTION("""COMPUTED_VALUE"""),2.0)</f>
        <v>2</v>
      </c>
      <c r="G1171" s="1" t="str">
        <f>IFERROR(__xludf.DUMMYFUNCTION("""COMPUTED_VALUE"""),"PR026")</f>
        <v>PR026</v>
      </c>
      <c r="H1171" s="1" t="str">
        <f>IFERROR(__xludf.DUMMYFUNCTION("""COMPUTED_VALUE"""),"VD021")</f>
        <v>VD021</v>
      </c>
      <c r="I1171" s="1">
        <f>IFERROR(__xludf.DUMMYFUNCTION("""COMPUTED_VALUE"""),14.0)</f>
        <v>14</v>
      </c>
      <c r="J1171" s="1">
        <f>IFERROR(__xludf.DUMMYFUNCTION("""COMPUTED_VALUE"""),5339.47)</f>
        <v>5339.47</v>
      </c>
      <c r="K1171" s="1">
        <f>IFERROR(__xludf.DUMMYFUNCTION("""COMPUTED_VALUE"""),5339.47)</f>
        <v>5339.47</v>
      </c>
    </row>
    <row r="1172">
      <c r="A1172" s="1">
        <f>IFERROR(__xludf.DUMMYFUNCTION("""COMPUTED_VALUE"""),1000.0)</f>
        <v>1000</v>
      </c>
      <c r="B1172" s="1">
        <f>IFERROR(__xludf.DUMMYFUNCTION("""COMPUTED_VALUE"""),184311.0)</f>
        <v>184311</v>
      </c>
      <c r="C1172" s="1">
        <f>IFERROR(__xludf.DUMMYFUNCTION("""COMPUTED_VALUE"""),2026.0)</f>
        <v>2026</v>
      </c>
      <c r="D1172" s="1">
        <f>IFERROR(__xludf.DUMMYFUNCTION("""COMPUTED_VALUE"""),46145.0)</f>
        <v>46145</v>
      </c>
      <c r="E1172" s="1" t="str">
        <f>IFERROR(__xludf.DUMMYFUNCTION("""COMPUTED_VALUE"""),"VF")</f>
        <v>VF</v>
      </c>
      <c r="F1172" s="1">
        <f>IFERROR(__xludf.DUMMYFUNCTION("""COMPUTED_VALUE"""),1.0)</f>
        <v>1</v>
      </c>
      <c r="G1172" s="1" t="str">
        <f>IFERROR(__xludf.DUMMYFUNCTION("""COMPUTED_VALUE"""),"PR049")</f>
        <v>PR049</v>
      </c>
      <c r="H1172" s="1" t="str">
        <f>IFERROR(__xludf.DUMMYFUNCTION("""COMPUTED_VALUE"""),"VD031")</f>
        <v>VD031</v>
      </c>
      <c r="I1172" s="1">
        <f>IFERROR(__xludf.DUMMYFUNCTION("""COMPUTED_VALUE"""),18.0)</f>
        <v>18</v>
      </c>
      <c r="J1172" s="1">
        <f>IFERROR(__xludf.DUMMYFUNCTION("""COMPUTED_VALUE"""),633.65)</f>
        <v>633.65</v>
      </c>
      <c r="K1172" s="1">
        <f>IFERROR(__xludf.DUMMYFUNCTION("""COMPUTED_VALUE"""),633.65)</f>
        <v>633.65</v>
      </c>
    </row>
    <row r="1173">
      <c r="A1173" s="1">
        <f>IFERROR(__xludf.DUMMYFUNCTION("""COMPUTED_VALUE"""),2000.0)</f>
        <v>2000</v>
      </c>
      <c r="B1173" s="1">
        <f>IFERROR(__xludf.DUMMYFUNCTION("""COMPUTED_VALUE"""),184311.0)</f>
        <v>184311</v>
      </c>
      <c r="C1173" s="1">
        <f>IFERROR(__xludf.DUMMYFUNCTION("""COMPUTED_VALUE"""),2026.0)</f>
        <v>2026</v>
      </c>
      <c r="D1173" s="1">
        <f>IFERROR(__xludf.DUMMYFUNCTION("""COMPUTED_VALUE"""),46145.0)</f>
        <v>46145</v>
      </c>
      <c r="E1173" s="1" t="str">
        <f>IFERROR(__xludf.DUMMYFUNCTION("""COMPUTED_VALUE"""),"VF")</f>
        <v>VF</v>
      </c>
      <c r="F1173" s="1">
        <f>IFERROR(__xludf.DUMMYFUNCTION("""COMPUTED_VALUE"""),2.0)</f>
        <v>2</v>
      </c>
      <c r="G1173" s="1" t="str">
        <f>IFERROR(__xludf.DUMMYFUNCTION("""COMPUTED_VALUE"""),"PR012")</f>
        <v>PR012</v>
      </c>
      <c r="H1173" s="1" t="str">
        <f>IFERROR(__xludf.DUMMYFUNCTION("""COMPUTED_VALUE"""),"VD026")</f>
        <v>VD026</v>
      </c>
      <c r="I1173" s="1">
        <f>IFERROR(__xludf.DUMMYFUNCTION("""COMPUTED_VALUE"""),5.0)</f>
        <v>5</v>
      </c>
      <c r="J1173" s="1">
        <f>IFERROR(__xludf.DUMMYFUNCTION("""COMPUTED_VALUE"""),244.5)</f>
        <v>244.5</v>
      </c>
      <c r="K1173" s="1">
        <f>IFERROR(__xludf.DUMMYFUNCTION("""COMPUTED_VALUE"""),244.5)</f>
        <v>244.5</v>
      </c>
    </row>
    <row r="1174">
      <c r="A1174" s="1">
        <f>IFERROR(__xludf.DUMMYFUNCTION("""COMPUTED_VALUE"""),1000.0)</f>
        <v>1000</v>
      </c>
      <c r="B1174" s="1">
        <f>IFERROR(__xludf.DUMMYFUNCTION("""COMPUTED_VALUE"""),184312.0)</f>
        <v>184312</v>
      </c>
      <c r="C1174" s="1">
        <f>IFERROR(__xludf.DUMMYFUNCTION("""COMPUTED_VALUE"""),2026.0)</f>
        <v>2026</v>
      </c>
      <c r="D1174" s="1">
        <f>IFERROR(__xludf.DUMMYFUNCTION("""COMPUTED_VALUE"""),46145.0)</f>
        <v>46145</v>
      </c>
      <c r="E1174" s="1" t="str">
        <f>IFERROR(__xludf.DUMMYFUNCTION("""COMPUTED_VALUE"""),"VF")</f>
        <v>VF</v>
      </c>
      <c r="F1174" s="1">
        <f>IFERROR(__xludf.DUMMYFUNCTION("""COMPUTED_VALUE"""),1.0)</f>
        <v>1</v>
      </c>
      <c r="G1174" s="1" t="str">
        <f>IFERROR(__xludf.DUMMYFUNCTION("""COMPUTED_VALUE"""),"PR015")</f>
        <v>PR015</v>
      </c>
      <c r="H1174" s="1" t="str">
        <f>IFERROR(__xludf.DUMMYFUNCTION("""COMPUTED_VALUE"""),"VD033")</f>
        <v>VD033</v>
      </c>
      <c r="I1174" s="1">
        <f>IFERROR(__xludf.DUMMYFUNCTION("""COMPUTED_VALUE"""),20.0)</f>
        <v>20</v>
      </c>
      <c r="J1174" s="1">
        <f>IFERROR(__xludf.DUMMYFUNCTION("""COMPUTED_VALUE"""),918.0)</f>
        <v>918</v>
      </c>
      <c r="K1174" s="1">
        <f>IFERROR(__xludf.DUMMYFUNCTION("""COMPUTED_VALUE"""),918.0)</f>
        <v>918</v>
      </c>
    </row>
    <row r="1175">
      <c r="A1175" s="1">
        <f>IFERROR(__xludf.DUMMYFUNCTION("""COMPUTED_VALUE"""),1000.0)</f>
        <v>1000</v>
      </c>
      <c r="B1175" s="1">
        <f>IFERROR(__xludf.DUMMYFUNCTION("""COMPUTED_VALUE"""),184313.0)</f>
        <v>184313</v>
      </c>
      <c r="C1175" s="1">
        <f>IFERROR(__xludf.DUMMYFUNCTION("""COMPUTED_VALUE"""),2026.0)</f>
        <v>2026</v>
      </c>
      <c r="D1175" s="1">
        <f>IFERROR(__xludf.DUMMYFUNCTION("""COMPUTED_VALUE"""),46145.0)</f>
        <v>46145</v>
      </c>
      <c r="E1175" s="1" t="str">
        <f>IFERROR(__xludf.DUMMYFUNCTION("""COMPUTED_VALUE"""),"VF")</f>
        <v>VF</v>
      </c>
      <c r="F1175" s="1">
        <f>IFERROR(__xludf.DUMMYFUNCTION("""COMPUTED_VALUE"""),1.0)</f>
        <v>1</v>
      </c>
      <c r="G1175" s="1" t="str">
        <f>IFERROR(__xludf.DUMMYFUNCTION("""COMPUTED_VALUE"""),"PR036")</f>
        <v>PR036</v>
      </c>
      <c r="H1175" s="1" t="str">
        <f>IFERROR(__xludf.DUMMYFUNCTION("""COMPUTED_VALUE"""),"VD017")</f>
        <v>VD017</v>
      </c>
      <c r="I1175" s="1">
        <f>IFERROR(__xludf.DUMMYFUNCTION("""COMPUTED_VALUE"""),5.0)</f>
        <v>5</v>
      </c>
      <c r="J1175" s="1">
        <f>IFERROR(__xludf.DUMMYFUNCTION("""COMPUTED_VALUE"""),467.5)</f>
        <v>467.5</v>
      </c>
      <c r="K1175" s="1">
        <f>IFERROR(__xludf.DUMMYFUNCTION("""COMPUTED_VALUE"""),467.5)</f>
        <v>467.5</v>
      </c>
    </row>
    <row r="1176">
      <c r="A1176" s="1">
        <f>IFERROR(__xludf.DUMMYFUNCTION("""COMPUTED_VALUE"""),1000.0)</f>
        <v>1000</v>
      </c>
      <c r="B1176" s="1">
        <f>IFERROR(__xludf.DUMMYFUNCTION("""COMPUTED_VALUE"""),184314.0)</f>
        <v>184314</v>
      </c>
      <c r="C1176" s="1">
        <f>IFERROR(__xludf.DUMMYFUNCTION("""COMPUTED_VALUE"""),2026.0)</f>
        <v>2026</v>
      </c>
      <c r="D1176" s="1">
        <f>IFERROR(__xludf.DUMMYFUNCTION("""COMPUTED_VALUE"""),46145.0)</f>
        <v>46145</v>
      </c>
      <c r="E1176" s="1" t="str">
        <f>IFERROR(__xludf.DUMMYFUNCTION("""COMPUTED_VALUE"""),"VF")</f>
        <v>VF</v>
      </c>
      <c r="F1176" s="1">
        <f>IFERROR(__xludf.DUMMYFUNCTION("""COMPUTED_VALUE"""),1.0)</f>
        <v>1</v>
      </c>
      <c r="G1176" s="1" t="str">
        <f>IFERROR(__xludf.DUMMYFUNCTION("""COMPUTED_VALUE"""),"PR013")</f>
        <v>PR013</v>
      </c>
      <c r="H1176" s="1" t="str">
        <f>IFERROR(__xludf.DUMMYFUNCTION("""COMPUTED_VALUE"""),"VD041")</f>
        <v>VD041</v>
      </c>
      <c r="I1176" s="1">
        <f>IFERROR(__xludf.DUMMYFUNCTION("""COMPUTED_VALUE"""),8.0)</f>
        <v>8</v>
      </c>
      <c r="J1176" s="1">
        <f>IFERROR(__xludf.DUMMYFUNCTION("""COMPUTED_VALUE"""),322.39)</f>
        <v>322.39</v>
      </c>
      <c r="K1176" s="1">
        <f>IFERROR(__xludf.DUMMYFUNCTION("""COMPUTED_VALUE"""),322.39)</f>
        <v>322.39</v>
      </c>
    </row>
    <row r="1177">
      <c r="A1177" s="1">
        <f>IFERROR(__xludf.DUMMYFUNCTION("""COMPUTED_VALUE"""),1000.0)</f>
        <v>1000</v>
      </c>
      <c r="B1177" s="1">
        <f>IFERROR(__xludf.DUMMYFUNCTION("""COMPUTED_VALUE"""),184315.0)</f>
        <v>184315</v>
      </c>
      <c r="C1177" s="1">
        <f>IFERROR(__xludf.DUMMYFUNCTION("""COMPUTED_VALUE"""),2026.0)</f>
        <v>2026</v>
      </c>
      <c r="D1177" s="1">
        <f>IFERROR(__xludf.DUMMYFUNCTION("""COMPUTED_VALUE"""),46144.0)</f>
        <v>46144</v>
      </c>
      <c r="E1177" s="1" t="str">
        <f>IFERROR(__xludf.DUMMYFUNCTION("""COMPUTED_VALUE"""),"VF")</f>
        <v>VF</v>
      </c>
      <c r="F1177" s="1">
        <f>IFERROR(__xludf.DUMMYFUNCTION("""COMPUTED_VALUE"""),1.0)</f>
        <v>1</v>
      </c>
      <c r="G1177" s="1" t="str">
        <f>IFERROR(__xludf.DUMMYFUNCTION("""COMPUTED_VALUE"""),"PR015")</f>
        <v>PR015</v>
      </c>
      <c r="H1177" s="1" t="str">
        <f>IFERROR(__xludf.DUMMYFUNCTION("""COMPUTED_VALUE"""),"VD027")</f>
        <v>VD027</v>
      </c>
      <c r="I1177" s="1">
        <f>IFERROR(__xludf.DUMMYFUNCTION("""COMPUTED_VALUE"""),2.0)</f>
        <v>2</v>
      </c>
      <c r="J1177" s="1">
        <f>IFERROR(__xludf.DUMMYFUNCTION("""COMPUTED_VALUE"""),89.25)</f>
        <v>89.25</v>
      </c>
      <c r="K1177" s="1">
        <f>IFERROR(__xludf.DUMMYFUNCTION("""COMPUTED_VALUE"""),89.25)</f>
        <v>89.25</v>
      </c>
    </row>
    <row r="1178">
      <c r="A1178" s="1">
        <f>IFERROR(__xludf.DUMMYFUNCTION("""COMPUTED_VALUE"""),1000.0)</f>
        <v>1000</v>
      </c>
      <c r="B1178" s="1">
        <f>IFERROR(__xludf.DUMMYFUNCTION("""COMPUTED_VALUE"""),184316.0)</f>
        <v>184316</v>
      </c>
      <c r="C1178" s="1">
        <f>IFERROR(__xludf.DUMMYFUNCTION("""COMPUTED_VALUE"""),2026.0)</f>
        <v>2026</v>
      </c>
      <c r="D1178" s="1">
        <f>IFERROR(__xludf.DUMMYFUNCTION("""COMPUTED_VALUE"""),46144.0)</f>
        <v>46144</v>
      </c>
      <c r="E1178" s="1" t="str">
        <f>IFERROR(__xludf.DUMMYFUNCTION("""COMPUTED_VALUE"""),"VF")</f>
        <v>VF</v>
      </c>
      <c r="F1178" s="1">
        <f>IFERROR(__xludf.DUMMYFUNCTION("""COMPUTED_VALUE"""),1.0)</f>
        <v>1</v>
      </c>
      <c r="G1178" s="1" t="str">
        <f>IFERROR(__xludf.DUMMYFUNCTION("""COMPUTED_VALUE"""),"PR024")</f>
        <v>PR024</v>
      </c>
      <c r="H1178" s="1" t="str">
        <f>IFERROR(__xludf.DUMMYFUNCTION("""COMPUTED_VALUE"""),"VD049")</f>
        <v>VD049</v>
      </c>
      <c r="I1178" s="1">
        <f>IFERROR(__xludf.DUMMYFUNCTION("""COMPUTED_VALUE"""),2.0)</f>
        <v>2</v>
      </c>
      <c r="J1178" s="1">
        <f>IFERROR(__xludf.DUMMYFUNCTION("""COMPUTED_VALUE"""),556.19)</f>
        <v>556.19</v>
      </c>
      <c r="K1178" s="1">
        <f>IFERROR(__xludf.DUMMYFUNCTION("""COMPUTED_VALUE"""),556.19)</f>
        <v>556.19</v>
      </c>
    </row>
    <row r="1179">
      <c r="A1179" s="1">
        <f>IFERROR(__xludf.DUMMYFUNCTION("""COMPUTED_VALUE"""),2000.0)</f>
        <v>2000</v>
      </c>
      <c r="B1179" s="1">
        <f>IFERROR(__xludf.DUMMYFUNCTION("""COMPUTED_VALUE"""),184317.0)</f>
        <v>184317</v>
      </c>
      <c r="C1179" s="1">
        <f>IFERROR(__xludf.DUMMYFUNCTION("""COMPUTED_VALUE"""),2026.0)</f>
        <v>2026</v>
      </c>
      <c r="D1179" s="1">
        <f>IFERROR(__xludf.DUMMYFUNCTION("""COMPUTED_VALUE"""),46143.0)</f>
        <v>46143</v>
      </c>
      <c r="E1179" s="1" t="str">
        <f>IFERROR(__xludf.DUMMYFUNCTION("""COMPUTED_VALUE"""),"VF")</f>
        <v>VF</v>
      </c>
      <c r="F1179" s="1">
        <f>IFERROR(__xludf.DUMMYFUNCTION("""COMPUTED_VALUE"""),1.0)</f>
        <v>1</v>
      </c>
      <c r="G1179" s="1" t="str">
        <f>IFERROR(__xludf.DUMMYFUNCTION("""COMPUTED_VALUE"""),"PR042")</f>
        <v>PR042</v>
      </c>
      <c r="H1179" s="1" t="str">
        <f>IFERROR(__xludf.DUMMYFUNCTION("""COMPUTED_VALUE"""),"VD025")</f>
        <v>VD025</v>
      </c>
      <c r="I1179" s="1">
        <f>IFERROR(__xludf.DUMMYFUNCTION("""COMPUTED_VALUE"""),2.0)</f>
        <v>2</v>
      </c>
      <c r="J1179" s="1">
        <f>IFERROR(__xludf.DUMMYFUNCTION("""COMPUTED_VALUE"""),116.39)</f>
        <v>116.39</v>
      </c>
      <c r="K1179" s="1">
        <f>IFERROR(__xludf.DUMMYFUNCTION("""COMPUTED_VALUE"""),116.39)</f>
        <v>116.39</v>
      </c>
    </row>
    <row r="1180">
      <c r="A1180" s="1">
        <f>IFERROR(__xludf.DUMMYFUNCTION("""COMPUTED_VALUE"""),1000.0)</f>
        <v>1000</v>
      </c>
      <c r="B1180" s="1">
        <f>IFERROR(__xludf.DUMMYFUNCTION("""COMPUTED_VALUE"""),184317.0)</f>
        <v>184317</v>
      </c>
      <c r="C1180" s="1">
        <f>IFERROR(__xludf.DUMMYFUNCTION("""COMPUTED_VALUE"""),2026.0)</f>
        <v>2026</v>
      </c>
      <c r="D1180" s="1">
        <f>IFERROR(__xludf.DUMMYFUNCTION("""COMPUTED_VALUE"""),46143.0)</f>
        <v>46143</v>
      </c>
      <c r="E1180" s="1" t="str">
        <f>IFERROR(__xludf.DUMMYFUNCTION("""COMPUTED_VALUE"""),"VF")</f>
        <v>VF</v>
      </c>
      <c r="F1180" s="1">
        <f>IFERROR(__xludf.DUMMYFUNCTION("""COMPUTED_VALUE"""),2.0)</f>
        <v>2</v>
      </c>
      <c r="G1180" s="1" t="str">
        <f>IFERROR(__xludf.DUMMYFUNCTION("""COMPUTED_VALUE"""),"PR047")</f>
        <v>PR047</v>
      </c>
      <c r="H1180" s="1" t="str">
        <f>IFERROR(__xludf.DUMMYFUNCTION("""COMPUTED_VALUE"""),"VD039")</f>
        <v>VD039</v>
      </c>
      <c r="I1180" s="1">
        <f>IFERROR(__xludf.DUMMYFUNCTION("""COMPUTED_VALUE"""),20.0)</f>
        <v>20</v>
      </c>
      <c r="J1180" s="1">
        <f>IFERROR(__xludf.DUMMYFUNCTION("""COMPUTED_VALUE"""),5913.96)</f>
        <v>5913.96</v>
      </c>
      <c r="K1180" s="1">
        <f>IFERROR(__xludf.DUMMYFUNCTION("""COMPUTED_VALUE"""),5913.96)</f>
        <v>5913.96</v>
      </c>
    </row>
    <row r="1181">
      <c r="A1181" s="1">
        <f>IFERROR(__xludf.DUMMYFUNCTION("""COMPUTED_VALUE"""),1000.0)</f>
        <v>1000</v>
      </c>
      <c r="B1181" s="1">
        <f>IFERROR(__xludf.DUMMYFUNCTION("""COMPUTED_VALUE"""),184317.0)</f>
        <v>184317</v>
      </c>
      <c r="C1181" s="1">
        <f>IFERROR(__xludf.DUMMYFUNCTION("""COMPUTED_VALUE"""),2026.0)</f>
        <v>2026</v>
      </c>
      <c r="D1181" s="1">
        <f>IFERROR(__xludf.DUMMYFUNCTION("""COMPUTED_VALUE"""),46143.0)</f>
        <v>46143</v>
      </c>
      <c r="E1181" s="1" t="str">
        <f>IFERROR(__xludf.DUMMYFUNCTION("""COMPUTED_VALUE"""),"VF")</f>
        <v>VF</v>
      </c>
      <c r="F1181" s="1">
        <f>IFERROR(__xludf.DUMMYFUNCTION("""COMPUTED_VALUE"""),3.0)</f>
        <v>3</v>
      </c>
      <c r="G1181" s="1" t="str">
        <f>IFERROR(__xludf.DUMMYFUNCTION("""COMPUTED_VALUE"""),"PR010")</f>
        <v>PR010</v>
      </c>
      <c r="H1181" s="1" t="str">
        <f>IFERROR(__xludf.DUMMYFUNCTION("""COMPUTED_VALUE"""),"VD045")</f>
        <v>VD045</v>
      </c>
      <c r="I1181" s="1">
        <f>IFERROR(__xludf.DUMMYFUNCTION("""COMPUTED_VALUE"""),8.0)</f>
        <v>8</v>
      </c>
      <c r="J1181" s="1">
        <f>IFERROR(__xludf.DUMMYFUNCTION("""COMPUTED_VALUE"""),373.57)</f>
        <v>373.57</v>
      </c>
      <c r="K1181" s="1">
        <f>IFERROR(__xludf.DUMMYFUNCTION("""COMPUTED_VALUE"""),373.57)</f>
        <v>373.57</v>
      </c>
    </row>
    <row r="1182">
      <c r="A1182" s="1">
        <f>IFERROR(__xludf.DUMMYFUNCTION("""COMPUTED_VALUE"""),1000.0)</f>
        <v>1000</v>
      </c>
      <c r="B1182" s="1">
        <f>IFERROR(__xludf.DUMMYFUNCTION("""COMPUTED_VALUE"""),184318.0)</f>
        <v>184318</v>
      </c>
      <c r="C1182" s="1">
        <f>IFERROR(__xludf.DUMMYFUNCTION("""COMPUTED_VALUE"""),2026.0)</f>
        <v>2026</v>
      </c>
      <c r="D1182" s="1">
        <f>IFERROR(__xludf.DUMMYFUNCTION("""COMPUTED_VALUE"""),46143.0)</f>
        <v>46143</v>
      </c>
      <c r="E1182" s="1" t="str">
        <f>IFERROR(__xludf.DUMMYFUNCTION("""COMPUTED_VALUE"""),"VF")</f>
        <v>VF</v>
      </c>
      <c r="F1182" s="1">
        <f>IFERROR(__xludf.DUMMYFUNCTION("""COMPUTED_VALUE"""),1.0)</f>
        <v>1</v>
      </c>
      <c r="G1182" s="1" t="str">
        <f>IFERROR(__xludf.DUMMYFUNCTION("""COMPUTED_VALUE"""),"PR004")</f>
        <v>PR004</v>
      </c>
      <c r="H1182" s="1" t="str">
        <f>IFERROR(__xludf.DUMMYFUNCTION("""COMPUTED_VALUE"""),"VD047")</f>
        <v>VD047</v>
      </c>
      <c r="I1182" s="1">
        <f>IFERROR(__xludf.DUMMYFUNCTION("""COMPUTED_VALUE"""),2.0)</f>
        <v>2</v>
      </c>
      <c r="J1182" s="1">
        <f>IFERROR(__xludf.DUMMYFUNCTION("""COMPUTED_VALUE"""),290.0)</f>
        <v>290</v>
      </c>
      <c r="K1182" s="1">
        <f>IFERROR(__xludf.DUMMYFUNCTION("""COMPUTED_VALUE"""),290.0)</f>
        <v>290</v>
      </c>
    </row>
    <row r="1183">
      <c r="A1183" s="1">
        <f>IFERROR(__xludf.DUMMYFUNCTION("""COMPUTED_VALUE"""),2000.0)</f>
        <v>2000</v>
      </c>
      <c r="B1183" s="1">
        <f>IFERROR(__xludf.DUMMYFUNCTION("""COMPUTED_VALUE"""),184319.0)</f>
        <v>184319</v>
      </c>
      <c r="C1183" s="1">
        <f>IFERROR(__xludf.DUMMYFUNCTION("""COMPUTED_VALUE"""),2026.0)</f>
        <v>2026</v>
      </c>
      <c r="D1183" s="1">
        <f>IFERROR(__xludf.DUMMYFUNCTION("""COMPUTED_VALUE"""),46143.0)</f>
        <v>46143</v>
      </c>
      <c r="E1183" s="1" t="str">
        <f>IFERROR(__xludf.DUMMYFUNCTION("""COMPUTED_VALUE"""),"VF")</f>
        <v>VF</v>
      </c>
      <c r="F1183" s="1">
        <f>IFERROR(__xludf.DUMMYFUNCTION("""COMPUTED_VALUE"""),1.0)</f>
        <v>1</v>
      </c>
      <c r="G1183" s="1" t="str">
        <f>IFERROR(__xludf.DUMMYFUNCTION("""COMPUTED_VALUE"""),"PR028")</f>
        <v>PR028</v>
      </c>
      <c r="H1183" s="1" t="str">
        <f>IFERROR(__xludf.DUMMYFUNCTION("""COMPUTED_VALUE"""),"VD027")</f>
        <v>VD027</v>
      </c>
      <c r="I1183" s="1">
        <f>IFERROR(__xludf.DUMMYFUNCTION("""COMPUTED_VALUE"""),8.0)</f>
        <v>8</v>
      </c>
      <c r="J1183" s="1">
        <f>IFERROR(__xludf.DUMMYFUNCTION("""COMPUTED_VALUE"""),2159.14)</f>
        <v>2159.14</v>
      </c>
      <c r="K1183" s="1">
        <f>IFERROR(__xludf.DUMMYFUNCTION("""COMPUTED_VALUE"""),2159.14)</f>
        <v>2159.14</v>
      </c>
    </row>
    <row r="1184">
      <c r="A1184" s="1">
        <f>IFERROR(__xludf.DUMMYFUNCTION("""COMPUTED_VALUE"""),1000.0)</f>
        <v>1000</v>
      </c>
      <c r="B1184" s="1">
        <f>IFERROR(__xludf.DUMMYFUNCTION("""COMPUTED_VALUE"""),184320.0)</f>
        <v>184320</v>
      </c>
      <c r="C1184" s="1">
        <f>IFERROR(__xludf.DUMMYFUNCTION("""COMPUTED_VALUE"""),2026.0)</f>
        <v>2026</v>
      </c>
      <c r="D1184" s="1">
        <f>IFERROR(__xludf.DUMMYFUNCTION("""COMPUTED_VALUE"""),46142.0)</f>
        <v>46142</v>
      </c>
      <c r="E1184" s="1" t="str">
        <f>IFERROR(__xludf.DUMMYFUNCTION("""COMPUTED_VALUE"""),"VF")</f>
        <v>VF</v>
      </c>
      <c r="F1184" s="1">
        <f>IFERROR(__xludf.DUMMYFUNCTION("""COMPUTED_VALUE"""),1.0)</f>
        <v>1</v>
      </c>
      <c r="G1184" s="1" t="str">
        <f>IFERROR(__xludf.DUMMYFUNCTION("""COMPUTED_VALUE"""),"PR029")</f>
        <v>PR029</v>
      </c>
      <c r="H1184" s="1" t="str">
        <f>IFERROR(__xludf.DUMMYFUNCTION("""COMPUTED_VALUE"""),"VD025")</f>
        <v>VD025</v>
      </c>
      <c r="I1184" s="1">
        <f>IFERROR(__xludf.DUMMYFUNCTION("""COMPUTED_VALUE"""),4.0)</f>
        <v>4</v>
      </c>
      <c r="J1184" s="1">
        <f>IFERROR(__xludf.DUMMYFUNCTION("""COMPUTED_VALUE"""),1050.6)</f>
        <v>1050.6</v>
      </c>
      <c r="K1184" s="1">
        <f>IFERROR(__xludf.DUMMYFUNCTION("""COMPUTED_VALUE"""),1050.6)</f>
        <v>1050.6</v>
      </c>
    </row>
    <row r="1185">
      <c r="A1185" s="1">
        <f>IFERROR(__xludf.DUMMYFUNCTION("""COMPUTED_VALUE"""),1000.0)</f>
        <v>1000</v>
      </c>
      <c r="B1185" s="1">
        <f>IFERROR(__xludf.DUMMYFUNCTION("""COMPUTED_VALUE"""),184321.0)</f>
        <v>184321</v>
      </c>
      <c r="C1185" s="1">
        <f>IFERROR(__xludf.DUMMYFUNCTION("""COMPUTED_VALUE"""),2026.0)</f>
        <v>2026</v>
      </c>
      <c r="D1185" s="1">
        <f>IFERROR(__xludf.DUMMYFUNCTION("""COMPUTED_VALUE"""),46142.0)</f>
        <v>46142</v>
      </c>
      <c r="E1185" s="1" t="str">
        <f>IFERROR(__xludf.DUMMYFUNCTION("""COMPUTED_VALUE"""),"VF")</f>
        <v>VF</v>
      </c>
      <c r="F1185" s="1">
        <f>IFERROR(__xludf.DUMMYFUNCTION("""COMPUTED_VALUE"""),1.0)</f>
        <v>1</v>
      </c>
      <c r="G1185" s="1" t="str">
        <f>IFERROR(__xludf.DUMMYFUNCTION("""COMPUTED_VALUE"""),"PR046")</f>
        <v>PR046</v>
      </c>
      <c r="H1185" s="1" t="str">
        <f>IFERROR(__xludf.DUMMYFUNCTION("""COMPUTED_VALUE"""),"VD042")</f>
        <v>VD042</v>
      </c>
      <c r="I1185" s="1">
        <f>IFERROR(__xludf.DUMMYFUNCTION("""COMPUTED_VALUE"""),10.0)</f>
        <v>10</v>
      </c>
      <c r="J1185" s="1">
        <f>IFERROR(__xludf.DUMMYFUNCTION("""COMPUTED_VALUE"""),3014.96)</f>
        <v>3014.96</v>
      </c>
      <c r="K1185" s="1">
        <f>IFERROR(__xludf.DUMMYFUNCTION("""COMPUTED_VALUE"""),3014.96)</f>
        <v>3014.96</v>
      </c>
    </row>
    <row r="1186">
      <c r="A1186" s="1">
        <f>IFERROR(__xludf.DUMMYFUNCTION("""COMPUTED_VALUE"""),1000.0)</f>
        <v>1000</v>
      </c>
      <c r="B1186" s="1">
        <f>IFERROR(__xludf.DUMMYFUNCTION("""COMPUTED_VALUE"""),184322.0)</f>
        <v>184322</v>
      </c>
      <c r="C1186" s="1">
        <f>IFERROR(__xludf.DUMMYFUNCTION("""COMPUTED_VALUE"""),2026.0)</f>
        <v>2026</v>
      </c>
      <c r="D1186" s="1">
        <f>IFERROR(__xludf.DUMMYFUNCTION("""COMPUTED_VALUE"""),46142.0)</f>
        <v>46142</v>
      </c>
      <c r="E1186" s="1" t="str">
        <f>IFERROR(__xludf.DUMMYFUNCTION("""COMPUTED_VALUE"""),"VF")</f>
        <v>VF</v>
      </c>
      <c r="F1186" s="1">
        <f>IFERROR(__xludf.DUMMYFUNCTION("""COMPUTED_VALUE"""),1.0)</f>
        <v>1</v>
      </c>
      <c r="G1186" s="1" t="str">
        <f>IFERROR(__xludf.DUMMYFUNCTION("""COMPUTED_VALUE"""),"PR043")</f>
        <v>PR043</v>
      </c>
      <c r="H1186" s="1" t="str">
        <f>IFERROR(__xludf.DUMMYFUNCTION("""COMPUTED_VALUE"""),"VD041")</f>
        <v>VD041</v>
      </c>
      <c r="I1186" s="1">
        <f>IFERROR(__xludf.DUMMYFUNCTION("""COMPUTED_VALUE"""),10.0)</f>
        <v>10</v>
      </c>
      <c r="J1186" s="1">
        <f>IFERROR(__xludf.DUMMYFUNCTION("""COMPUTED_VALUE"""),754.0)</f>
        <v>754</v>
      </c>
      <c r="K1186" s="1">
        <f>IFERROR(__xludf.DUMMYFUNCTION("""COMPUTED_VALUE"""),754.0)</f>
        <v>754</v>
      </c>
    </row>
    <row r="1187">
      <c r="A1187" s="1">
        <f>IFERROR(__xludf.DUMMYFUNCTION("""COMPUTED_VALUE"""),2000.0)</f>
        <v>2000</v>
      </c>
      <c r="B1187" s="1">
        <f>IFERROR(__xludf.DUMMYFUNCTION("""COMPUTED_VALUE"""),184323.0)</f>
        <v>184323</v>
      </c>
      <c r="C1187" s="1">
        <f>IFERROR(__xludf.DUMMYFUNCTION("""COMPUTED_VALUE"""),2026.0)</f>
        <v>2026</v>
      </c>
      <c r="D1187" s="1">
        <f>IFERROR(__xludf.DUMMYFUNCTION("""COMPUTED_VALUE"""),46142.0)</f>
        <v>46142</v>
      </c>
      <c r="E1187" s="1" t="str">
        <f>IFERROR(__xludf.DUMMYFUNCTION("""COMPUTED_VALUE"""),"VF")</f>
        <v>VF</v>
      </c>
      <c r="F1187" s="1">
        <f>IFERROR(__xludf.DUMMYFUNCTION("""COMPUTED_VALUE"""),1.0)</f>
        <v>1</v>
      </c>
      <c r="G1187" s="1" t="str">
        <f>IFERROR(__xludf.DUMMYFUNCTION("""COMPUTED_VALUE"""),"PR034")</f>
        <v>PR034</v>
      </c>
      <c r="H1187" s="1" t="str">
        <f>IFERROR(__xludf.DUMMYFUNCTION("""COMPUTED_VALUE"""),"VD032")</f>
        <v>VD032</v>
      </c>
      <c r="I1187" s="1">
        <f>IFERROR(__xludf.DUMMYFUNCTION("""COMPUTED_VALUE"""),8.0)</f>
        <v>8</v>
      </c>
      <c r="J1187" s="1">
        <f>IFERROR(__xludf.DUMMYFUNCTION("""COMPUTED_VALUE"""),726.39)</f>
        <v>726.39</v>
      </c>
      <c r="K1187" s="1">
        <f>IFERROR(__xludf.DUMMYFUNCTION("""COMPUTED_VALUE"""),726.39)</f>
        <v>726.39</v>
      </c>
    </row>
    <row r="1188">
      <c r="A1188" s="1">
        <f>IFERROR(__xludf.DUMMYFUNCTION("""COMPUTED_VALUE"""),1000.0)</f>
        <v>1000</v>
      </c>
      <c r="B1188" s="1">
        <f>IFERROR(__xludf.DUMMYFUNCTION("""COMPUTED_VALUE"""),184324.0)</f>
        <v>184324</v>
      </c>
      <c r="C1188" s="1">
        <f>IFERROR(__xludf.DUMMYFUNCTION("""COMPUTED_VALUE"""),2026.0)</f>
        <v>2026</v>
      </c>
      <c r="D1188" s="1">
        <f>IFERROR(__xludf.DUMMYFUNCTION("""COMPUTED_VALUE"""),46141.0)</f>
        <v>46141</v>
      </c>
      <c r="E1188" s="1" t="str">
        <f>IFERROR(__xludf.DUMMYFUNCTION("""COMPUTED_VALUE"""),"VF")</f>
        <v>VF</v>
      </c>
      <c r="F1188" s="1">
        <f>IFERROR(__xludf.DUMMYFUNCTION("""COMPUTED_VALUE"""),1.0)</f>
        <v>1</v>
      </c>
      <c r="G1188" s="1" t="str">
        <f>IFERROR(__xludf.DUMMYFUNCTION("""COMPUTED_VALUE"""),"PR041")</f>
        <v>PR041</v>
      </c>
      <c r="H1188" s="1" t="str">
        <f>IFERROR(__xludf.DUMMYFUNCTION("""COMPUTED_VALUE"""),"VD044")</f>
        <v>VD044</v>
      </c>
      <c r="I1188" s="1">
        <f>IFERROR(__xludf.DUMMYFUNCTION("""COMPUTED_VALUE"""),6.0)</f>
        <v>6</v>
      </c>
      <c r="J1188" s="1">
        <f>IFERROR(__xludf.DUMMYFUNCTION("""COMPUTED_VALUE"""),335.99)</f>
        <v>335.99</v>
      </c>
      <c r="K1188" s="1">
        <f>IFERROR(__xludf.DUMMYFUNCTION("""COMPUTED_VALUE"""),335.99)</f>
        <v>335.99</v>
      </c>
    </row>
    <row r="1189">
      <c r="A1189" s="1">
        <f>IFERROR(__xludf.DUMMYFUNCTION("""COMPUTED_VALUE"""),1000.0)</f>
        <v>1000</v>
      </c>
      <c r="B1189" s="1">
        <f>IFERROR(__xludf.DUMMYFUNCTION("""COMPUTED_VALUE"""),184324.0)</f>
        <v>184324</v>
      </c>
      <c r="C1189" s="1">
        <f>IFERROR(__xludf.DUMMYFUNCTION("""COMPUTED_VALUE"""),2026.0)</f>
        <v>2026</v>
      </c>
      <c r="D1189" s="1">
        <f>IFERROR(__xludf.DUMMYFUNCTION("""COMPUTED_VALUE"""),46141.0)</f>
        <v>46141</v>
      </c>
      <c r="E1189" s="1" t="str">
        <f>IFERROR(__xludf.DUMMYFUNCTION("""COMPUTED_VALUE"""),"VF")</f>
        <v>VF</v>
      </c>
      <c r="F1189" s="1">
        <f>IFERROR(__xludf.DUMMYFUNCTION("""COMPUTED_VALUE"""),2.0)</f>
        <v>2</v>
      </c>
      <c r="G1189" s="1" t="str">
        <f>IFERROR(__xludf.DUMMYFUNCTION("""COMPUTED_VALUE"""),"PR004")</f>
        <v>PR004</v>
      </c>
      <c r="H1189" s="1" t="str">
        <f>IFERROR(__xludf.DUMMYFUNCTION("""COMPUTED_VALUE"""),"VD041")</f>
        <v>VD041</v>
      </c>
      <c r="I1189" s="1">
        <f>IFERROR(__xludf.DUMMYFUNCTION("""COMPUTED_VALUE"""),12.0)</f>
        <v>12</v>
      </c>
      <c r="J1189" s="1">
        <f>IFERROR(__xludf.DUMMYFUNCTION("""COMPUTED_VALUE"""),1879.2)</f>
        <v>1879.2</v>
      </c>
      <c r="K1189" s="1">
        <f>IFERROR(__xludf.DUMMYFUNCTION("""COMPUTED_VALUE"""),1879.2)</f>
        <v>1879.2</v>
      </c>
    </row>
    <row r="1190">
      <c r="A1190" s="1">
        <f>IFERROR(__xludf.DUMMYFUNCTION("""COMPUTED_VALUE"""),1000.0)</f>
        <v>1000</v>
      </c>
      <c r="B1190" s="1">
        <f>IFERROR(__xludf.DUMMYFUNCTION("""COMPUTED_VALUE"""),184325.0)</f>
        <v>184325</v>
      </c>
      <c r="C1190" s="1">
        <f>IFERROR(__xludf.DUMMYFUNCTION("""COMPUTED_VALUE"""),2026.0)</f>
        <v>2026</v>
      </c>
      <c r="D1190" s="1">
        <f>IFERROR(__xludf.DUMMYFUNCTION("""COMPUTED_VALUE"""),46141.0)</f>
        <v>46141</v>
      </c>
      <c r="E1190" s="1" t="str">
        <f>IFERROR(__xludf.DUMMYFUNCTION("""COMPUTED_VALUE"""),"VF")</f>
        <v>VF</v>
      </c>
      <c r="F1190" s="1">
        <f>IFERROR(__xludf.DUMMYFUNCTION("""COMPUTED_VALUE"""),1.0)</f>
        <v>1</v>
      </c>
      <c r="G1190" s="1" t="str">
        <f>IFERROR(__xludf.DUMMYFUNCTION("""COMPUTED_VALUE"""),"PR041")</f>
        <v>PR041</v>
      </c>
      <c r="H1190" s="1" t="str">
        <f>IFERROR(__xludf.DUMMYFUNCTION("""COMPUTED_VALUE"""),"VD033")</f>
        <v>VD033</v>
      </c>
      <c r="I1190" s="1">
        <f>IFERROR(__xludf.DUMMYFUNCTION("""COMPUTED_VALUE"""),6.0)</f>
        <v>6</v>
      </c>
      <c r="J1190" s="1">
        <f>IFERROR(__xludf.DUMMYFUNCTION("""COMPUTED_VALUE"""),335.99)</f>
        <v>335.99</v>
      </c>
      <c r="K1190" s="1">
        <f>IFERROR(__xludf.DUMMYFUNCTION("""COMPUTED_VALUE"""),335.99)</f>
        <v>335.99</v>
      </c>
    </row>
    <row r="1191">
      <c r="A1191" s="1">
        <f>IFERROR(__xludf.DUMMYFUNCTION("""COMPUTED_VALUE"""),1000.0)</f>
        <v>1000</v>
      </c>
      <c r="B1191" s="1">
        <f>IFERROR(__xludf.DUMMYFUNCTION("""COMPUTED_VALUE"""),184326.0)</f>
        <v>184326</v>
      </c>
      <c r="C1191" s="1">
        <f>IFERROR(__xludf.DUMMYFUNCTION("""COMPUTED_VALUE"""),2026.0)</f>
        <v>2026</v>
      </c>
      <c r="D1191" s="1">
        <f>IFERROR(__xludf.DUMMYFUNCTION("""COMPUTED_VALUE"""),46141.0)</f>
        <v>46141</v>
      </c>
      <c r="E1191" s="1" t="str">
        <f>IFERROR(__xludf.DUMMYFUNCTION("""COMPUTED_VALUE"""),"VF")</f>
        <v>VF</v>
      </c>
      <c r="F1191" s="1">
        <f>IFERROR(__xludf.DUMMYFUNCTION("""COMPUTED_VALUE"""),1.0)</f>
        <v>1</v>
      </c>
      <c r="G1191" s="1" t="str">
        <f>IFERROR(__xludf.DUMMYFUNCTION("""COMPUTED_VALUE"""),"PR048")</f>
        <v>PR048</v>
      </c>
      <c r="H1191" s="1" t="str">
        <f>IFERROR(__xludf.DUMMYFUNCTION("""COMPUTED_VALUE"""),"VD028")</f>
        <v>VD028</v>
      </c>
      <c r="I1191" s="1">
        <f>IFERROR(__xludf.DUMMYFUNCTION("""COMPUTED_VALUE"""),10.0)</f>
        <v>10</v>
      </c>
      <c r="J1191" s="1">
        <f>IFERROR(__xludf.DUMMYFUNCTION("""COMPUTED_VALUE"""),3101.93)</f>
        <v>3101.93</v>
      </c>
      <c r="K1191" s="1">
        <f>IFERROR(__xludf.DUMMYFUNCTION("""COMPUTED_VALUE"""),3101.93)</f>
        <v>3101.93</v>
      </c>
    </row>
    <row r="1192">
      <c r="A1192" s="1">
        <f>IFERROR(__xludf.DUMMYFUNCTION("""COMPUTED_VALUE"""),1000.0)</f>
        <v>1000</v>
      </c>
      <c r="B1192" s="1">
        <f>IFERROR(__xludf.DUMMYFUNCTION("""COMPUTED_VALUE"""),184327.0)</f>
        <v>184327</v>
      </c>
      <c r="C1192" s="1">
        <f>IFERROR(__xludf.DUMMYFUNCTION("""COMPUTED_VALUE"""),2026.0)</f>
        <v>2026</v>
      </c>
      <c r="D1192" s="1">
        <f>IFERROR(__xludf.DUMMYFUNCTION("""COMPUTED_VALUE"""),46141.0)</f>
        <v>46141</v>
      </c>
      <c r="E1192" s="1" t="str">
        <f>IFERROR(__xludf.DUMMYFUNCTION("""COMPUTED_VALUE"""),"VF")</f>
        <v>VF</v>
      </c>
      <c r="F1192" s="1">
        <f>IFERROR(__xludf.DUMMYFUNCTION("""COMPUTED_VALUE"""),1.0)</f>
        <v>1</v>
      </c>
      <c r="G1192" s="1" t="str">
        <f>IFERROR(__xludf.DUMMYFUNCTION("""COMPUTED_VALUE"""),"PR051")</f>
        <v>PR051</v>
      </c>
      <c r="H1192" s="1" t="str">
        <f>IFERROR(__xludf.DUMMYFUNCTION("""COMPUTED_VALUE"""),"VD025")</f>
        <v>VD025</v>
      </c>
      <c r="I1192" s="1">
        <f>IFERROR(__xludf.DUMMYFUNCTION("""COMPUTED_VALUE"""),14.0)</f>
        <v>14</v>
      </c>
      <c r="J1192" s="1">
        <f>IFERROR(__xludf.DUMMYFUNCTION("""COMPUTED_VALUE"""),502.05)</f>
        <v>502.05</v>
      </c>
      <c r="K1192" s="1">
        <f>IFERROR(__xludf.DUMMYFUNCTION("""COMPUTED_VALUE"""),502.05)</f>
        <v>502.05</v>
      </c>
    </row>
    <row r="1193">
      <c r="A1193" s="1">
        <f>IFERROR(__xludf.DUMMYFUNCTION("""COMPUTED_VALUE"""),1000.0)</f>
        <v>1000</v>
      </c>
      <c r="B1193" s="1">
        <f>IFERROR(__xludf.DUMMYFUNCTION("""COMPUTED_VALUE"""),184328.0)</f>
        <v>184328</v>
      </c>
      <c r="C1193" s="1">
        <f>IFERROR(__xludf.DUMMYFUNCTION("""COMPUTED_VALUE"""),2026.0)</f>
        <v>2026</v>
      </c>
      <c r="D1193" s="1">
        <f>IFERROR(__xludf.DUMMYFUNCTION("""COMPUTED_VALUE"""),46141.0)</f>
        <v>46141</v>
      </c>
      <c r="E1193" s="1" t="str">
        <f>IFERROR(__xludf.DUMMYFUNCTION("""COMPUTED_VALUE"""),"VF")</f>
        <v>VF</v>
      </c>
      <c r="F1193" s="1">
        <f>IFERROR(__xludf.DUMMYFUNCTION("""COMPUTED_VALUE"""),1.0)</f>
        <v>1</v>
      </c>
      <c r="G1193" s="1" t="str">
        <f>IFERROR(__xludf.DUMMYFUNCTION("""COMPUTED_VALUE"""),"PR025")</f>
        <v>PR025</v>
      </c>
      <c r="H1193" s="1" t="str">
        <f>IFERROR(__xludf.DUMMYFUNCTION("""COMPUTED_VALUE"""),"VD016")</f>
        <v>VD016</v>
      </c>
      <c r="I1193" s="1">
        <f>IFERROR(__xludf.DUMMYFUNCTION("""COMPUTED_VALUE"""),10.0)</f>
        <v>10</v>
      </c>
      <c r="J1193" s="1">
        <f>IFERROR(__xludf.DUMMYFUNCTION("""COMPUTED_VALUE"""),3058.98)</f>
        <v>3058.98</v>
      </c>
      <c r="K1193" s="1">
        <f>IFERROR(__xludf.DUMMYFUNCTION("""COMPUTED_VALUE"""),3058.98)</f>
        <v>3058.98</v>
      </c>
    </row>
    <row r="1194">
      <c r="A1194" s="1">
        <f>IFERROR(__xludf.DUMMYFUNCTION("""COMPUTED_VALUE"""),1000.0)</f>
        <v>1000</v>
      </c>
      <c r="B1194" s="1">
        <f>IFERROR(__xludf.DUMMYFUNCTION("""COMPUTED_VALUE"""),184329.0)</f>
        <v>184329</v>
      </c>
      <c r="C1194" s="1">
        <f>IFERROR(__xludf.DUMMYFUNCTION("""COMPUTED_VALUE"""),2026.0)</f>
        <v>2026</v>
      </c>
      <c r="D1194" s="1">
        <f>IFERROR(__xludf.DUMMYFUNCTION("""COMPUTED_VALUE"""),46141.0)</f>
        <v>46141</v>
      </c>
      <c r="E1194" s="1" t="str">
        <f>IFERROR(__xludf.DUMMYFUNCTION("""COMPUTED_VALUE"""),"VF")</f>
        <v>VF</v>
      </c>
      <c r="F1194" s="1">
        <f>IFERROR(__xludf.DUMMYFUNCTION("""COMPUTED_VALUE"""),1.0)</f>
        <v>1</v>
      </c>
      <c r="G1194" s="1" t="str">
        <f>IFERROR(__xludf.DUMMYFUNCTION("""COMPUTED_VALUE"""),"PR055")</f>
        <v>PR055</v>
      </c>
      <c r="H1194" s="1" t="str">
        <f>IFERROR(__xludf.DUMMYFUNCTION("""COMPUTED_VALUE"""),"VD029")</f>
        <v>VD029</v>
      </c>
      <c r="I1194" s="1">
        <f>IFERROR(__xludf.DUMMYFUNCTION("""COMPUTED_VALUE"""),2.0)</f>
        <v>2</v>
      </c>
      <c r="J1194" s="1">
        <f>IFERROR(__xludf.DUMMYFUNCTION("""COMPUTED_VALUE"""),195.98)</f>
        <v>195.98</v>
      </c>
      <c r="K1194" s="1">
        <f>IFERROR(__xludf.DUMMYFUNCTION("""COMPUTED_VALUE"""),195.98)</f>
        <v>195.98</v>
      </c>
    </row>
    <row r="1195">
      <c r="A1195" s="1">
        <f>IFERROR(__xludf.DUMMYFUNCTION("""COMPUTED_VALUE"""),1000.0)</f>
        <v>1000</v>
      </c>
      <c r="B1195" s="1">
        <f>IFERROR(__xludf.DUMMYFUNCTION("""COMPUTED_VALUE"""),184329.0)</f>
        <v>184329</v>
      </c>
      <c r="C1195" s="1">
        <f>IFERROR(__xludf.DUMMYFUNCTION("""COMPUTED_VALUE"""),2026.0)</f>
        <v>2026</v>
      </c>
      <c r="D1195" s="1">
        <f>IFERROR(__xludf.DUMMYFUNCTION("""COMPUTED_VALUE"""),46141.0)</f>
        <v>46141</v>
      </c>
      <c r="E1195" s="1" t="str">
        <f>IFERROR(__xludf.DUMMYFUNCTION("""COMPUTED_VALUE"""),"VF")</f>
        <v>VF</v>
      </c>
      <c r="F1195" s="1">
        <f>IFERROR(__xludf.DUMMYFUNCTION("""COMPUTED_VALUE"""),2.0)</f>
        <v>2</v>
      </c>
      <c r="G1195" s="1" t="str">
        <f>IFERROR(__xludf.DUMMYFUNCTION("""COMPUTED_VALUE"""),"PR043")</f>
        <v>PR043</v>
      </c>
      <c r="H1195" s="1" t="str">
        <f>IFERROR(__xludf.DUMMYFUNCTION("""COMPUTED_VALUE"""),"VD042")</f>
        <v>VD042</v>
      </c>
      <c r="I1195" s="1">
        <f>IFERROR(__xludf.DUMMYFUNCTION("""COMPUTED_VALUE"""),18.0)</f>
        <v>18</v>
      </c>
      <c r="J1195" s="1">
        <f>IFERROR(__xludf.DUMMYFUNCTION("""COMPUTED_VALUE"""),1318.05)</f>
        <v>1318.05</v>
      </c>
      <c r="K1195" s="1">
        <f>IFERROR(__xludf.DUMMYFUNCTION("""COMPUTED_VALUE"""),1318.05)</f>
        <v>1318.05</v>
      </c>
    </row>
    <row r="1196">
      <c r="A1196" s="1">
        <f>IFERROR(__xludf.DUMMYFUNCTION("""COMPUTED_VALUE"""),1000.0)</f>
        <v>1000</v>
      </c>
      <c r="B1196" s="1">
        <f>IFERROR(__xludf.DUMMYFUNCTION("""COMPUTED_VALUE"""),184330.0)</f>
        <v>184330</v>
      </c>
      <c r="C1196" s="1">
        <f>IFERROR(__xludf.DUMMYFUNCTION("""COMPUTED_VALUE"""),2026.0)</f>
        <v>2026</v>
      </c>
      <c r="D1196" s="1">
        <f>IFERROR(__xludf.DUMMYFUNCTION("""COMPUTED_VALUE"""),46141.0)</f>
        <v>46141</v>
      </c>
      <c r="E1196" s="1" t="str">
        <f>IFERROR(__xludf.DUMMYFUNCTION("""COMPUTED_VALUE"""),"VF")</f>
        <v>VF</v>
      </c>
      <c r="F1196" s="1">
        <f>IFERROR(__xludf.DUMMYFUNCTION("""COMPUTED_VALUE"""),1.0)</f>
        <v>1</v>
      </c>
      <c r="G1196" s="1" t="str">
        <f>IFERROR(__xludf.DUMMYFUNCTION("""COMPUTED_VALUE"""),"PR010")</f>
        <v>PR010</v>
      </c>
      <c r="H1196" s="1" t="str">
        <f>IFERROR(__xludf.DUMMYFUNCTION("""COMPUTED_VALUE"""),"VD015")</f>
        <v>VD015</v>
      </c>
      <c r="I1196" s="1">
        <f>IFERROR(__xludf.DUMMYFUNCTION("""COMPUTED_VALUE"""),12.0)</f>
        <v>12</v>
      </c>
      <c r="J1196" s="1">
        <f>IFERROR(__xludf.DUMMYFUNCTION("""COMPUTED_VALUE"""),538.8)</f>
        <v>538.8</v>
      </c>
      <c r="K1196" s="1">
        <f>IFERROR(__xludf.DUMMYFUNCTION("""COMPUTED_VALUE"""),538.8)</f>
        <v>538.8</v>
      </c>
    </row>
    <row r="1197">
      <c r="A1197" s="1">
        <f>IFERROR(__xludf.DUMMYFUNCTION("""COMPUTED_VALUE"""),1000.0)</f>
        <v>1000</v>
      </c>
      <c r="B1197" s="1">
        <f>IFERROR(__xludf.DUMMYFUNCTION("""COMPUTED_VALUE"""),184331.0)</f>
        <v>184331</v>
      </c>
      <c r="C1197" s="1">
        <f>IFERROR(__xludf.DUMMYFUNCTION("""COMPUTED_VALUE"""),2026.0)</f>
        <v>2026</v>
      </c>
      <c r="D1197" s="1">
        <f>IFERROR(__xludf.DUMMYFUNCTION("""COMPUTED_VALUE"""),46141.0)</f>
        <v>46141</v>
      </c>
      <c r="E1197" s="1" t="str">
        <f>IFERROR(__xludf.DUMMYFUNCTION("""COMPUTED_VALUE"""),"VF")</f>
        <v>VF</v>
      </c>
      <c r="F1197" s="1">
        <f>IFERROR(__xludf.DUMMYFUNCTION("""COMPUTED_VALUE"""),1.0)</f>
        <v>1</v>
      </c>
      <c r="G1197" s="1" t="str">
        <f>IFERROR(__xludf.DUMMYFUNCTION("""COMPUTED_VALUE"""),"PR043")</f>
        <v>PR043</v>
      </c>
      <c r="H1197" s="1" t="str">
        <f>IFERROR(__xludf.DUMMYFUNCTION("""COMPUTED_VALUE"""),"VD025")</f>
        <v>VD025</v>
      </c>
      <c r="I1197" s="1">
        <f>IFERROR(__xludf.DUMMYFUNCTION("""COMPUTED_VALUE"""),8.0)</f>
        <v>8</v>
      </c>
      <c r="J1197" s="1">
        <f>IFERROR(__xludf.DUMMYFUNCTION("""COMPUTED_VALUE"""),591.6)</f>
        <v>591.6</v>
      </c>
      <c r="K1197" s="1">
        <f>IFERROR(__xludf.DUMMYFUNCTION("""COMPUTED_VALUE"""),591.6)</f>
        <v>591.6</v>
      </c>
    </row>
    <row r="1198">
      <c r="A1198" s="1">
        <f>IFERROR(__xludf.DUMMYFUNCTION("""COMPUTED_VALUE"""),1000.0)</f>
        <v>1000</v>
      </c>
      <c r="B1198" s="1">
        <f>IFERROR(__xludf.DUMMYFUNCTION("""COMPUTED_VALUE"""),184332.0)</f>
        <v>184332</v>
      </c>
      <c r="C1198" s="1">
        <f>IFERROR(__xludf.DUMMYFUNCTION("""COMPUTED_VALUE"""),2026.0)</f>
        <v>2026</v>
      </c>
      <c r="D1198" s="1">
        <f>IFERROR(__xludf.DUMMYFUNCTION("""COMPUTED_VALUE"""),46141.0)</f>
        <v>46141</v>
      </c>
      <c r="E1198" s="1" t="str">
        <f>IFERROR(__xludf.DUMMYFUNCTION("""COMPUTED_VALUE"""),"VF")</f>
        <v>VF</v>
      </c>
      <c r="F1198" s="1">
        <f>IFERROR(__xludf.DUMMYFUNCTION("""COMPUTED_VALUE"""),1.0)</f>
        <v>1</v>
      </c>
      <c r="G1198" s="1" t="str">
        <f>IFERROR(__xludf.DUMMYFUNCTION("""COMPUTED_VALUE"""),"PR041")</f>
        <v>PR041</v>
      </c>
      <c r="H1198" s="1" t="str">
        <f>IFERROR(__xludf.DUMMYFUNCTION("""COMPUTED_VALUE"""),"VD028")</f>
        <v>VD028</v>
      </c>
      <c r="I1198" s="1">
        <f>IFERROR(__xludf.DUMMYFUNCTION("""COMPUTED_VALUE"""),6.0)</f>
        <v>6</v>
      </c>
      <c r="J1198" s="1">
        <f>IFERROR(__xludf.DUMMYFUNCTION("""COMPUTED_VALUE"""),335.99)</f>
        <v>335.99</v>
      </c>
      <c r="K1198" s="1">
        <f>IFERROR(__xludf.DUMMYFUNCTION("""COMPUTED_VALUE"""),335.99)</f>
        <v>335.99</v>
      </c>
    </row>
    <row r="1199">
      <c r="A1199" s="1">
        <f>IFERROR(__xludf.DUMMYFUNCTION("""COMPUTED_VALUE"""),1000.0)</f>
        <v>1000</v>
      </c>
      <c r="B1199" s="1">
        <f>IFERROR(__xludf.DUMMYFUNCTION("""COMPUTED_VALUE"""),184333.0)</f>
        <v>184333</v>
      </c>
      <c r="C1199" s="1">
        <f>IFERROR(__xludf.DUMMYFUNCTION("""COMPUTED_VALUE"""),2026.0)</f>
        <v>2026</v>
      </c>
      <c r="D1199" s="1">
        <f>IFERROR(__xludf.DUMMYFUNCTION("""COMPUTED_VALUE"""),46141.0)</f>
        <v>46141</v>
      </c>
      <c r="E1199" s="1" t="str">
        <f>IFERROR(__xludf.DUMMYFUNCTION("""COMPUTED_VALUE"""),"VF")</f>
        <v>VF</v>
      </c>
      <c r="F1199" s="1">
        <f>IFERROR(__xludf.DUMMYFUNCTION("""COMPUTED_VALUE"""),1.0)</f>
        <v>1</v>
      </c>
      <c r="G1199" s="1" t="str">
        <f>IFERROR(__xludf.DUMMYFUNCTION("""COMPUTED_VALUE"""),"PR001")</f>
        <v>PR001</v>
      </c>
      <c r="H1199" s="1" t="str">
        <f>IFERROR(__xludf.DUMMYFUNCTION("""COMPUTED_VALUE"""),"VD031")</f>
        <v>VD031</v>
      </c>
      <c r="I1199" s="1">
        <f>IFERROR(__xludf.DUMMYFUNCTION("""COMPUTED_VALUE"""),8.0)</f>
        <v>8</v>
      </c>
      <c r="J1199" s="1">
        <f>IFERROR(__xludf.DUMMYFUNCTION("""COMPUTED_VALUE"""),574.65)</f>
        <v>574.65</v>
      </c>
      <c r="K1199" s="1">
        <f>IFERROR(__xludf.DUMMYFUNCTION("""COMPUTED_VALUE"""),574.65)</f>
        <v>574.65</v>
      </c>
    </row>
    <row r="1200">
      <c r="A1200" s="1">
        <f>IFERROR(__xludf.DUMMYFUNCTION("""COMPUTED_VALUE"""),1000.0)</f>
        <v>1000</v>
      </c>
      <c r="B1200" s="1">
        <f>IFERROR(__xludf.DUMMYFUNCTION("""COMPUTED_VALUE"""),184334.0)</f>
        <v>184334</v>
      </c>
      <c r="C1200" s="1">
        <f>IFERROR(__xludf.DUMMYFUNCTION("""COMPUTED_VALUE"""),2026.0)</f>
        <v>2026</v>
      </c>
      <c r="D1200" s="1">
        <f>IFERROR(__xludf.DUMMYFUNCTION("""COMPUTED_VALUE"""),46140.0)</f>
        <v>46140</v>
      </c>
      <c r="E1200" s="1" t="str">
        <f>IFERROR(__xludf.DUMMYFUNCTION("""COMPUTED_VALUE"""),"VF")</f>
        <v>VF</v>
      </c>
      <c r="F1200" s="1">
        <f>IFERROR(__xludf.DUMMYFUNCTION("""COMPUTED_VALUE"""),1.0)</f>
        <v>1</v>
      </c>
      <c r="G1200" s="1" t="str">
        <f>IFERROR(__xludf.DUMMYFUNCTION("""COMPUTED_VALUE"""),"PR007")</f>
        <v>PR007</v>
      </c>
      <c r="H1200" s="1" t="str">
        <f>IFERROR(__xludf.DUMMYFUNCTION("""COMPUTED_VALUE"""),"VD044")</f>
        <v>VD044</v>
      </c>
      <c r="I1200" s="1">
        <f>IFERROR(__xludf.DUMMYFUNCTION("""COMPUTED_VALUE"""),3.0)</f>
        <v>3</v>
      </c>
      <c r="J1200" s="1">
        <f>IFERROR(__xludf.DUMMYFUNCTION("""COMPUTED_VALUE"""),257.7)</f>
        <v>257.7</v>
      </c>
      <c r="K1200" s="1">
        <f>IFERROR(__xludf.DUMMYFUNCTION("""COMPUTED_VALUE"""),257.7)</f>
        <v>257.7</v>
      </c>
    </row>
    <row r="1201">
      <c r="A1201" s="1">
        <f>IFERROR(__xludf.DUMMYFUNCTION("""COMPUTED_VALUE"""),2000.0)</f>
        <v>2000</v>
      </c>
      <c r="B1201" s="1">
        <f>IFERROR(__xludf.DUMMYFUNCTION("""COMPUTED_VALUE"""),184335.0)</f>
        <v>184335</v>
      </c>
      <c r="C1201" s="1">
        <f>IFERROR(__xludf.DUMMYFUNCTION("""COMPUTED_VALUE"""),2026.0)</f>
        <v>2026</v>
      </c>
      <c r="D1201" s="1">
        <f>IFERROR(__xludf.DUMMYFUNCTION("""COMPUTED_VALUE"""),46140.0)</f>
        <v>46140</v>
      </c>
      <c r="E1201" s="1" t="str">
        <f>IFERROR(__xludf.DUMMYFUNCTION("""COMPUTED_VALUE"""),"VF")</f>
        <v>VF</v>
      </c>
      <c r="F1201" s="1">
        <f>IFERROR(__xludf.DUMMYFUNCTION("""COMPUTED_VALUE"""),1.0)</f>
        <v>1</v>
      </c>
      <c r="G1201" s="1" t="str">
        <f>IFERROR(__xludf.DUMMYFUNCTION("""COMPUTED_VALUE"""),"PR032")</f>
        <v>PR032</v>
      </c>
      <c r="H1201" s="1" t="str">
        <f>IFERROR(__xludf.DUMMYFUNCTION("""COMPUTED_VALUE"""),"VD019")</f>
        <v>VD019</v>
      </c>
      <c r="I1201" s="1">
        <f>IFERROR(__xludf.DUMMYFUNCTION("""COMPUTED_VALUE"""),6.0)</f>
        <v>6</v>
      </c>
      <c r="J1201" s="1">
        <f>IFERROR(__xludf.DUMMYFUNCTION("""COMPUTED_VALUE"""),1515.0)</f>
        <v>1515</v>
      </c>
      <c r="K1201" s="1">
        <f>IFERROR(__xludf.DUMMYFUNCTION("""COMPUTED_VALUE"""),1515.0)</f>
        <v>1515</v>
      </c>
    </row>
    <row r="1202">
      <c r="A1202" s="1">
        <f>IFERROR(__xludf.DUMMYFUNCTION("""COMPUTED_VALUE"""),1000.0)</f>
        <v>1000</v>
      </c>
      <c r="B1202" s="1">
        <f>IFERROR(__xludf.DUMMYFUNCTION("""COMPUTED_VALUE"""),184336.0)</f>
        <v>184336</v>
      </c>
      <c r="C1202" s="1">
        <f>IFERROR(__xludf.DUMMYFUNCTION("""COMPUTED_VALUE"""),2026.0)</f>
        <v>2026</v>
      </c>
      <c r="D1202" s="1">
        <f>IFERROR(__xludf.DUMMYFUNCTION("""COMPUTED_VALUE"""),46140.0)</f>
        <v>46140</v>
      </c>
      <c r="E1202" s="1" t="str">
        <f>IFERROR(__xludf.DUMMYFUNCTION("""COMPUTED_VALUE"""),"VF")</f>
        <v>VF</v>
      </c>
      <c r="F1202" s="1">
        <f>IFERROR(__xludf.DUMMYFUNCTION("""COMPUTED_VALUE"""),1.0)</f>
        <v>1</v>
      </c>
      <c r="G1202" s="1" t="str">
        <f>IFERROR(__xludf.DUMMYFUNCTION("""COMPUTED_VALUE"""),"PR040")</f>
        <v>PR040</v>
      </c>
      <c r="H1202" s="1" t="str">
        <f>IFERROR(__xludf.DUMMYFUNCTION("""COMPUTED_VALUE"""),"VD035")</f>
        <v>VD035</v>
      </c>
      <c r="I1202" s="1">
        <f>IFERROR(__xludf.DUMMYFUNCTION("""COMPUTED_VALUE"""),2.0)</f>
        <v>2</v>
      </c>
      <c r="J1202" s="1">
        <f>IFERROR(__xludf.DUMMYFUNCTION("""COMPUTED_VALUE"""),142.8)</f>
        <v>142.8</v>
      </c>
      <c r="K1202" s="1">
        <f>IFERROR(__xludf.DUMMYFUNCTION("""COMPUTED_VALUE"""),142.8)</f>
        <v>142.8</v>
      </c>
    </row>
    <row r="1203">
      <c r="A1203" s="1">
        <f>IFERROR(__xludf.DUMMYFUNCTION("""COMPUTED_VALUE"""),1000.0)</f>
        <v>1000</v>
      </c>
      <c r="B1203" s="1">
        <f>IFERROR(__xludf.DUMMYFUNCTION("""COMPUTED_VALUE"""),184336.0)</f>
        <v>184336</v>
      </c>
      <c r="C1203" s="1">
        <f>IFERROR(__xludf.DUMMYFUNCTION("""COMPUTED_VALUE"""),2026.0)</f>
        <v>2026</v>
      </c>
      <c r="D1203" s="1">
        <f>IFERROR(__xludf.DUMMYFUNCTION("""COMPUTED_VALUE"""),46140.0)</f>
        <v>46140</v>
      </c>
      <c r="E1203" s="1" t="str">
        <f>IFERROR(__xludf.DUMMYFUNCTION("""COMPUTED_VALUE"""),"VF")</f>
        <v>VF</v>
      </c>
      <c r="F1203" s="1">
        <f>IFERROR(__xludf.DUMMYFUNCTION("""COMPUTED_VALUE"""),2.0)</f>
        <v>2</v>
      </c>
      <c r="G1203" s="1" t="str">
        <f>IFERROR(__xludf.DUMMYFUNCTION("""COMPUTED_VALUE"""),"PR027")</f>
        <v>PR027</v>
      </c>
      <c r="H1203" s="1" t="str">
        <f>IFERROR(__xludf.DUMMYFUNCTION("""COMPUTED_VALUE"""),"VD020")</f>
        <v>VD020</v>
      </c>
      <c r="I1203" s="1">
        <f>IFERROR(__xludf.DUMMYFUNCTION("""COMPUTED_VALUE"""),12.0)</f>
        <v>12</v>
      </c>
      <c r="J1203" s="1">
        <f>IFERROR(__xludf.DUMMYFUNCTION("""COMPUTED_VALUE"""),1555.2)</f>
        <v>1555.2</v>
      </c>
      <c r="K1203" s="1">
        <f>IFERROR(__xludf.DUMMYFUNCTION("""COMPUTED_VALUE"""),1555.2)</f>
        <v>1555.2</v>
      </c>
    </row>
    <row r="1204">
      <c r="A1204" s="1">
        <f>IFERROR(__xludf.DUMMYFUNCTION("""COMPUTED_VALUE"""),1000.0)</f>
        <v>1000</v>
      </c>
      <c r="B1204" s="1">
        <f>IFERROR(__xludf.DUMMYFUNCTION("""COMPUTED_VALUE"""),184336.0)</f>
        <v>184336</v>
      </c>
      <c r="C1204" s="1">
        <f>IFERROR(__xludf.DUMMYFUNCTION("""COMPUTED_VALUE"""),2026.0)</f>
        <v>2026</v>
      </c>
      <c r="D1204" s="1">
        <f>IFERROR(__xludf.DUMMYFUNCTION("""COMPUTED_VALUE"""),46140.0)</f>
        <v>46140</v>
      </c>
      <c r="E1204" s="1" t="str">
        <f>IFERROR(__xludf.DUMMYFUNCTION("""COMPUTED_VALUE"""),"VF")</f>
        <v>VF</v>
      </c>
      <c r="F1204" s="1">
        <f>IFERROR(__xludf.DUMMYFUNCTION("""COMPUTED_VALUE"""),3.0)</f>
        <v>3</v>
      </c>
      <c r="G1204" s="1" t="str">
        <f>IFERROR(__xludf.DUMMYFUNCTION("""COMPUTED_VALUE"""),"PR021")</f>
        <v>PR021</v>
      </c>
      <c r="H1204" s="1" t="str">
        <f>IFERROR(__xludf.DUMMYFUNCTION("""COMPUTED_VALUE"""),"VD025")</f>
        <v>VD025</v>
      </c>
      <c r="I1204" s="1">
        <f>IFERROR(__xludf.DUMMYFUNCTION("""COMPUTED_VALUE"""),8.0)</f>
        <v>8</v>
      </c>
      <c r="J1204" s="1">
        <f>IFERROR(__xludf.DUMMYFUNCTION("""COMPUTED_VALUE"""),2447.43)</f>
        <v>2447.43</v>
      </c>
      <c r="K1204" s="1">
        <f>IFERROR(__xludf.DUMMYFUNCTION("""COMPUTED_VALUE"""),2447.43)</f>
        <v>2447.43</v>
      </c>
    </row>
    <row r="1205">
      <c r="A1205" s="1">
        <f>IFERROR(__xludf.DUMMYFUNCTION("""COMPUTED_VALUE"""),2000.0)</f>
        <v>2000</v>
      </c>
      <c r="B1205" s="1">
        <f>IFERROR(__xludf.DUMMYFUNCTION("""COMPUTED_VALUE"""),184336.0)</f>
        <v>184336</v>
      </c>
      <c r="C1205" s="1">
        <f>IFERROR(__xludf.DUMMYFUNCTION("""COMPUTED_VALUE"""),2026.0)</f>
        <v>2026</v>
      </c>
      <c r="D1205" s="1">
        <f>IFERROR(__xludf.DUMMYFUNCTION("""COMPUTED_VALUE"""),46140.0)</f>
        <v>46140</v>
      </c>
      <c r="E1205" s="1" t="str">
        <f>IFERROR(__xludf.DUMMYFUNCTION("""COMPUTED_VALUE"""),"VF")</f>
        <v>VF</v>
      </c>
      <c r="F1205" s="1">
        <f>IFERROR(__xludf.DUMMYFUNCTION("""COMPUTED_VALUE"""),4.0)</f>
        <v>4</v>
      </c>
      <c r="G1205" s="1" t="str">
        <f>IFERROR(__xludf.DUMMYFUNCTION("""COMPUTED_VALUE"""),"PR007")</f>
        <v>PR007</v>
      </c>
      <c r="H1205" s="1" t="str">
        <f>IFERROR(__xludf.DUMMYFUNCTION("""COMPUTED_VALUE"""),"VD010")</f>
        <v>VD010</v>
      </c>
      <c r="I1205" s="1">
        <f>IFERROR(__xludf.DUMMYFUNCTION("""COMPUTED_VALUE"""),14.0)</f>
        <v>14</v>
      </c>
      <c r="J1205" s="1">
        <f>IFERROR(__xludf.DUMMYFUNCTION("""COMPUTED_VALUE"""),1310.83)</f>
        <v>1310.83</v>
      </c>
      <c r="K1205" s="1">
        <f>IFERROR(__xludf.DUMMYFUNCTION("""COMPUTED_VALUE"""),1310.83)</f>
        <v>1310.83</v>
      </c>
    </row>
    <row r="1206">
      <c r="A1206" s="1">
        <f>IFERROR(__xludf.DUMMYFUNCTION("""COMPUTED_VALUE"""),1000.0)</f>
        <v>1000</v>
      </c>
      <c r="B1206" s="1">
        <f>IFERROR(__xludf.DUMMYFUNCTION("""COMPUTED_VALUE"""),184337.0)</f>
        <v>184337</v>
      </c>
      <c r="C1206" s="1">
        <f>IFERROR(__xludf.DUMMYFUNCTION("""COMPUTED_VALUE"""),2026.0)</f>
        <v>2026</v>
      </c>
      <c r="D1206" s="1">
        <f>IFERROR(__xludf.DUMMYFUNCTION("""COMPUTED_VALUE"""),46139.0)</f>
        <v>46139</v>
      </c>
      <c r="E1206" s="1" t="str">
        <f>IFERROR(__xludf.DUMMYFUNCTION("""COMPUTED_VALUE"""),"VF")</f>
        <v>VF</v>
      </c>
      <c r="F1206" s="1">
        <f>IFERROR(__xludf.DUMMYFUNCTION("""COMPUTED_VALUE"""),1.0)</f>
        <v>1</v>
      </c>
      <c r="G1206" s="1" t="str">
        <f>IFERROR(__xludf.DUMMYFUNCTION("""COMPUTED_VALUE"""),"PR049")</f>
        <v>PR049</v>
      </c>
      <c r="H1206" s="1" t="str">
        <f>IFERROR(__xludf.DUMMYFUNCTION("""COMPUTED_VALUE"""),"VD023")</f>
        <v>VD023</v>
      </c>
      <c r="I1206" s="1">
        <f>IFERROR(__xludf.DUMMYFUNCTION("""COMPUTED_VALUE"""),4.0)</f>
        <v>4</v>
      </c>
      <c r="J1206" s="1">
        <f>IFERROR(__xludf.DUMMYFUNCTION("""COMPUTED_VALUE"""),138.18)</f>
        <v>138.18</v>
      </c>
      <c r="K1206" s="1">
        <f>IFERROR(__xludf.DUMMYFUNCTION("""COMPUTED_VALUE"""),138.18)</f>
        <v>138.18</v>
      </c>
    </row>
    <row r="1207">
      <c r="A1207" s="1">
        <f>IFERROR(__xludf.DUMMYFUNCTION("""COMPUTED_VALUE"""),1000.0)</f>
        <v>1000</v>
      </c>
      <c r="B1207" s="1">
        <f>IFERROR(__xludf.DUMMYFUNCTION("""COMPUTED_VALUE"""),184338.0)</f>
        <v>184338</v>
      </c>
      <c r="C1207" s="1">
        <f>IFERROR(__xludf.DUMMYFUNCTION("""COMPUTED_VALUE"""),2026.0)</f>
        <v>2026</v>
      </c>
      <c r="D1207" s="1">
        <f>IFERROR(__xludf.DUMMYFUNCTION("""COMPUTED_VALUE"""),46139.0)</f>
        <v>46139</v>
      </c>
      <c r="E1207" s="1" t="str">
        <f>IFERROR(__xludf.DUMMYFUNCTION("""COMPUTED_VALUE"""),"VF")</f>
        <v>VF</v>
      </c>
      <c r="F1207" s="1">
        <f>IFERROR(__xludf.DUMMYFUNCTION("""COMPUTED_VALUE"""),1.0)</f>
        <v>1</v>
      </c>
      <c r="G1207" s="1" t="str">
        <f>IFERROR(__xludf.DUMMYFUNCTION("""COMPUTED_VALUE"""),"PR011")</f>
        <v>PR011</v>
      </c>
      <c r="H1207" s="1" t="str">
        <f>IFERROR(__xludf.DUMMYFUNCTION("""COMPUTED_VALUE"""),"VD045")</f>
        <v>VD045</v>
      </c>
      <c r="I1207" s="1">
        <f>IFERROR(__xludf.DUMMYFUNCTION("""COMPUTED_VALUE"""),7.0)</f>
        <v>7</v>
      </c>
      <c r="J1207" s="1">
        <f>IFERROR(__xludf.DUMMYFUNCTION("""COMPUTED_VALUE"""),341.43)</f>
        <v>341.43</v>
      </c>
      <c r="K1207" s="1">
        <f>IFERROR(__xludf.DUMMYFUNCTION("""COMPUTED_VALUE"""),341.43)</f>
        <v>341.43</v>
      </c>
    </row>
    <row r="1208">
      <c r="A1208" s="1">
        <f>IFERROR(__xludf.DUMMYFUNCTION("""COMPUTED_VALUE"""),1000.0)</f>
        <v>1000</v>
      </c>
      <c r="B1208" s="1">
        <f>IFERROR(__xludf.DUMMYFUNCTION("""COMPUTED_VALUE"""),184339.0)</f>
        <v>184339</v>
      </c>
      <c r="C1208" s="1">
        <f>IFERROR(__xludf.DUMMYFUNCTION("""COMPUTED_VALUE"""),2026.0)</f>
        <v>2026</v>
      </c>
      <c r="D1208" s="1">
        <f>IFERROR(__xludf.DUMMYFUNCTION("""COMPUTED_VALUE"""),46139.0)</f>
        <v>46139</v>
      </c>
      <c r="E1208" s="1" t="str">
        <f>IFERROR(__xludf.DUMMYFUNCTION("""COMPUTED_VALUE"""),"VF")</f>
        <v>VF</v>
      </c>
      <c r="F1208" s="1">
        <f>IFERROR(__xludf.DUMMYFUNCTION("""COMPUTED_VALUE"""),1.0)</f>
        <v>1</v>
      </c>
      <c r="G1208" s="1" t="str">
        <f>IFERROR(__xludf.DUMMYFUNCTION("""COMPUTED_VALUE"""),"PR014")</f>
        <v>PR014</v>
      </c>
      <c r="H1208" s="1" t="str">
        <f>IFERROR(__xludf.DUMMYFUNCTION("""COMPUTED_VALUE"""),"VD015")</f>
        <v>VD015</v>
      </c>
      <c r="I1208" s="1">
        <f>IFERROR(__xludf.DUMMYFUNCTION("""COMPUTED_VALUE"""),16.0)</f>
        <v>16</v>
      </c>
      <c r="J1208" s="1">
        <f>IFERROR(__xludf.DUMMYFUNCTION("""COMPUTED_VALUE"""),644.78)</f>
        <v>644.78</v>
      </c>
      <c r="K1208" s="1">
        <f>IFERROR(__xludf.DUMMYFUNCTION("""COMPUTED_VALUE"""),644.78)</f>
        <v>644.78</v>
      </c>
    </row>
    <row r="1209">
      <c r="A1209" s="1">
        <f>IFERROR(__xludf.DUMMYFUNCTION("""COMPUTED_VALUE"""),1000.0)</f>
        <v>1000</v>
      </c>
      <c r="B1209" s="1">
        <f>IFERROR(__xludf.DUMMYFUNCTION("""COMPUTED_VALUE"""),184339.0)</f>
        <v>184339</v>
      </c>
      <c r="C1209" s="1">
        <f>IFERROR(__xludf.DUMMYFUNCTION("""COMPUTED_VALUE"""),2026.0)</f>
        <v>2026</v>
      </c>
      <c r="D1209" s="1">
        <f>IFERROR(__xludf.DUMMYFUNCTION("""COMPUTED_VALUE"""),46139.0)</f>
        <v>46139</v>
      </c>
      <c r="E1209" s="1" t="str">
        <f>IFERROR(__xludf.DUMMYFUNCTION("""COMPUTED_VALUE"""),"VF")</f>
        <v>VF</v>
      </c>
      <c r="F1209" s="1">
        <f>IFERROR(__xludf.DUMMYFUNCTION("""COMPUTED_VALUE"""),2.0)</f>
        <v>2</v>
      </c>
      <c r="G1209" s="1" t="str">
        <f>IFERROR(__xludf.DUMMYFUNCTION("""COMPUTED_VALUE"""),"PR021")</f>
        <v>PR021</v>
      </c>
      <c r="H1209" s="1" t="str">
        <f>IFERROR(__xludf.DUMMYFUNCTION("""COMPUTED_VALUE"""),"VD040")</f>
        <v>VD040</v>
      </c>
      <c r="I1209" s="1">
        <f>IFERROR(__xludf.DUMMYFUNCTION("""COMPUTED_VALUE"""),18.0)</f>
        <v>18</v>
      </c>
      <c r="J1209" s="1">
        <f>IFERROR(__xludf.DUMMYFUNCTION("""COMPUTED_VALUE"""),5942.9)</f>
        <v>5942.9</v>
      </c>
      <c r="K1209" s="1">
        <f>IFERROR(__xludf.DUMMYFUNCTION("""COMPUTED_VALUE"""),5942.9)</f>
        <v>5942.9</v>
      </c>
    </row>
    <row r="1210">
      <c r="A1210" s="1">
        <f>IFERROR(__xludf.DUMMYFUNCTION("""COMPUTED_VALUE"""),1000.0)</f>
        <v>1000</v>
      </c>
      <c r="B1210" s="1">
        <f>IFERROR(__xludf.DUMMYFUNCTION("""COMPUTED_VALUE"""),184339.0)</f>
        <v>184339</v>
      </c>
      <c r="C1210" s="1">
        <f>IFERROR(__xludf.DUMMYFUNCTION("""COMPUTED_VALUE"""),2026.0)</f>
        <v>2026</v>
      </c>
      <c r="D1210" s="1">
        <f>IFERROR(__xludf.DUMMYFUNCTION("""COMPUTED_VALUE"""),46139.0)</f>
        <v>46139</v>
      </c>
      <c r="E1210" s="1" t="str">
        <f>IFERROR(__xludf.DUMMYFUNCTION("""COMPUTED_VALUE"""),"VF")</f>
        <v>VF</v>
      </c>
      <c r="F1210" s="1">
        <f>IFERROR(__xludf.DUMMYFUNCTION("""COMPUTED_VALUE"""),3.0)</f>
        <v>3</v>
      </c>
      <c r="G1210" s="1" t="str">
        <f>IFERROR(__xludf.DUMMYFUNCTION("""COMPUTED_VALUE"""),"PR011")</f>
        <v>PR011</v>
      </c>
      <c r="H1210" s="1" t="str">
        <f>IFERROR(__xludf.DUMMYFUNCTION("""COMPUTED_VALUE"""),"VD027")</f>
        <v>VD027</v>
      </c>
      <c r="I1210" s="1">
        <f>IFERROR(__xludf.DUMMYFUNCTION("""COMPUTED_VALUE"""),8.0)</f>
        <v>8</v>
      </c>
      <c r="J1210" s="1">
        <f>IFERROR(__xludf.DUMMYFUNCTION("""COMPUTED_VALUE"""),408.97)</f>
        <v>408.97</v>
      </c>
      <c r="K1210" s="1">
        <f>IFERROR(__xludf.DUMMYFUNCTION("""COMPUTED_VALUE"""),408.97)</f>
        <v>408.97</v>
      </c>
    </row>
    <row r="1211">
      <c r="A1211" s="1">
        <f>IFERROR(__xludf.DUMMYFUNCTION("""COMPUTED_VALUE"""),1000.0)</f>
        <v>1000</v>
      </c>
      <c r="B1211" s="1">
        <f>IFERROR(__xludf.DUMMYFUNCTION("""COMPUTED_VALUE"""),184340.0)</f>
        <v>184340</v>
      </c>
      <c r="C1211" s="1">
        <f>IFERROR(__xludf.DUMMYFUNCTION("""COMPUTED_VALUE"""),2026.0)</f>
        <v>2026</v>
      </c>
      <c r="D1211" s="1">
        <f>IFERROR(__xludf.DUMMYFUNCTION("""COMPUTED_VALUE"""),46138.0)</f>
        <v>46138</v>
      </c>
      <c r="E1211" s="1" t="str">
        <f>IFERROR(__xludf.DUMMYFUNCTION("""COMPUTED_VALUE"""),"VF")</f>
        <v>VF</v>
      </c>
      <c r="F1211" s="1">
        <f>IFERROR(__xludf.DUMMYFUNCTION("""COMPUTED_VALUE"""),1.0)</f>
        <v>1</v>
      </c>
      <c r="G1211" s="1" t="str">
        <f>IFERROR(__xludf.DUMMYFUNCTION("""COMPUTED_VALUE"""),"PR003")</f>
        <v>PR003</v>
      </c>
      <c r="H1211" s="1" t="str">
        <f>IFERROR(__xludf.DUMMYFUNCTION("""COMPUTED_VALUE"""),"VD019")</f>
        <v>VD019</v>
      </c>
      <c r="I1211" s="1">
        <f>IFERROR(__xludf.DUMMYFUNCTION("""COMPUTED_VALUE"""),3.0)</f>
        <v>3</v>
      </c>
      <c r="J1211" s="1">
        <f>IFERROR(__xludf.DUMMYFUNCTION("""COMPUTED_VALUE"""),212.7)</f>
        <v>212.7</v>
      </c>
      <c r="K1211" s="1">
        <f>IFERROR(__xludf.DUMMYFUNCTION("""COMPUTED_VALUE"""),212.7)</f>
        <v>212.7</v>
      </c>
    </row>
    <row r="1212">
      <c r="A1212" s="1">
        <f>IFERROR(__xludf.DUMMYFUNCTION("""COMPUTED_VALUE"""),1000.0)</f>
        <v>1000</v>
      </c>
      <c r="B1212" s="1">
        <f>IFERROR(__xludf.DUMMYFUNCTION("""COMPUTED_VALUE"""),184340.0)</f>
        <v>184340</v>
      </c>
      <c r="C1212" s="1">
        <f>IFERROR(__xludf.DUMMYFUNCTION("""COMPUTED_VALUE"""),2026.0)</f>
        <v>2026</v>
      </c>
      <c r="D1212" s="1">
        <f>IFERROR(__xludf.DUMMYFUNCTION("""COMPUTED_VALUE"""),46138.0)</f>
        <v>46138</v>
      </c>
      <c r="E1212" s="1" t="str">
        <f>IFERROR(__xludf.DUMMYFUNCTION("""COMPUTED_VALUE"""),"VF")</f>
        <v>VF</v>
      </c>
      <c r="F1212" s="1">
        <f>IFERROR(__xludf.DUMMYFUNCTION("""COMPUTED_VALUE"""),2.0)</f>
        <v>2</v>
      </c>
      <c r="G1212" s="1" t="str">
        <f>IFERROR(__xludf.DUMMYFUNCTION("""COMPUTED_VALUE"""),"PR045")</f>
        <v>PR045</v>
      </c>
      <c r="H1212" s="1" t="str">
        <f>IFERROR(__xludf.DUMMYFUNCTION("""COMPUTED_VALUE"""),"VD016")</f>
        <v>VD016</v>
      </c>
      <c r="I1212" s="1">
        <f>IFERROR(__xludf.DUMMYFUNCTION("""COMPUTED_VALUE"""),5.0)</f>
        <v>5</v>
      </c>
      <c r="J1212" s="1">
        <f>IFERROR(__xludf.DUMMYFUNCTION("""COMPUTED_VALUE"""),380.63)</f>
        <v>380.63</v>
      </c>
      <c r="K1212" s="1">
        <f>IFERROR(__xludf.DUMMYFUNCTION("""COMPUTED_VALUE"""),380.63)</f>
        <v>380.63</v>
      </c>
    </row>
    <row r="1213">
      <c r="A1213" s="1">
        <f>IFERROR(__xludf.DUMMYFUNCTION("""COMPUTED_VALUE"""),1000.0)</f>
        <v>1000</v>
      </c>
      <c r="B1213" s="1">
        <f>IFERROR(__xludf.DUMMYFUNCTION("""COMPUTED_VALUE"""),184341.0)</f>
        <v>184341</v>
      </c>
      <c r="C1213" s="1">
        <f>IFERROR(__xludf.DUMMYFUNCTION("""COMPUTED_VALUE"""),2026.0)</f>
        <v>2026</v>
      </c>
      <c r="D1213" s="1">
        <f>IFERROR(__xludf.DUMMYFUNCTION("""COMPUTED_VALUE"""),46138.0)</f>
        <v>46138</v>
      </c>
      <c r="E1213" s="1" t="str">
        <f>IFERROR(__xludf.DUMMYFUNCTION("""COMPUTED_VALUE"""),"VF")</f>
        <v>VF</v>
      </c>
      <c r="F1213" s="1">
        <f>IFERROR(__xludf.DUMMYFUNCTION("""COMPUTED_VALUE"""),1.0)</f>
        <v>1</v>
      </c>
      <c r="G1213" s="1" t="str">
        <f>IFERROR(__xludf.DUMMYFUNCTION("""COMPUTED_VALUE"""),"PR056")</f>
        <v>PR056</v>
      </c>
      <c r="H1213" s="1" t="str">
        <f>IFERROR(__xludf.DUMMYFUNCTION("""COMPUTED_VALUE"""),"VD013")</f>
        <v>VD013</v>
      </c>
      <c r="I1213" s="1">
        <f>IFERROR(__xludf.DUMMYFUNCTION("""COMPUTED_VALUE"""),3.0)</f>
        <v>3</v>
      </c>
      <c r="J1213" s="1">
        <f>IFERROR(__xludf.DUMMYFUNCTION("""COMPUTED_VALUE"""),293.97)</f>
        <v>293.97</v>
      </c>
      <c r="K1213" s="1">
        <f>IFERROR(__xludf.DUMMYFUNCTION("""COMPUTED_VALUE"""),293.97)</f>
        <v>293.97</v>
      </c>
    </row>
    <row r="1214">
      <c r="A1214" s="1">
        <f>IFERROR(__xludf.DUMMYFUNCTION("""COMPUTED_VALUE"""),1000.0)</f>
        <v>1000</v>
      </c>
      <c r="B1214" s="1">
        <f>IFERROR(__xludf.DUMMYFUNCTION("""COMPUTED_VALUE"""),184342.0)</f>
        <v>184342</v>
      </c>
      <c r="C1214" s="1">
        <f>IFERROR(__xludf.DUMMYFUNCTION("""COMPUTED_VALUE"""),2026.0)</f>
        <v>2026</v>
      </c>
      <c r="D1214" s="1">
        <f>IFERROR(__xludf.DUMMYFUNCTION("""COMPUTED_VALUE"""),46138.0)</f>
        <v>46138</v>
      </c>
      <c r="E1214" s="1" t="str">
        <f>IFERROR(__xludf.DUMMYFUNCTION("""COMPUTED_VALUE"""),"VF")</f>
        <v>VF</v>
      </c>
      <c r="F1214" s="1">
        <f>IFERROR(__xludf.DUMMYFUNCTION("""COMPUTED_VALUE"""),1.0)</f>
        <v>1</v>
      </c>
      <c r="G1214" s="1" t="str">
        <f>IFERROR(__xludf.DUMMYFUNCTION("""COMPUTED_VALUE"""),"PR039")</f>
        <v>PR039</v>
      </c>
      <c r="H1214" s="1" t="str">
        <f>IFERROR(__xludf.DUMMYFUNCTION("""COMPUTED_VALUE"""),"VD025")</f>
        <v>VD025</v>
      </c>
      <c r="I1214" s="1">
        <f>IFERROR(__xludf.DUMMYFUNCTION("""COMPUTED_VALUE"""),18.0)</f>
        <v>18</v>
      </c>
      <c r="J1214" s="1">
        <f>IFERROR(__xludf.DUMMYFUNCTION("""COMPUTED_VALUE"""),2733.12)</f>
        <v>2733.12</v>
      </c>
      <c r="K1214" s="1">
        <f>IFERROR(__xludf.DUMMYFUNCTION("""COMPUTED_VALUE"""),2733.12)</f>
        <v>2733.12</v>
      </c>
    </row>
    <row r="1215">
      <c r="A1215" s="1">
        <f>IFERROR(__xludf.DUMMYFUNCTION("""COMPUTED_VALUE"""),1000.0)</f>
        <v>1000</v>
      </c>
      <c r="B1215" s="1">
        <f>IFERROR(__xludf.DUMMYFUNCTION("""COMPUTED_VALUE"""),184343.0)</f>
        <v>184343</v>
      </c>
      <c r="C1215" s="1">
        <f>IFERROR(__xludf.DUMMYFUNCTION("""COMPUTED_VALUE"""),2026.0)</f>
        <v>2026</v>
      </c>
      <c r="D1215" s="1">
        <f>IFERROR(__xludf.DUMMYFUNCTION("""COMPUTED_VALUE"""),46137.0)</f>
        <v>46137</v>
      </c>
      <c r="E1215" s="1" t="str">
        <f>IFERROR(__xludf.DUMMYFUNCTION("""COMPUTED_VALUE"""),"VF")</f>
        <v>VF</v>
      </c>
      <c r="F1215" s="1">
        <f>IFERROR(__xludf.DUMMYFUNCTION("""COMPUTED_VALUE"""),1.0)</f>
        <v>1</v>
      </c>
      <c r="G1215" s="1" t="str">
        <f>IFERROR(__xludf.DUMMYFUNCTION("""COMPUTED_VALUE"""),"PR001")</f>
        <v>PR001</v>
      </c>
      <c r="H1215" s="1" t="str">
        <f>IFERROR(__xludf.DUMMYFUNCTION("""COMPUTED_VALUE"""),"VD025")</f>
        <v>VD025</v>
      </c>
      <c r="I1215" s="1">
        <f>IFERROR(__xludf.DUMMYFUNCTION("""COMPUTED_VALUE"""),9.0)</f>
        <v>9</v>
      </c>
      <c r="J1215" s="1">
        <f>IFERROR(__xludf.DUMMYFUNCTION("""COMPUTED_VALUE"""),610.89)</f>
        <v>610.89</v>
      </c>
      <c r="K1215" s="1">
        <f>IFERROR(__xludf.DUMMYFUNCTION("""COMPUTED_VALUE"""),610.89)</f>
        <v>610.89</v>
      </c>
    </row>
    <row r="1216">
      <c r="A1216" s="1">
        <f>IFERROR(__xludf.DUMMYFUNCTION("""COMPUTED_VALUE"""),1000.0)</f>
        <v>1000</v>
      </c>
      <c r="B1216" s="1">
        <f>IFERROR(__xludf.DUMMYFUNCTION("""COMPUTED_VALUE"""),184344.0)</f>
        <v>184344</v>
      </c>
      <c r="C1216" s="1">
        <f>IFERROR(__xludf.DUMMYFUNCTION("""COMPUTED_VALUE"""),2026.0)</f>
        <v>2026</v>
      </c>
      <c r="D1216" s="1">
        <f>IFERROR(__xludf.DUMMYFUNCTION("""COMPUTED_VALUE"""),46137.0)</f>
        <v>46137</v>
      </c>
      <c r="E1216" s="1" t="str">
        <f>IFERROR(__xludf.DUMMYFUNCTION("""COMPUTED_VALUE"""),"VF")</f>
        <v>VF</v>
      </c>
      <c r="F1216" s="1">
        <f>IFERROR(__xludf.DUMMYFUNCTION("""COMPUTED_VALUE"""),1.0)</f>
        <v>1</v>
      </c>
      <c r="G1216" s="1" t="str">
        <f>IFERROR(__xludf.DUMMYFUNCTION("""COMPUTED_VALUE"""),"PR004")</f>
        <v>PR004</v>
      </c>
      <c r="H1216" s="1" t="str">
        <f>IFERROR(__xludf.DUMMYFUNCTION("""COMPUTED_VALUE"""),"VD021")</f>
        <v>VD021</v>
      </c>
      <c r="I1216" s="1">
        <f>IFERROR(__xludf.DUMMYFUNCTION("""COMPUTED_VALUE"""),10.0)</f>
        <v>10</v>
      </c>
      <c r="J1216" s="1">
        <f>IFERROR(__xludf.DUMMYFUNCTION("""COMPUTED_VALUE"""),1537.0)</f>
        <v>1537</v>
      </c>
      <c r="K1216" s="1">
        <f>IFERROR(__xludf.DUMMYFUNCTION("""COMPUTED_VALUE"""),1537.0)</f>
        <v>1537</v>
      </c>
    </row>
    <row r="1217">
      <c r="A1217" s="1">
        <f>IFERROR(__xludf.DUMMYFUNCTION("""COMPUTED_VALUE"""),1000.0)</f>
        <v>1000</v>
      </c>
      <c r="B1217" s="1">
        <f>IFERROR(__xludf.DUMMYFUNCTION("""COMPUTED_VALUE"""),184344.0)</f>
        <v>184344</v>
      </c>
      <c r="C1217" s="1">
        <f>IFERROR(__xludf.DUMMYFUNCTION("""COMPUTED_VALUE"""),2026.0)</f>
        <v>2026</v>
      </c>
      <c r="D1217" s="1">
        <f>IFERROR(__xludf.DUMMYFUNCTION("""COMPUTED_VALUE"""),46137.0)</f>
        <v>46137</v>
      </c>
      <c r="E1217" s="1" t="str">
        <f>IFERROR(__xludf.DUMMYFUNCTION("""COMPUTED_VALUE"""),"VF")</f>
        <v>VF</v>
      </c>
      <c r="F1217" s="1">
        <f>IFERROR(__xludf.DUMMYFUNCTION("""COMPUTED_VALUE"""),2.0)</f>
        <v>2</v>
      </c>
      <c r="G1217" s="1" t="str">
        <f>IFERROR(__xludf.DUMMYFUNCTION("""COMPUTED_VALUE"""),"PR026")</f>
        <v>PR026</v>
      </c>
      <c r="H1217" s="1" t="str">
        <f>IFERROR(__xludf.DUMMYFUNCTION("""COMPUTED_VALUE"""),"VD011")</f>
        <v>VD011</v>
      </c>
      <c r="I1217" s="1">
        <f>IFERROR(__xludf.DUMMYFUNCTION("""COMPUTED_VALUE"""),3.0)</f>
        <v>3</v>
      </c>
      <c r="J1217" s="1">
        <f>IFERROR(__xludf.DUMMYFUNCTION("""COMPUTED_VALUE"""),1060.2)</f>
        <v>1060.2</v>
      </c>
      <c r="K1217" s="1">
        <f>IFERROR(__xludf.DUMMYFUNCTION("""COMPUTED_VALUE"""),1060.2)</f>
        <v>1060.2</v>
      </c>
    </row>
    <row r="1218">
      <c r="A1218" s="1">
        <f>IFERROR(__xludf.DUMMYFUNCTION("""COMPUTED_VALUE"""),1000.0)</f>
        <v>1000</v>
      </c>
      <c r="B1218" s="1">
        <f>IFERROR(__xludf.DUMMYFUNCTION("""COMPUTED_VALUE"""),184345.0)</f>
        <v>184345</v>
      </c>
      <c r="C1218" s="1">
        <f>IFERROR(__xludf.DUMMYFUNCTION("""COMPUTED_VALUE"""),2026.0)</f>
        <v>2026</v>
      </c>
      <c r="D1218" s="1">
        <f>IFERROR(__xludf.DUMMYFUNCTION("""COMPUTED_VALUE"""),46137.0)</f>
        <v>46137</v>
      </c>
      <c r="E1218" s="1" t="str">
        <f>IFERROR(__xludf.DUMMYFUNCTION("""COMPUTED_VALUE"""),"VF")</f>
        <v>VF</v>
      </c>
      <c r="F1218" s="1">
        <f>IFERROR(__xludf.DUMMYFUNCTION("""COMPUTED_VALUE"""),1.0)</f>
        <v>1</v>
      </c>
      <c r="G1218" s="1" t="str">
        <f>IFERROR(__xludf.DUMMYFUNCTION("""COMPUTED_VALUE"""),"PR013")</f>
        <v>PR013</v>
      </c>
      <c r="H1218" s="1" t="str">
        <f>IFERROR(__xludf.DUMMYFUNCTION("""COMPUTED_VALUE"""),"VD025")</f>
        <v>VD025</v>
      </c>
      <c r="I1218" s="1">
        <f>IFERROR(__xludf.DUMMYFUNCTION("""COMPUTED_VALUE"""),18.0)</f>
        <v>18</v>
      </c>
      <c r="J1218" s="1">
        <f>IFERROR(__xludf.DUMMYFUNCTION("""COMPUTED_VALUE"""),732.56)</f>
        <v>732.56</v>
      </c>
      <c r="K1218" s="1">
        <f>IFERROR(__xludf.DUMMYFUNCTION("""COMPUTED_VALUE"""),732.56)</f>
        <v>732.56</v>
      </c>
    </row>
    <row r="1219">
      <c r="A1219" s="1">
        <f>IFERROR(__xludf.DUMMYFUNCTION("""COMPUTED_VALUE"""),1000.0)</f>
        <v>1000</v>
      </c>
      <c r="B1219" s="1">
        <f>IFERROR(__xludf.DUMMYFUNCTION("""COMPUTED_VALUE"""),184346.0)</f>
        <v>184346</v>
      </c>
      <c r="C1219" s="1">
        <f>IFERROR(__xludf.DUMMYFUNCTION("""COMPUTED_VALUE"""),2026.0)</f>
        <v>2026</v>
      </c>
      <c r="D1219" s="1">
        <f>IFERROR(__xludf.DUMMYFUNCTION("""COMPUTED_VALUE"""),46137.0)</f>
        <v>46137</v>
      </c>
      <c r="E1219" s="1" t="str">
        <f>IFERROR(__xludf.DUMMYFUNCTION("""COMPUTED_VALUE"""),"VF")</f>
        <v>VF</v>
      </c>
      <c r="F1219" s="1">
        <f>IFERROR(__xludf.DUMMYFUNCTION("""COMPUTED_VALUE"""),1.0)</f>
        <v>1</v>
      </c>
      <c r="G1219" s="1" t="str">
        <f>IFERROR(__xludf.DUMMYFUNCTION("""COMPUTED_VALUE"""),"PR033")</f>
        <v>PR033</v>
      </c>
      <c r="H1219" s="1" t="str">
        <f>IFERROR(__xludf.DUMMYFUNCTION("""COMPUTED_VALUE"""),"VD023")</f>
        <v>VD023</v>
      </c>
      <c r="I1219" s="1">
        <f>IFERROR(__xludf.DUMMYFUNCTION("""COMPUTED_VALUE"""),7.0)</f>
        <v>7</v>
      </c>
      <c r="J1219" s="1">
        <f>IFERROR(__xludf.DUMMYFUNCTION("""COMPUTED_VALUE"""),2001.23)</f>
        <v>2001.23</v>
      </c>
      <c r="K1219" s="1">
        <f>IFERROR(__xludf.DUMMYFUNCTION("""COMPUTED_VALUE"""),2001.23)</f>
        <v>2001.23</v>
      </c>
    </row>
    <row r="1220">
      <c r="A1220" s="1">
        <f>IFERROR(__xludf.DUMMYFUNCTION("""COMPUTED_VALUE"""),1000.0)</f>
        <v>1000</v>
      </c>
      <c r="B1220" s="1">
        <f>IFERROR(__xludf.DUMMYFUNCTION("""COMPUTED_VALUE"""),184347.0)</f>
        <v>184347</v>
      </c>
      <c r="C1220" s="1">
        <f>IFERROR(__xludf.DUMMYFUNCTION("""COMPUTED_VALUE"""),2026.0)</f>
        <v>2026</v>
      </c>
      <c r="D1220" s="1">
        <f>IFERROR(__xludf.DUMMYFUNCTION("""COMPUTED_VALUE"""),46136.0)</f>
        <v>46136</v>
      </c>
      <c r="E1220" s="1" t="str">
        <f>IFERROR(__xludf.DUMMYFUNCTION("""COMPUTED_VALUE"""),"VF")</f>
        <v>VF</v>
      </c>
      <c r="F1220" s="1">
        <f>IFERROR(__xludf.DUMMYFUNCTION("""COMPUTED_VALUE"""),1.0)</f>
        <v>1</v>
      </c>
      <c r="G1220" s="1" t="str">
        <f>IFERROR(__xludf.DUMMYFUNCTION("""COMPUTED_VALUE"""),"PR052")</f>
        <v>PR052</v>
      </c>
      <c r="H1220" s="1" t="str">
        <f>IFERROR(__xludf.DUMMYFUNCTION("""COMPUTED_VALUE"""),"VD022")</f>
        <v>VD022</v>
      </c>
      <c r="I1220" s="1">
        <f>IFERROR(__xludf.DUMMYFUNCTION("""COMPUTED_VALUE"""),5.0)</f>
        <v>5</v>
      </c>
      <c r="J1220" s="1">
        <f>IFERROR(__xludf.DUMMYFUNCTION("""COMPUTED_VALUE"""),254.49)</f>
        <v>254.49</v>
      </c>
      <c r="K1220" s="1">
        <f>IFERROR(__xludf.DUMMYFUNCTION("""COMPUTED_VALUE"""),254.49)</f>
        <v>254.49</v>
      </c>
    </row>
    <row r="1221">
      <c r="A1221" s="1">
        <f>IFERROR(__xludf.DUMMYFUNCTION("""COMPUTED_VALUE"""),2000.0)</f>
        <v>2000</v>
      </c>
      <c r="B1221" s="1">
        <f>IFERROR(__xludf.DUMMYFUNCTION("""COMPUTED_VALUE"""),184348.0)</f>
        <v>184348</v>
      </c>
      <c r="C1221" s="1">
        <f>IFERROR(__xludf.DUMMYFUNCTION("""COMPUTED_VALUE"""),2026.0)</f>
        <v>2026</v>
      </c>
      <c r="D1221" s="1">
        <f>IFERROR(__xludf.DUMMYFUNCTION("""COMPUTED_VALUE"""),46136.0)</f>
        <v>46136</v>
      </c>
      <c r="E1221" s="1" t="str">
        <f>IFERROR(__xludf.DUMMYFUNCTION("""COMPUTED_VALUE"""),"VF")</f>
        <v>VF</v>
      </c>
      <c r="F1221" s="1">
        <f>IFERROR(__xludf.DUMMYFUNCTION("""COMPUTED_VALUE"""),1.0)</f>
        <v>1</v>
      </c>
      <c r="G1221" s="1" t="str">
        <f>IFERROR(__xludf.DUMMYFUNCTION("""COMPUTED_VALUE"""),"PR028")</f>
        <v>PR028</v>
      </c>
      <c r="H1221" s="1" t="str">
        <f>IFERROR(__xludf.DUMMYFUNCTION("""COMPUTED_VALUE"""),"VD024")</f>
        <v>VD024</v>
      </c>
      <c r="I1221" s="1">
        <f>IFERROR(__xludf.DUMMYFUNCTION("""COMPUTED_VALUE"""),18.0)</f>
        <v>18</v>
      </c>
      <c r="J1221" s="1">
        <f>IFERROR(__xludf.DUMMYFUNCTION("""COMPUTED_VALUE"""),4498.2)</f>
        <v>4498.2</v>
      </c>
      <c r="K1221" s="1">
        <f>IFERROR(__xludf.DUMMYFUNCTION("""COMPUTED_VALUE"""),4498.2)</f>
        <v>4498.2</v>
      </c>
    </row>
    <row r="1222">
      <c r="A1222" s="1">
        <f>IFERROR(__xludf.DUMMYFUNCTION("""COMPUTED_VALUE"""),1000.0)</f>
        <v>1000</v>
      </c>
      <c r="B1222" s="1">
        <f>IFERROR(__xludf.DUMMYFUNCTION("""COMPUTED_VALUE"""),184349.0)</f>
        <v>184349</v>
      </c>
      <c r="C1222" s="1">
        <f>IFERROR(__xludf.DUMMYFUNCTION("""COMPUTED_VALUE"""),2026.0)</f>
        <v>2026</v>
      </c>
      <c r="D1222" s="1">
        <f>IFERROR(__xludf.DUMMYFUNCTION("""COMPUTED_VALUE"""),46136.0)</f>
        <v>46136</v>
      </c>
      <c r="E1222" s="1" t="str">
        <f>IFERROR(__xludf.DUMMYFUNCTION("""COMPUTED_VALUE"""),"VF")</f>
        <v>VF</v>
      </c>
      <c r="F1222" s="1">
        <f>IFERROR(__xludf.DUMMYFUNCTION("""COMPUTED_VALUE"""),1.0)</f>
        <v>1</v>
      </c>
      <c r="G1222" s="1" t="str">
        <f>IFERROR(__xludf.DUMMYFUNCTION("""COMPUTED_VALUE"""),"PR032")</f>
        <v>PR032</v>
      </c>
      <c r="H1222" s="1" t="str">
        <f>IFERROR(__xludf.DUMMYFUNCTION("""COMPUTED_VALUE"""),"VD026")</f>
        <v>VD026</v>
      </c>
      <c r="I1222" s="1">
        <f>IFERROR(__xludf.DUMMYFUNCTION("""COMPUTED_VALUE"""),7.0)</f>
        <v>7</v>
      </c>
      <c r="J1222" s="1">
        <f>IFERROR(__xludf.DUMMYFUNCTION("""COMPUTED_VALUE"""),1785.0)</f>
        <v>1785</v>
      </c>
      <c r="K1222" s="1">
        <f>IFERROR(__xludf.DUMMYFUNCTION("""COMPUTED_VALUE"""),1785.0)</f>
        <v>1785</v>
      </c>
    </row>
    <row r="1223">
      <c r="A1223" s="1">
        <f>IFERROR(__xludf.DUMMYFUNCTION("""COMPUTED_VALUE"""),1000.0)</f>
        <v>1000</v>
      </c>
      <c r="B1223" s="1">
        <f>IFERROR(__xludf.DUMMYFUNCTION("""COMPUTED_VALUE"""),184349.0)</f>
        <v>184349</v>
      </c>
      <c r="C1223" s="1">
        <f>IFERROR(__xludf.DUMMYFUNCTION("""COMPUTED_VALUE"""),2026.0)</f>
        <v>2026</v>
      </c>
      <c r="D1223" s="1">
        <f>IFERROR(__xludf.DUMMYFUNCTION("""COMPUTED_VALUE"""),46136.0)</f>
        <v>46136</v>
      </c>
      <c r="E1223" s="1" t="str">
        <f>IFERROR(__xludf.DUMMYFUNCTION("""COMPUTED_VALUE"""),"VF")</f>
        <v>VF</v>
      </c>
      <c r="F1223" s="1">
        <f>IFERROR(__xludf.DUMMYFUNCTION("""COMPUTED_VALUE"""),2.0)</f>
        <v>2</v>
      </c>
      <c r="G1223" s="1" t="str">
        <f>IFERROR(__xludf.DUMMYFUNCTION("""COMPUTED_VALUE"""),"PR014")</f>
        <v>PR014</v>
      </c>
      <c r="H1223" s="1" t="str">
        <f>IFERROR(__xludf.DUMMYFUNCTION("""COMPUTED_VALUE"""),"VD019")</f>
        <v>VD019</v>
      </c>
      <c r="I1223" s="1">
        <f>IFERROR(__xludf.DUMMYFUNCTION("""COMPUTED_VALUE"""),2.0)</f>
        <v>2</v>
      </c>
      <c r="J1223" s="1">
        <f>IFERROR(__xludf.DUMMYFUNCTION("""COMPUTED_VALUE"""),85.39)</f>
        <v>85.39</v>
      </c>
      <c r="K1223" s="1">
        <f>IFERROR(__xludf.DUMMYFUNCTION("""COMPUTED_VALUE"""),85.39)</f>
        <v>85.39</v>
      </c>
    </row>
    <row r="1224">
      <c r="A1224" s="1">
        <f>IFERROR(__xludf.DUMMYFUNCTION("""COMPUTED_VALUE"""),1000.0)</f>
        <v>1000</v>
      </c>
      <c r="B1224" s="1">
        <f>IFERROR(__xludf.DUMMYFUNCTION("""COMPUTED_VALUE"""),184350.0)</f>
        <v>184350</v>
      </c>
      <c r="C1224" s="1">
        <f>IFERROR(__xludf.DUMMYFUNCTION("""COMPUTED_VALUE"""),2026.0)</f>
        <v>2026</v>
      </c>
      <c r="D1224" s="1">
        <f>IFERROR(__xludf.DUMMYFUNCTION("""COMPUTED_VALUE"""),46135.0)</f>
        <v>46135</v>
      </c>
      <c r="E1224" s="1" t="str">
        <f>IFERROR(__xludf.DUMMYFUNCTION("""COMPUTED_VALUE"""),"VF")</f>
        <v>VF</v>
      </c>
      <c r="F1224" s="1">
        <f>IFERROR(__xludf.DUMMYFUNCTION("""COMPUTED_VALUE"""),1.0)</f>
        <v>1</v>
      </c>
      <c r="G1224" s="1" t="str">
        <f>IFERROR(__xludf.DUMMYFUNCTION("""COMPUTED_VALUE"""),"PR027")</f>
        <v>PR027</v>
      </c>
      <c r="H1224" s="1" t="str">
        <f>IFERROR(__xludf.DUMMYFUNCTION("""COMPUTED_VALUE"""),"VD011")</f>
        <v>VD011</v>
      </c>
      <c r="I1224" s="1">
        <f>IFERROR(__xludf.DUMMYFUNCTION("""COMPUTED_VALUE"""),4.0)</f>
        <v>4</v>
      </c>
      <c r="J1224" s="1">
        <f>IFERROR(__xludf.DUMMYFUNCTION("""COMPUTED_VALUE"""),513.6)</f>
        <v>513.6</v>
      </c>
      <c r="K1224" s="1">
        <f>IFERROR(__xludf.DUMMYFUNCTION("""COMPUTED_VALUE"""),513.6)</f>
        <v>513.6</v>
      </c>
    </row>
    <row r="1225">
      <c r="A1225" s="1">
        <f>IFERROR(__xludf.DUMMYFUNCTION("""COMPUTED_VALUE"""),1000.0)</f>
        <v>1000</v>
      </c>
      <c r="B1225" s="1">
        <f>IFERROR(__xludf.DUMMYFUNCTION("""COMPUTED_VALUE"""),184351.0)</f>
        <v>184351</v>
      </c>
      <c r="C1225" s="1">
        <f>IFERROR(__xludf.DUMMYFUNCTION("""COMPUTED_VALUE"""),2026.0)</f>
        <v>2026</v>
      </c>
      <c r="D1225" s="1">
        <f>IFERROR(__xludf.DUMMYFUNCTION("""COMPUTED_VALUE"""),46135.0)</f>
        <v>46135</v>
      </c>
      <c r="E1225" s="1" t="str">
        <f>IFERROR(__xludf.DUMMYFUNCTION("""COMPUTED_VALUE"""),"VF")</f>
        <v>VF</v>
      </c>
      <c r="F1225" s="1">
        <f>IFERROR(__xludf.DUMMYFUNCTION("""COMPUTED_VALUE"""),1.0)</f>
        <v>1</v>
      </c>
      <c r="G1225" s="1" t="str">
        <f>IFERROR(__xludf.DUMMYFUNCTION("""COMPUTED_VALUE"""),"PR054")</f>
        <v>PR054</v>
      </c>
      <c r="H1225" s="1" t="str">
        <f>IFERROR(__xludf.DUMMYFUNCTION("""COMPUTED_VALUE"""),"VD039")</f>
        <v>VD039</v>
      </c>
      <c r="I1225" s="1">
        <f>IFERROR(__xludf.DUMMYFUNCTION("""COMPUTED_VALUE"""),10.0)</f>
        <v>10</v>
      </c>
      <c r="J1225" s="1">
        <f>IFERROR(__xludf.DUMMYFUNCTION("""COMPUTED_VALUE"""),528.94)</f>
        <v>528.94</v>
      </c>
      <c r="K1225" s="1">
        <f>IFERROR(__xludf.DUMMYFUNCTION("""COMPUTED_VALUE"""),528.94)</f>
        <v>528.94</v>
      </c>
    </row>
    <row r="1226">
      <c r="A1226" s="1">
        <f>IFERROR(__xludf.DUMMYFUNCTION("""COMPUTED_VALUE"""),1000.0)</f>
        <v>1000</v>
      </c>
      <c r="B1226" s="1">
        <f>IFERROR(__xludf.DUMMYFUNCTION("""COMPUTED_VALUE"""),184352.0)</f>
        <v>184352</v>
      </c>
      <c r="C1226" s="1">
        <f>IFERROR(__xludf.DUMMYFUNCTION("""COMPUTED_VALUE"""),2026.0)</f>
        <v>2026</v>
      </c>
      <c r="D1226" s="1">
        <f>IFERROR(__xludf.DUMMYFUNCTION("""COMPUTED_VALUE"""),46134.0)</f>
        <v>46134</v>
      </c>
      <c r="E1226" s="1" t="str">
        <f>IFERROR(__xludf.DUMMYFUNCTION("""COMPUTED_VALUE"""),"VF")</f>
        <v>VF</v>
      </c>
      <c r="F1226" s="1">
        <f>IFERROR(__xludf.DUMMYFUNCTION("""COMPUTED_VALUE"""),1.0)</f>
        <v>1</v>
      </c>
      <c r="G1226" s="1" t="str">
        <f>IFERROR(__xludf.DUMMYFUNCTION("""COMPUTED_VALUE"""),"PR050")</f>
        <v>PR050</v>
      </c>
      <c r="H1226" s="1" t="str">
        <f>IFERROR(__xludf.DUMMYFUNCTION("""COMPUTED_VALUE"""),"VD016")</f>
        <v>VD016</v>
      </c>
      <c r="I1226" s="1">
        <f>IFERROR(__xludf.DUMMYFUNCTION("""COMPUTED_VALUE"""),4.0)</f>
        <v>4</v>
      </c>
      <c r="J1226" s="1">
        <f>IFERROR(__xludf.DUMMYFUNCTION("""COMPUTED_VALUE"""),139.5)</f>
        <v>139.5</v>
      </c>
      <c r="K1226" s="1">
        <f>IFERROR(__xludf.DUMMYFUNCTION("""COMPUTED_VALUE"""),139.5)</f>
        <v>139.5</v>
      </c>
    </row>
    <row r="1227">
      <c r="A1227" s="1">
        <f>IFERROR(__xludf.DUMMYFUNCTION("""COMPUTED_VALUE"""),1000.0)</f>
        <v>1000</v>
      </c>
      <c r="B1227" s="1">
        <f>IFERROR(__xludf.DUMMYFUNCTION("""COMPUTED_VALUE"""),184353.0)</f>
        <v>184353</v>
      </c>
      <c r="C1227" s="1">
        <f>IFERROR(__xludf.DUMMYFUNCTION("""COMPUTED_VALUE"""),2026.0)</f>
        <v>2026</v>
      </c>
      <c r="D1227" s="1">
        <f>IFERROR(__xludf.DUMMYFUNCTION("""COMPUTED_VALUE"""),46134.0)</f>
        <v>46134</v>
      </c>
      <c r="E1227" s="1" t="str">
        <f>IFERROR(__xludf.DUMMYFUNCTION("""COMPUTED_VALUE"""),"VF")</f>
        <v>VF</v>
      </c>
      <c r="F1227" s="1">
        <f>IFERROR(__xludf.DUMMYFUNCTION("""COMPUTED_VALUE"""),1.0)</f>
        <v>1</v>
      </c>
      <c r="G1227" s="1" t="str">
        <f>IFERROR(__xludf.DUMMYFUNCTION("""COMPUTED_VALUE"""),"PR041")</f>
        <v>PR041</v>
      </c>
      <c r="H1227" s="1" t="str">
        <f>IFERROR(__xludf.DUMMYFUNCTION("""COMPUTED_VALUE"""),"VD027")</f>
        <v>VD027</v>
      </c>
      <c r="I1227" s="1">
        <f>IFERROR(__xludf.DUMMYFUNCTION("""COMPUTED_VALUE"""),10.0)</f>
        <v>10</v>
      </c>
      <c r="J1227" s="1">
        <f>IFERROR(__xludf.DUMMYFUNCTION("""COMPUTED_VALUE"""),592.92)</f>
        <v>592.92</v>
      </c>
      <c r="K1227" s="1">
        <f>IFERROR(__xludf.DUMMYFUNCTION("""COMPUTED_VALUE"""),592.92)</f>
        <v>592.92</v>
      </c>
    </row>
    <row r="1228">
      <c r="A1228" s="1">
        <f>IFERROR(__xludf.DUMMYFUNCTION("""COMPUTED_VALUE"""),1000.0)</f>
        <v>1000</v>
      </c>
      <c r="B1228" s="1">
        <f>IFERROR(__xludf.DUMMYFUNCTION("""COMPUTED_VALUE"""),184354.0)</f>
        <v>184354</v>
      </c>
      <c r="C1228" s="1">
        <f>IFERROR(__xludf.DUMMYFUNCTION("""COMPUTED_VALUE"""),2026.0)</f>
        <v>2026</v>
      </c>
      <c r="D1228" s="1">
        <f>IFERROR(__xludf.DUMMYFUNCTION("""COMPUTED_VALUE"""),46134.0)</f>
        <v>46134</v>
      </c>
      <c r="E1228" s="1" t="str">
        <f>IFERROR(__xludf.DUMMYFUNCTION("""COMPUTED_VALUE"""),"VF")</f>
        <v>VF</v>
      </c>
      <c r="F1228" s="1">
        <f>IFERROR(__xludf.DUMMYFUNCTION("""COMPUTED_VALUE"""),1.0)</f>
        <v>1</v>
      </c>
      <c r="G1228" s="1" t="str">
        <f>IFERROR(__xludf.DUMMYFUNCTION("""COMPUTED_VALUE"""),"PR046")</f>
        <v>PR046</v>
      </c>
      <c r="H1228" s="1" t="str">
        <f>IFERROR(__xludf.DUMMYFUNCTION("""COMPUTED_VALUE"""),"VD020")</f>
        <v>VD020</v>
      </c>
      <c r="I1228" s="1">
        <f>IFERROR(__xludf.DUMMYFUNCTION("""COMPUTED_VALUE"""),12.0)</f>
        <v>12</v>
      </c>
      <c r="J1228" s="1">
        <f>IFERROR(__xludf.DUMMYFUNCTION("""COMPUTED_VALUE"""),3513.59)</f>
        <v>3513.59</v>
      </c>
      <c r="K1228" s="1">
        <f>IFERROR(__xludf.DUMMYFUNCTION("""COMPUTED_VALUE"""),3513.59)</f>
        <v>3513.59</v>
      </c>
    </row>
    <row r="1229">
      <c r="A1229" s="1">
        <f>IFERROR(__xludf.DUMMYFUNCTION("""COMPUTED_VALUE"""),1000.0)</f>
        <v>1000</v>
      </c>
      <c r="B1229" s="1">
        <f>IFERROR(__xludf.DUMMYFUNCTION("""COMPUTED_VALUE"""),184355.0)</f>
        <v>184355</v>
      </c>
      <c r="C1229" s="1">
        <f>IFERROR(__xludf.DUMMYFUNCTION("""COMPUTED_VALUE"""),2026.0)</f>
        <v>2026</v>
      </c>
      <c r="D1229" s="1">
        <f>IFERROR(__xludf.DUMMYFUNCTION("""COMPUTED_VALUE"""),46134.0)</f>
        <v>46134</v>
      </c>
      <c r="E1229" s="1" t="str">
        <f>IFERROR(__xludf.DUMMYFUNCTION("""COMPUTED_VALUE"""),"VF")</f>
        <v>VF</v>
      </c>
      <c r="F1229" s="1">
        <f>IFERROR(__xludf.DUMMYFUNCTION("""COMPUTED_VALUE"""),1.0)</f>
        <v>1</v>
      </c>
      <c r="G1229" s="1" t="str">
        <f>IFERROR(__xludf.DUMMYFUNCTION("""COMPUTED_VALUE"""),"PR039")</f>
        <v>PR039</v>
      </c>
      <c r="H1229" s="1" t="str">
        <f>IFERROR(__xludf.DUMMYFUNCTION("""COMPUTED_VALUE"""),"VD048")</f>
        <v>VD048</v>
      </c>
      <c r="I1229" s="1">
        <f>IFERROR(__xludf.DUMMYFUNCTION("""COMPUTED_VALUE"""),12.0)</f>
        <v>12</v>
      </c>
      <c r="J1229" s="1">
        <f>IFERROR(__xludf.DUMMYFUNCTION("""COMPUTED_VALUE"""),1752.0)</f>
        <v>1752</v>
      </c>
      <c r="K1229" s="1">
        <f>IFERROR(__xludf.DUMMYFUNCTION("""COMPUTED_VALUE"""),1752.0)</f>
        <v>1752</v>
      </c>
    </row>
    <row r="1230">
      <c r="A1230" s="1">
        <f>IFERROR(__xludf.DUMMYFUNCTION("""COMPUTED_VALUE"""),2000.0)</f>
        <v>2000</v>
      </c>
      <c r="B1230" s="1">
        <f>IFERROR(__xludf.DUMMYFUNCTION("""COMPUTED_VALUE"""),184356.0)</f>
        <v>184356</v>
      </c>
      <c r="C1230" s="1">
        <f>IFERROR(__xludf.DUMMYFUNCTION("""COMPUTED_VALUE"""),2026.0)</f>
        <v>2026</v>
      </c>
      <c r="D1230" s="1">
        <f>IFERROR(__xludf.DUMMYFUNCTION("""COMPUTED_VALUE"""),46134.0)</f>
        <v>46134</v>
      </c>
      <c r="E1230" s="1" t="str">
        <f>IFERROR(__xludf.DUMMYFUNCTION("""COMPUTED_VALUE"""),"VF")</f>
        <v>VF</v>
      </c>
      <c r="F1230" s="1">
        <f>IFERROR(__xludf.DUMMYFUNCTION("""COMPUTED_VALUE"""),1.0)</f>
        <v>1</v>
      </c>
      <c r="G1230" s="1" t="str">
        <f>IFERROR(__xludf.DUMMYFUNCTION("""COMPUTED_VALUE"""),"PR008")</f>
        <v>PR008</v>
      </c>
      <c r="H1230" s="1" t="str">
        <f>IFERROR(__xludf.DUMMYFUNCTION("""COMPUTED_VALUE"""),"VD033")</f>
        <v>VD033</v>
      </c>
      <c r="I1230" s="1">
        <f>IFERROR(__xludf.DUMMYFUNCTION("""COMPUTED_VALUE"""),8.0)</f>
        <v>8</v>
      </c>
      <c r="J1230" s="1">
        <f>IFERROR(__xludf.DUMMYFUNCTION("""COMPUTED_VALUE"""),776.74)</f>
        <v>776.74</v>
      </c>
      <c r="K1230" s="1">
        <f>IFERROR(__xludf.DUMMYFUNCTION("""COMPUTED_VALUE"""),776.74)</f>
        <v>776.74</v>
      </c>
    </row>
    <row r="1231">
      <c r="A1231" s="1">
        <f>IFERROR(__xludf.DUMMYFUNCTION("""COMPUTED_VALUE"""),1000.0)</f>
        <v>1000</v>
      </c>
      <c r="B1231" s="1">
        <f>IFERROR(__xludf.DUMMYFUNCTION("""COMPUTED_VALUE"""),184356.0)</f>
        <v>184356</v>
      </c>
      <c r="C1231" s="1">
        <f>IFERROR(__xludf.DUMMYFUNCTION("""COMPUTED_VALUE"""),2026.0)</f>
        <v>2026</v>
      </c>
      <c r="D1231" s="1">
        <f>IFERROR(__xludf.DUMMYFUNCTION("""COMPUTED_VALUE"""),46133.0)</f>
        <v>46133</v>
      </c>
      <c r="E1231" s="1" t="str">
        <f>IFERROR(__xludf.DUMMYFUNCTION("""COMPUTED_VALUE"""),"VF")</f>
        <v>VF</v>
      </c>
      <c r="F1231" s="1">
        <f>IFERROR(__xludf.DUMMYFUNCTION("""COMPUTED_VALUE"""),2.0)</f>
        <v>2</v>
      </c>
      <c r="G1231" s="1" t="str">
        <f>IFERROR(__xludf.DUMMYFUNCTION("""COMPUTED_VALUE"""),"PR035")</f>
        <v>PR035</v>
      </c>
      <c r="H1231" s="1" t="str">
        <f>IFERROR(__xludf.DUMMYFUNCTION("""COMPUTED_VALUE"""),"VD011")</f>
        <v>VD011</v>
      </c>
      <c r="I1231" s="1">
        <f>IFERROR(__xludf.DUMMYFUNCTION("""COMPUTED_VALUE"""),2.0)</f>
        <v>2</v>
      </c>
      <c r="J1231" s="1">
        <f>IFERROR(__xludf.DUMMYFUNCTION("""COMPUTED_VALUE"""),186.46)</f>
        <v>186.46</v>
      </c>
      <c r="K1231" s="1">
        <f>IFERROR(__xludf.DUMMYFUNCTION("""COMPUTED_VALUE"""),186.46)</f>
        <v>186.46</v>
      </c>
    </row>
    <row r="1232">
      <c r="A1232" s="1">
        <f>IFERROR(__xludf.DUMMYFUNCTION("""COMPUTED_VALUE"""),2000.0)</f>
        <v>2000</v>
      </c>
      <c r="B1232" s="1">
        <f>IFERROR(__xludf.DUMMYFUNCTION("""COMPUTED_VALUE"""),184356.0)</f>
        <v>184356</v>
      </c>
      <c r="C1232" s="1">
        <f>IFERROR(__xludf.DUMMYFUNCTION("""COMPUTED_VALUE"""),2026.0)</f>
        <v>2026</v>
      </c>
      <c r="D1232" s="1">
        <f>IFERROR(__xludf.DUMMYFUNCTION("""COMPUTED_VALUE"""),46133.0)</f>
        <v>46133</v>
      </c>
      <c r="E1232" s="1" t="str">
        <f>IFERROR(__xludf.DUMMYFUNCTION("""COMPUTED_VALUE"""),"VF")</f>
        <v>VF</v>
      </c>
      <c r="F1232" s="1">
        <f>IFERROR(__xludf.DUMMYFUNCTION("""COMPUTED_VALUE"""),3.0)</f>
        <v>3</v>
      </c>
      <c r="G1232" s="1" t="str">
        <f>IFERROR(__xludf.DUMMYFUNCTION("""COMPUTED_VALUE"""),"PR026")</f>
        <v>PR026</v>
      </c>
      <c r="H1232" s="1" t="str">
        <f>IFERROR(__xludf.DUMMYFUNCTION("""COMPUTED_VALUE"""),"VD025")</f>
        <v>VD025</v>
      </c>
      <c r="I1232" s="1">
        <f>IFERROR(__xludf.DUMMYFUNCTION("""COMPUTED_VALUE"""),16.0)</f>
        <v>16</v>
      </c>
      <c r="J1232" s="1">
        <f>IFERROR(__xludf.DUMMYFUNCTION("""COMPUTED_VALUE"""),5710.37)</f>
        <v>5710.37</v>
      </c>
      <c r="K1232" s="1">
        <f>IFERROR(__xludf.DUMMYFUNCTION("""COMPUTED_VALUE"""),5710.37)</f>
        <v>5710.37</v>
      </c>
    </row>
    <row r="1233">
      <c r="A1233" s="1">
        <f>IFERROR(__xludf.DUMMYFUNCTION("""COMPUTED_VALUE"""),2000.0)</f>
        <v>2000</v>
      </c>
      <c r="B1233" s="1">
        <f>IFERROR(__xludf.DUMMYFUNCTION("""COMPUTED_VALUE"""),184357.0)</f>
        <v>184357</v>
      </c>
      <c r="C1233" s="1">
        <f>IFERROR(__xludf.DUMMYFUNCTION("""COMPUTED_VALUE"""),2026.0)</f>
        <v>2026</v>
      </c>
      <c r="D1233" s="1">
        <f>IFERROR(__xludf.DUMMYFUNCTION("""COMPUTED_VALUE"""),46132.0)</f>
        <v>46132</v>
      </c>
      <c r="E1233" s="1" t="str">
        <f>IFERROR(__xludf.DUMMYFUNCTION("""COMPUTED_VALUE"""),"VF")</f>
        <v>VF</v>
      </c>
      <c r="F1233" s="1">
        <f>IFERROR(__xludf.DUMMYFUNCTION("""COMPUTED_VALUE"""),1.0)</f>
        <v>1</v>
      </c>
      <c r="G1233" s="1" t="str">
        <f>IFERROR(__xludf.DUMMYFUNCTION("""COMPUTED_VALUE"""),"PR059")</f>
        <v>PR059</v>
      </c>
      <c r="H1233" s="1" t="str">
        <f>IFERROR(__xludf.DUMMYFUNCTION("""COMPUTED_VALUE"""),"VD033")</f>
        <v>VD033</v>
      </c>
      <c r="I1233" s="1">
        <f>IFERROR(__xludf.DUMMYFUNCTION("""COMPUTED_VALUE"""),20.0)</f>
        <v>20</v>
      </c>
      <c r="J1233" s="1">
        <f>IFERROR(__xludf.DUMMYFUNCTION("""COMPUTED_VALUE"""),3924.0)</f>
        <v>3924</v>
      </c>
      <c r="K1233" s="1">
        <f>IFERROR(__xludf.DUMMYFUNCTION("""COMPUTED_VALUE"""),3924.0)</f>
        <v>3924</v>
      </c>
    </row>
    <row r="1234">
      <c r="A1234" s="1">
        <f>IFERROR(__xludf.DUMMYFUNCTION("""COMPUTED_VALUE"""),1000.0)</f>
        <v>1000</v>
      </c>
      <c r="B1234" s="1">
        <f>IFERROR(__xludf.DUMMYFUNCTION("""COMPUTED_VALUE"""),184358.0)</f>
        <v>184358</v>
      </c>
      <c r="C1234" s="1">
        <f>IFERROR(__xludf.DUMMYFUNCTION("""COMPUTED_VALUE"""),2026.0)</f>
        <v>2026</v>
      </c>
      <c r="D1234" s="1">
        <f>IFERROR(__xludf.DUMMYFUNCTION("""COMPUTED_VALUE"""),46132.0)</f>
        <v>46132</v>
      </c>
      <c r="E1234" s="1" t="str">
        <f>IFERROR(__xludf.DUMMYFUNCTION("""COMPUTED_VALUE"""),"VF")</f>
        <v>VF</v>
      </c>
      <c r="F1234" s="1">
        <f>IFERROR(__xludf.DUMMYFUNCTION("""COMPUTED_VALUE"""),1.0)</f>
        <v>1</v>
      </c>
      <c r="G1234" s="1" t="str">
        <f>IFERROR(__xludf.DUMMYFUNCTION("""COMPUTED_VALUE"""),"PR033")</f>
        <v>PR033</v>
      </c>
      <c r="H1234" s="1" t="str">
        <f>IFERROR(__xludf.DUMMYFUNCTION("""COMPUTED_VALUE"""),"VD035")</f>
        <v>VD035</v>
      </c>
      <c r="I1234" s="1">
        <f>IFERROR(__xludf.DUMMYFUNCTION("""COMPUTED_VALUE"""),6.0)</f>
        <v>6</v>
      </c>
      <c r="J1234" s="1">
        <f>IFERROR(__xludf.DUMMYFUNCTION("""COMPUTED_VALUE"""),1652.96)</f>
        <v>1652.96</v>
      </c>
      <c r="K1234" s="1">
        <f>IFERROR(__xludf.DUMMYFUNCTION("""COMPUTED_VALUE"""),1652.96)</f>
        <v>1652.96</v>
      </c>
    </row>
    <row r="1235">
      <c r="A1235" s="1">
        <f>IFERROR(__xludf.DUMMYFUNCTION("""COMPUTED_VALUE"""),1000.0)</f>
        <v>1000</v>
      </c>
      <c r="B1235" s="1">
        <f>IFERROR(__xludf.DUMMYFUNCTION("""COMPUTED_VALUE"""),184359.0)</f>
        <v>184359</v>
      </c>
      <c r="C1235" s="1">
        <f>IFERROR(__xludf.DUMMYFUNCTION("""COMPUTED_VALUE"""),2026.0)</f>
        <v>2026</v>
      </c>
      <c r="D1235" s="1">
        <f>IFERROR(__xludf.DUMMYFUNCTION("""COMPUTED_VALUE"""),46132.0)</f>
        <v>46132</v>
      </c>
      <c r="E1235" s="1" t="str">
        <f>IFERROR(__xludf.DUMMYFUNCTION("""COMPUTED_VALUE"""),"VF")</f>
        <v>VF</v>
      </c>
      <c r="F1235" s="1">
        <f>IFERROR(__xludf.DUMMYFUNCTION("""COMPUTED_VALUE"""),1.0)</f>
        <v>1</v>
      </c>
      <c r="G1235" s="1" t="str">
        <f>IFERROR(__xludf.DUMMYFUNCTION("""COMPUTED_VALUE"""),"PR044")</f>
        <v>PR044</v>
      </c>
      <c r="H1235" s="1" t="str">
        <f>IFERROR(__xludf.DUMMYFUNCTION("""COMPUTED_VALUE"""),"VD034")</f>
        <v>VD034</v>
      </c>
      <c r="I1235" s="1">
        <f>IFERROR(__xludf.DUMMYFUNCTION("""COMPUTED_VALUE"""),6.0)</f>
        <v>6</v>
      </c>
      <c r="J1235" s="1">
        <f>IFERROR(__xludf.DUMMYFUNCTION("""COMPUTED_VALUE"""),439.35)</f>
        <v>439.35</v>
      </c>
      <c r="K1235" s="1">
        <f>IFERROR(__xludf.DUMMYFUNCTION("""COMPUTED_VALUE"""),439.35)</f>
        <v>439.35</v>
      </c>
    </row>
    <row r="1236">
      <c r="A1236" s="1">
        <f>IFERROR(__xludf.DUMMYFUNCTION("""COMPUTED_VALUE"""),2000.0)</f>
        <v>2000</v>
      </c>
      <c r="B1236" s="1">
        <f>IFERROR(__xludf.DUMMYFUNCTION("""COMPUTED_VALUE"""),184360.0)</f>
        <v>184360</v>
      </c>
      <c r="C1236" s="1">
        <f>IFERROR(__xludf.DUMMYFUNCTION("""COMPUTED_VALUE"""),2026.0)</f>
        <v>2026</v>
      </c>
      <c r="D1236" s="1">
        <f>IFERROR(__xludf.DUMMYFUNCTION("""COMPUTED_VALUE"""),46132.0)</f>
        <v>46132</v>
      </c>
      <c r="E1236" s="1" t="str">
        <f>IFERROR(__xludf.DUMMYFUNCTION("""COMPUTED_VALUE"""),"VF")</f>
        <v>VF</v>
      </c>
      <c r="F1236" s="1">
        <f>IFERROR(__xludf.DUMMYFUNCTION("""COMPUTED_VALUE"""),1.0)</f>
        <v>1</v>
      </c>
      <c r="G1236" s="1" t="str">
        <f>IFERROR(__xludf.DUMMYFUNCTION("""COMPUTED_VALUE"""),"PR050")</f>
        <v>PR050</v>
      </c>
      <c r="H1236" s="1" t="str">
        <f>IFERROR(__xludf.DUMMYFUNCTION("""COMPUTED_VALUE"""),"VD026")</f>
        <v>VD026</v>
      </c>
      <c r="I1236" s="1">
        <f>IFERROR(__xludf.DUMMYFUNCTION("""COMPUTED_VALUE"""),1.0)</f>
        <v>1</v>
      </c>
      <c r="J1236" s="1">
        <f>IFERROR(__xludf.DUMMYFUNCTION("""COMPUTED_VALUE"""),33.56)</f>
        <v>33.56</v>
      </c>
      <c r="K1236" s="1">
        <f>IFERROR(__xludf.DUMMYFUNCTION("""COMPUTED_VALUE"""),33.56)</f>
        <v>33.56</v>
      </c>
    </row>
    <row r="1237">
      <c r="A1237" s="1">
        <f>IFERROR(__xludf.DUMMYFUNCTION("""COMPUTED_VALUE"""),1000.0)</f>
        <v>1000</v>
      </c>
      <c r="B1237" s="1">
        <f>IFERROR(__xludf.DUMMYFUNCTION("""COMPUTED_VALUE"""),184361.0)</f>
        <v>184361</v>
      </c>
      <c r="C1237" s="1">
        <f>IFERROR(__xludf.DUMMYFUNCTION("""COMPUTED_VALUE"""),2026.0)</f>
        <v>2026</v>
      </c>
      <c r="D1237" s="1">
        <f>IFERROR(__xludf.DUMMYFUNCTION("""COMPUTED_VALUE"""),46132.0)</f>
        <v>46132</v>
      </c>
      <c r="E1237" s="1" t="str">
        <f>IFERROR(__xludf.DUMMYFUNCTION("""COMPUTED_VALUE"""),"VF")</f>
        <v>VF</v>
      </c>
      <c r="F1237" s="1">
        <f>IFERROR(__xludf.DUMMYFUNCTION("""COMPUTED_VALUE"""),1.0)</f>
        <v>1</v>
      </c>
      <c r="G1237" s="1" t="str">
        <f>IFERROR(__xludf.DUMMYFUNCTION("""COMPUTED_VALUE"""),"PR019")</f>
        <v>PR019</v>
      </c>
      <c r="H1237" s="1" t="str">
        <f>IFERROR(__xludf.DUMMYFUNCTION("""COMPUTED_VALUE"""),"VD010")</f>
        <v>VD010</v>
      </c>
      <c r="I1237" s="1">
        <f>IFERROR(__xludf.DUMMYFUNCTION("""COMPUTED_VALUE"""),6.0)</f>
        <v>6</v>
      </c>
      <c r="J1237" s="1">
        <f>IFERROR(__xludf.DUMMYFUNCTION("""COMPUTED_VALUE"""),323.35)</f>
        <v>323.35</v>
      </c>
      <c r="K1237" s="1">
        <f>IFERROR(__xludf.DUMMYFUNCTION("""COMPUTED_VALUE"""),323.35)</f>
        <v>323.35</v>
      </c>
    </row>
    <row r="1238">
      <c r="A1238" s="1">
        <f>IFERROR(__xludf.DUMMYFUNCTION("""COMPUTED_VALUE"""),1000.0)</f>
        <v>1000</v>
      </c>
      <c r="B1238" s="1">
        <f>IFERROR(__xludf.DUMMYFUNCTION("""COMPUTED_VALUE"""),184362.0)</f>
        <v>184362</v>
      </c>
      <c r="C1238" s="1">
        <f>IFERROR(__xludf.DUMMYFUNCTION("""COMPUTED_VALUE"""),2026.0)</f>
        <v>2026</v>
      </c>
      <c r="D1238" s="1">
        <f>IFERROR(__xludf.DUMMYFUNCTION("""COMPUTED_VALUE"""),46132.0)</f>
        <v>46132</v>
      </c>
      <c r="E1238" s="1" t="str">
        <f>IFERROR(__xludf.DUMMYFUNCTION("""COMPUTED_VALUE"""),"VF")</f>
        <v>VF</v>
      </c>
      <c r="F1238" s="1">
        <f>IFERROR(__xludf.DUMMYFUNCTION("""COMPUTED_VALUE"""),1.0)</f>
        <v>1</v>
      </c>
      <c r="G1238" s="1" t="str">
        <f>IFERROR(__xludf.DUMMYFUNCTION("""COMPUTED_VALUE"""),"PR058")</f>
        <v>PR058</v>
      </c>
      <c r="H1238" s="1" t="str">
        <f>IFERROR(__xludf.DUMMYFUNCTION("""COMPUTED_VALUE"""),"VD019")</f>
        <v>VD019</v>
      </c>
      <c r="I1238" s="1">
        <f>IFERROR(__xludf.DUMMYFUNCTION("""COMPUTED_VALUE"""),16.0)</f>
        <v>16</v>
      </c>
      <c r="J1238" s="1">
        <f>IFERROR(__xludf.DUMMYFUNCTION("""COMPUTED_VALUE"""),2908.8)</f>
        <v>2908.8</v>
      </c>
      <c r="K1238" s="1">
        <f>IFERROR(__xludf.DUMMYFUNCTION("""COMPUTED_VALUE"""),2908.8)</f>
        <v>2908.8</v>
      </c>
    </row>
    <row r="1239">
      <c r="A1239" s="1">
        <f>IFERROR(__xludf.DUMMYFUNCTION("""COMPUTED_VALUE"""),1000.0)</f>
        <v>1000</v>
      </c>
      <c r="B1239" s="1">
        <f>IFERROR(__xludf.DUMMYFUNCTION("""COMPUTED_VALUE"""),184363.0)</f>
        <v>184363</v>
      </c>
      <c r="C1239" s="1">
        <f>IFERROR(__xludf.DUMMYFUNCTION("""COMPUTED_VALUE"""),2026.0)</f>
        <v>2026</v>
      </c>
      <c r="D1239" s="1">
        <f>IFERROR(__xludf.DUMMYFUNCTION("""COMPUTED_VALUE"""),46132.0)</f>
        <v>46132</v>
      </c>
      <c r="E1239" s="1" t="str">
        <f>IFERROR(__xludf.DUMMYFUNCTION("""COMPUTED_VALUE"""),"VF")</f>
        <v>VF</v>
      </c>
      <c r="F1239" s="1">
        <f>IFERROR(__xludf.DUMMYFUNCTION("""COMPUTED_VALUE"""),1.0)</f>
        <v>1</v>
      </c>
      <c r="G1239" s="1" t="str">
        <f>IFERROR(__xludf.DUMMYFUNCTION("""COMPUTED_VALUE"""),"PR024")</f>
        <v>PR024</v>
      </c>
      <c r="H1239" s="1" t="str">
        <f>IFERROR(__xludf.DUMMYFUNCTION("""COMPUTED_VALUE"""),"VD015")</f>
        <v>VD015</v>
      </c>
      <c r="I1239" s="1">
        <f>IFERROR(__xludf.DUMMYFUNCTION("""COMPUTED_VALUE"""),5.0)</f>
        <v>5</v>
      </c>
      <c r="J1239" s="1">
        <f>IFERROR(__xludf.DUMMYFUNCTION("""COMPUTED_VALUE"""),1390.47)</f>
        <v>1390.47</v>
      </c>
      <c r="K1239" s="1">
        <f>IFERROR(__xludf.DUMMYFUNCTION("""COMPUTED_VALUE"""),1390.47)</f>
        <v>1390.47</v>
      </c>
    </row>
    <row r="1240">
      <c r="A1240" s="1">
        <f>IFERROR(__xludf.DUMMYFUNCTION("""COMPUTED_VALUE"""),2000.0)</f>
        <v>2000</v>
      </c>
      <c r="B1240" s="1">
        <f>IFERROR(__xludf.DUMMYFUNCTION("""COMPUTED_VALUE"""),184363.0)</f>
        <v>184363</v>
      </c>
      <c r="C1240" s="1">
        <f>IFERROR(__xludf.DUMMYFUNCTION("""COMPUTED_VALUE"""),2026.0)</f>
        <v>2026</v>
      </c>
      <c r="D1240" s="1">
        <f>IFERROR(__xludf.DUMMYFUNCTION("""COMPUTED_VALUE"""),46132.0)</f>
        <v>46132</v>
      </c>
      <c r="E1240" s="1" t="str">
        <f>IFERROR(__xludf.DUMMYFUNCTION("""COMPUTED_VALUE"""),"VF")</f>
        <v>VF</v>
      </c>
      <c r="F1240" s="1">
        <f>IFERROR(__xludf.DUMMYFUNCTION("""COMPUTED_VALUE"""),2.0)</f>
        <v>2</v>
      </c>
      <c r="G1240" s="1" t="str">
        <f>IFERROR(__xludf.DUMMYFUNCTION("""COMPUTED_VALUE"""),"PR022")</f>
        <v>PR022</v>
      </c>
      <c r="H1240" s="1" t="str">
        <f>IFERROR(__xludf.DUMMYFUNCTION("""COMPUTED_VALUE"""),"VD049")</f>
        <v>VD049</v>
      </c>
      <c r="I1240" s="1">
        <f>IFERROR(__xludf.DUMMYFUNCTION("""COMPUTED_VALUE"""),20.0)</f>
        <v>20</v>
      </c>
      <c r="J1240" s="1">
        <f>IFERROR(__xludf.DUMMYFUNCTION("""COMPUTED_VALUE"""),6540.0)</f>
        <v>6540</v>
      </c>
      <c r="K1240" s="1">
        <f>IFERROR(__xludf.DUMMYFUNCTION("""COMPUTED_VALUE"""),6540.0)</f>
        <v>6540</v>
      </c>
    </row>
    <row r="1241">
      <c r="A1241" s="1">
        <f>IFERROR(__xludf.DUMMYFUNCTION("""COMPUTED_VALUE"""),1000.0)</f>
        <v>1000</v>
      </c>
      <c r="B1241" s="1">
        <f>IFERROR(__xludf.DUMMYFUNCTION("""COMPUTED_VALUE"""),184364.0)</f>
        <v>184364</v>
      </c>
      <c r="C1241" s="1">
        <f>IFERROR(__xludf.DUMMYFUNCTION("""COMPUTED_VALUE"""),2026.0)</f>
        <v>2026</v>
      </c>
      <c r="D1241" s="1">
        <f>IFERROR(__xludf.DUMMYFUNCTION("""COMPUTED_VALUE"""),46131.0)</f>
        <v>46131</v>
      </c>
      <c r="E1241" s="1" t="str">
        <f>IFERROR(__xludf.DUMMYFUNCTION("""COMPUTED_VALUE"""),"VF")</f>
        <v>VF</v>
      </c>
      <c r="F1241" s="1">
        <f>IFERROR(__xludf.DUMMYFUNCTION("""COMPUTED_VALUE"""),1.0)</f>
        <v>1</v>
      </c>
      <c r="G1241" s="1" t="str">
        <f>IFERROR(__xludf.DUMMYFUNCTION("""COMPUTED_VALUE"""),"PR015")</f>
        <v>PR015</v>
      </c>
      <c r="H1241" s="1" t="str">
        <f>IFERROR(__xludf.DUMMYFUNCTION("""COMPUTED_VALUE"""),"VD010")</f>
        <v>VD010</v>
      </c>
      <c r="I1241" s="1">
        <f>IFERROR(__xludf.DUMMYFUNCTION("""COMPUTED_VALUE"""),4.0)</f>
        <v>4</v>
      </c>
      <c r="J1241" s="1">
        <f>IFERROR(__xludf.DUMMYFUNCTION("""COMPUTED_VALUE"""),185.3)</f>
        <v>185.3</v>
      </c>
      <c r="K1241" s="1">
        <f>IFERROR(__xludf.DUMMYFUNCTION("""COMPUTED_VALUE"""),185.3)</f>
        <v>185.3</v>
      </c>
    </row>
    <row r="1242">
      <c r="A1242" s="1">
        <f>IFERROR(__xludf.DUMMYFUNCTION("""COMPUTED_VALUE"""),1000.0)</f>
        <v>1000</v>
      </c>
      <c r="B1242" s="1">
        <f>IFERROR(__xludf.DUMMYFUNCTION("""COMPUTED_VALUE"""),184365.0)</f>
        <v>184365</v>
      </c>
      <c r="C1242" s="1">
        <f>IFERROR(__xludf.DUMMYFUNCTION("""COMPUTED_VALUE"""),2026.0)</f>
        <v>2026</v>
      </c>
      <c r="D1242" s="1">
        <f>IFERROR(__xludf.DUMMYFUNCTION("""COMPUTED_VALUE"""),46131.0)</f>
        <v>46131</v>
      </c>
      <c r="E1242" s="1" t="str">
        <f>IFERROR(__xludf.DUMMYFUNCTION("""COMPUTED_VALUE"""),"VF")</f>
        <v>VF</v>
      </c>
      <c r="F1242" s="1">
        <f>IFERROR(__xludf.DUMMYFUNCTION("""COMPUTED_VALUE"""),1.0)</f>
        <v>1</v>
      </c>
      <c r="G1242" s="1" t="str">
        <f>IFERROR(__xludf.DUMMYFUNCTION("""COMPUTED_VALUE"""),"PR005")</f>
        <v>PR005</v>
      </c>
      <c r="H1242" s="1" t="str">
        <f>IFERROR(__xludf.DUMMYFUNCTION("""COMPUTED_VALUE"""),"VD043")</f>
        <v>VD043</v>
      </c>
      <c r="I1242" s="1">
        <f>IFERROR(__xludf.DUMMYFUNCTION("""COMPUTED_VALUE"""),7.0)</f>
        <v>7</v>
      </c>
      <c r="J1242" s="1">
        <f>IFERROR(__xludf.DUMMYFUNCTION("""COMPUTED_VALUE"""),1910.27)</f>
        <v>1910.27</v>
      </c>
      <c r="K1242" s="1">
        <f>IFERROR(__xludf.DUMMYFUNCTION("""COMPUTED_VALUE"""),1910.27)</f>
        <v>1910.27</v>
      </c>
    </row>
    <row r="1243">
      <c r="A1243" s="1">
        <f>IFERROR(__xludf.DUMMYFUNCTION("""COMPUTED_VALUE"""),1000.0)</f>
        <v>1000</v>
      </c>
      <c r="B1243" s="1">
        <f>IFERROR(__xludf.DUMMYFUNCTION("""COMPUTED_VALUE"""),184365.0)</f>
        <v>184365</v>
      </c>
      <c r="C1243" s="1">
        <f>IFERROR(__xludf.DUMMYFUNCTION("""COMPUTED_VALUE"""),2026.0)</f>
        <v>2026</v>
      </c>
      <c r="D1243" s="1">
        <f>IFERROR(__xludf.DUMMYFUNCTION("""COMPUTED_VALUE"""),46131.0)</f>
        <v>46131</v>
      </c>
      <c r="E1243" s="1" t="str">
        <f>IFERROR(__xludf.DUMMYFUNCTION("""COMPUTED_VALUE"""),"VF")</f>
        <v>VF</v>
      </c>
      <c r="F1243" s="1">
        <f>IFERROR(__xludf.DUMMYFUNCTION("""COMPUTED_VALUE"""),2.0)</f>
        <v>2</v>
      </c>
      <c r="G1243" s="1" t="str">
        <f>IFERROR(__xludf.DUMMYFUNCTION("""COMPUTED_VALUE"""),"PR048")</f>
        <v>PR048</v>
      </c>
      <c r="H1243" s="1" t="str">
        <f>IFERROR(__xludf.DUMMYFUNCTION("""COMPUTED_VALUE"""),"VD012")</f>
        <v>VD012</v>
      </c>
      <c r="I1243" s="1">
        <f>IFERROR(__xludf.DUMMYFUNCTION("""COMPUTED_VALUE"""),2.0)</f>
        <v>2</v>
      </c>
      <c r="J1243" s="1">
        <f>IFERROR(__xludf.DUMMYFUNCTION("""COMPUTED_VALUE"""),626.18)</f>
        <v>626.18</v>
      </c>
      <c r="K1243" s="1">
        <f>IFERROR(__xludf.DUMMYFUNCTION("""COMPUTED_VALUE"""),626.18)</f>
        <v>626.18</v>
      </c>
    </row>
    <row r="1244">
      <c r="A1244" s="1">
        <f>IFERROR(__xludf.DUMMYFUNCTION("""COMPUTED_VALUE"""),1000.0)</f>
        <v>1000</v>
      </c>
      <c r="B1244" s="1">
        <f>IFERROR(__xludf.DUMMYFUNCTION("""COMPUTED_VALUE"""),184365.0)</f>
        <v>184365</v>
      </c>
      <c r="C1244" s="1">
        <f>IFERROR(__xludf.DUMMYFUNCTION("""COMPUTED_VALUE"""),2026.0)</f>
        <v>2026</v>
      </c>
      <c r="D1244" s="1">
        <f>IFERROR(__xludf.DUMMYFUNCTION("""COMPUTED_VALUE"""),46131.0)</f>
        <v>46131</v>
      </c>
      <c r="E1244" s="1" t="str">
        <f>IFERROR(__xludf.DUMMYFUNCTION("""COMPUTED_VALUE"""),"VF")</f>
        <v>VF</v>
      </c>
      <c r="F1244" s="1">
        <f>IFERROR(__xludf.DUMMYFUNCTION("""COMPUTED_VALUE"""),3.0)</f>
        <v>3</v>
      </c>
      <c r="G1244" s="1" t="str">
        <f>IFERROR(__xludf.DUMMYFUNCTION("""COMPUTED_VALUE"""),"PR024")</f>
        <v>PR024</v>
      </c>
      <c r="H1244" s="1" t="str">
        <f>IFERROR(__xludf.DUMMYFUNCTION("""COMPUTED_VALUE"""),"VD025")</f>
        <v>VD025</v>
      </c>
      <c r="I1244" s="1">
        <f>IFERROR(__xludf.DUMMYFUNCTION("""COMPUTED_VALUE"""),10.0)</f>
        <v>10</v>
      </c>
      <c r="J1244" s="1">
        <f>IFERROR(__xludf.DUMMYFUNCTION("""COMPUTED_VALUE"""),2858.9)</f>
        <v>2858.9</v>
      </c>
      <c r="K1244" s="1">
        <f>IFERROR(__xludf.DUMMYFUNCTION("""COMPUTED_VALUE"""),2858.9)</f>
        <v>2858.9</v>
      </c>
    </row>
    <row r="1245">
      <c r="A1245" s="1">
        <f>IFERROR(__xludf.DUMMYFUNCTION("""COMPUTED_VALUE"""),1000.0)</f>
        <v>1000</v>
      </c>
      <c r="B1245" s="1">
        <f>IFERROR(__xludf.DUMMYFUNCTION("""COMPUTED_VALUE"""),184366.0)</f>
        <v>184366</v>
      </c>
      <c r="C1245" s="1">
        <f>IFERROR(__xludf.DUMMYFUNCTION("""COMPUTED_VALUE"""),2026.0)</f>
        <v>2026</v>
      </c>
      <c r="D1245" s="1">
        <f>IFERROR(__xludf.DUMMYFUNCTION("""COMPUTED_VALUE"""),46131.0)</f>
        <v>46131</v>
      </c>
      <c r="E1245" s="1" t="str">
        <f>IFERROR(__xludf.DUMMYFUNCTION("""COMPUTED_VALUE"""),"VF")</f>
        <v>VF</v>
      </c>
      <c r="F1245" s="1">
        <f>IFERROR(__xludf.DUMMYFUNCTION("""COMPUTED_VALUE"""),1.0)</f>
        <v>1</v>
      </c>
      <c r="G1245" s="1" t="str">
        <f>IFERROR(__xludf.DUMMYFUNCTION("""COMPUTED_VALUE"""),"PR019")</f>
        <v>PR019</v>
      </c>
      <c r="H1245" s="1" t="str">
        <f>IFERROR(__xludf.DUMMYFUNCTION("""COMPUTED_VALUE"""),"VD035")</f>
        <v>VD035</v>
      </c>
      <c r="I1245" s="1">
        <f>IFERROR(__xludf.DUMMYFUNCTION("""COMPUTED_VALUE"""),8.0)</f>
        <v>8</v>
      </c>
      <c r="J1245" s="1">
        <f>IFERROR(__xludf.DUMMYFUNCTION("""COMPUTED_VALUE"""),419.16)</f>
        <v>419.16</v>
      </c>
      <c r="K1245" s="1">
        <f>IFERROR(__xludf.DUMMYFUNCTION("""COMPUTED_VALUE"""),419.16)</f>
        <v>419.16</v>
      </c>
    </row>
    <row r="1246">
      <c r="A1246" s="1">
        <f>IFERROR(__xludf.DUMMYFUNCTION("""COMPUTED_VALUE"""),1000.0)</f>
        <v>1000</v>
      </c>
      <c r="B1246" s="1">
        <f>IFERROR(__xludf.DUMMYFUNCTION("""COMPUTED_VALUE"""),184366.0)</f>
        <v>184366</v>
      </c>
      <c r="C1246" s="1">
        <f>IFERROR(__xludf.DUMMYFUNCTION("""COMPUTED_VALUE"""),2026.0)</f>
        <v>2026</v>
      </c>
      <c r="D1246" s="1">
        <f>IFERROR(__xludf.DUMMYFUNCTION("""COMPUTED_VALUE"""),46131.0)</f>
        <v>46131</v>
      </c>
      <c r="E1246" s="1" t="str">
        <f>IFERROR(__xludf.DUMMYFUNCTION("""COMPUTED_VALUE"""),"VF")</f>
        <v>VF</v>
      </c>
      <c r="F1246" s="1">
        <f>IFERROR(__xludf.DUMMYFUNCTION("""COMPUTED_VALUE"""),2.0)</f>
        <v>2</v>
      </c>
      <c r="G1246" s="1" t="str">
        <f>IFERROR(__xludf.DUMMYFUNCTION("""COMPUTED_VALUE"""),"PR029")</f>
        <v>PR029</v>
      </c>
      <c r="H1246" s="1" t="str">
        <f>IFERROR(__xludf.DUMMYFUNCTION("""COMPUTED_VALUE"""),"VD038")</f>
        <v>VD038</v>
      </c>
      <c r="I1246" s="1">
        <f>IFERROR(__xludf.DUMMYFUNCTION("""COMPUTED_VALUE"""),9.0)</f>
        <v>9</v>
      </c>
      <c r="J1246" s="1">
        <f>IFERROR(__xludf.DUMMYFUNCTION("""COMPUTED_VALUE"""),2478.6)</f>
        <v>2478.6</v>
      </c>
      <c r="K1246" s="1">
        <f>IFERROR(__xludf.DUMMYFUNCTION("""COMPUTED_VALUE"""),2478.6)</f>
        <v>2478.6</v>
      </c>
    </row>
    <row r="1247">
      <c r="A1247" s="1">
        <f>IFERROR(__xludf.DUMMYFUNCTION("""COMPUTED_VALUE"""),1000.0)</f>
        <v>1000</v>
      </c>
      <c r="B1247" s="1">
        <f>IFERROR(__xludf.DUMMYFUNCTION("""COMPUTED_VALUE"""),184367.0)</f>
        <v>184367</v>
      </c>
      <c r="C1247" s="1">
        <f>IFERROR(__xludf.DUMMYFUNCTION("""COMPUTED_VALUE"""),2026.0)</f>
        <v>2026</v>
      </c>
      <c r="D1247" s="1">
        <f>IFERROR(__xludf.DUMMYFUNCTION("""COMPUTED_VALUE"""),46130.0)</f>
        <v>46130</v>
      </c>
      <c r="E1247" s="1" t="str">
        <f>IFERROR(__xludf.DUMMYFUNCTION("""COMPUTED_VALUE"""),"VF")</f>
        <v>VF</v>
      </c>
      <c r="F1247" s="1">
        <f>IFERROR(__xludf.DUMMYFUNCTION("""COMPUTED_VALUE"""),1.0)</f>
        <v>1</v>
      </c>
      <c r="G1247" s="1" t="str">
        <f>IFERROR(__xludf.DUMMYFUNCTION("""COMPUTED_VALUE"""),"PR043")</f>
        <v>PR043</v>
      </c>
      <c r="H1247" s="1" t="str">
        <f>IFERROR(__xludf.DUMMYFUNCTION("""COMPUTED_VALUE"""),"VD045")</f>
        <v>VD045</v>
      </c>
      <c r="I1247" s="1">
        <f>IFERROR(__xludf.DUMMYFUNCTION("""COMPUTED_VALUE"""),18.0)</f>
        <v>18</v>
      </c>
      <c r="J1247" s="1">
        <f>IFERROR(__xludf.DUMMYFUNCTION("""COMPUTED_VALUE"""),1396.35)</f>
        <v>1396.35</v>
      </c>
      <c r="K1247" s="1">
        <f>IFERROR(__xludf.DUMMYFUNCTION("""COMPUTED_VALUE"""),1396.35)</f>
        <v>1396.35</v>
      </c>
    </row>
    <row r="1248">
      <c r="A1248" s="1">
        <f>IFERROR(__xludf.DUMMYFUNCTION("""COMPUTED_VALUE"""),1000.0)</f>
        <v>1000</v>
      </c>
      <c r="B1248" s="1">
        <f>IFERROR(__xludf.DUMMYFUNCTION("""COMPUTED_VALUE"""),184368.0)</f>
        <v>184368</v>
      </c>
      <c r="C1248" s="1">
        <f>IFERROR(__xludf.DUMMYFUNCTION("""COMPUTED_VALUE"""),2026.0)</f>
        <v>2026</v>
      </c>
      <c r="D1248" s="1">
        <f>IFERROR(__xludf.DUMMYFUNCTION("""COMPUTED_VALUE"""),46130.0)</f>
        <v>46130</v>
      </c>
      <c r="E1248" s="1" t="str">
        <f>IFERROR(__xludf.DUMMYFUNCTION("""COMPUTED_VALUE"""),"VF")</f>
        <v>VF</v>
      </c>
      <c r="F1248" s="1">
        <f>IFERROR(__xludf.DUMMYFUNCTION("""COMPUTED_VALUE"""),1.0)</f>
        <v>1</v>
      </c>
      <c r="G1248" s="1" t="str">
        <f>IFERROR(__xludf.DUMMYFUNCTION("""COMPUTED_VALUE"""),"PR039")</f>
        <v>PR039</v>
      </c>
      <c r="H1248" s="1" t="str">
        <f>IFERROR(__xludf.DUMMYFUNCTION("""COMPUTED_VALUE"""),"VD042")</f>
        <v>VD042</v>
      </c>
      <c r="I1248" s="1">
        <f>IFERROR(__xludf.DUMMYFUNCTION("""COMPUTED_VALUE"""),2.0)</f>
        <v>2</v>
      </c>
      <c r="J1248" s="1">
        <f>IFERROR(__xludf.DUMMYFUNCTION("""COMPUTED_VALUE"""),315.36)</f>
        <v>315.36</v>
      </c>
      <c r="K1248" s="1">
        <f>IFERROR(__xludf.DUMMYFUNCTION("""COMPUTED_VALUE"""),315.36)</f>
        <v>315.36</v>
      </c>
    </row>
    <row r="1249">
      <c r="A1249" s="1">
        <f>IFERROR(__xludf.DUMMYFUNCTION("""COMPUTED_VALUE"""),1000.0)</f>
        <v>1000</v>
      </c>
      <c r="B1249" s="1">
        <f>IFERROR(__xludf.DUMMYFUNCTION("""COMPUTED_VALUE"""),184368.0)</f>
        <v>184368</v>
      </c>
      <c r="C1249" s="1">
        <f>IFERROR(__xludf.DUMMYFUNCTION("""COMPUTED_VALUE"""),2026.0)</f>
        <v>2026</v>
      </c>
      <c r="D1249" s="1">
        <f>IFERROR(__xludf.DUMMYFUNCTION("""COMPUTED_VALUE"""),46130.0)</f>
        <v>46130</v>
      </c>
      <c r="E1249" s="1" t="str">
        <f>IFERROR(__xludf.DUMMYFUNCTION("""COMPUTED_VALUE"""),"VF")</f>
        <v>VF</v>
      </c>
      <c r="F1249" s="1">
        <f>IFERROR(__xludf.DUMMYFUNCTION("""COMPUTED_VALUE"""),2.0)</f>
        <v>2</v>
      </c>
      <c r="G1249" s="1" t="str">
        <f>IFERROR(__xludf.DUMMYFUNCTION("""COMPUTED_VALUE"""),"PR003")</f>
        <v>PR003</v>
      </c>
      <c r="H1249" s="1" t="str">
        <f>IFERROR(__xludf.DUMMYFUNCTION("""COMPUTED_VALUE"""),"VD010")</f>
        <v>VD010</v>
      </c>
      <c r="I1249" s="1">
        <f>IFERROR(__xludf.DUMMYFUNCTION("""COMPUTED_VALUE"""),9.0)</f>
        <v>9</v>
      </c>
      <c r="J1249" s="1">
        <f>IFERROR(__xludf.DUMMYFUNCTION("""COMPUTED_VALUE"""),689.15)</f>
        <v>689.15</v>
      </c>
      <c r="K1249" s="1">
        <f>IFERROR(__xludf.DUMMYFUNCTION("""COMPUTED_VALUE"""),689.15)</f>
        <v>689.15</v>
      </c>
    </row>
    <row r="1250">
      <c r="A1250" s="1">
        <f>IFERROR(__xludf.DUMMYFUNCTION("""COMPUTED_VALUE"""),2000.0)</f>
        <v>2000</v>
      </c>
      <c r="B1250" s="1">
        <f>IFERROR(__xludf.DUMMYFUNCTION("""COMPUTED_VALUE"""),184369.0)</f>
        <v>184369</v>
      </c>
      <c r="C1250" s="1">
        <f>IFERROR(__xludf.DUMMYFUNCTION("""COMPUTED_VALUE"""),2026.0)</f>
        <v>2026</v>
      </c>
      <c r="D1250" s="1">
        <f>IFERROR(__xludf.DUMMYFUNCTION("""COMPUTED_VALUE"""),46130.0)</f>
        <v>46130</v>
      </c>
      <c r="E1250" s="1" t="str">
        <f>IFERROR(__xludf.DUMMYFUNCTION("""COMPUTED_VALUE"""),"VF")</f>
        <v>VF</v>
      </c>
      <c r="F1250" s="1">
        <f>IFERROR(__xludf.DUMMYFUNCTION("""COMPUTED_VALUE"""),1.0)</f>
        <v>1</v>
      </c>
      <c r="G1250" s="1" t="str">
        <f>IFERROR(__xludf.DUMMYFUNCTION("""COMPUTED_VALUE"""),"PR002")</f>
        <v>PR002</v>
      </c>
      <c r="H1250" s="1" t="str">
        <f>IFERROR(__xludf.DUMMYFUNCTION("""COMPUTED_VALUE"""),"VD042")</f>
        <v>VD042</v>
      </c>
      <c r="I1250" s="1">
        <f>IFERROR(__xludf.DUMMYFUNCTION("""COMPUTED_VALUE"""),10.0)</f>
        <v>10</v>
      </c>
      <c r="J1250" s="1">
        <f>IFERROR(__xludf.DUMMYFUNCTION("""COMPUTED_VALUE"""),726.96)</f>
        <v>726.96</v>
      </c>
      <c r="K1250" s="1">
        <f>IFERROR(__xludf.DUMMYFUNCTION("""COMPUTED_VALUE"""),726.96)</f>
        <v>726.96</v>
      </c>
    </row>
    <row r="1251">
      <c r="A1251" s="1">
        <f>IFERROR(__xludf.DUMMYFUNCTION("""COMPUTED_VALUE"""),1000.0)</f>
        <v>1000</v>
      </c>
      <c r="B1251" s="1">
        <f>IFERROR(__xludf.DUMMYFUNCTION("""COMPUTED_VALUE"""),184370.0)</f>
        <v>184370</v>
      </c>
      <c r="C1251" s="1">
        <f>IFERROR(__xludf.DUMMYFUNCTION("""COMPUTED_VALUE"""),2026.0)</f>
        <v>2026</v>
      </c>
      <c r="D1251" s="1">
        <f>IFERROR(__xludf.DUMMYFUNCTION("""COMPUTED_VALUE"""),46130.0)</f>
        <v>46130</v>
      </c>
      <c r="E1251" s="1" t="str">
        <f>IFERROR(__xludf.DUMMYFUNCTION("""COMPUTED_VALUE"""),"VF")</f>
        <v>VF</v>
      </c>
      <c r="F1251" s="1">
        <f>IFERROR(__xludf.DUMMYFUNCTION("""COMPUTED_VALUE"""),1.0)</f>
        <v>1</v>
      </c>
      <c r="G1251" s="1" t="str">
        <f>IFERROR(__xludf.DUMMYFUNCTION("""COMPUTED_VALUE"""),"PR015")</f>
        <v>PR015</v>
      </c>
      <c r="H1251" s="1" t="str">
        <f>IFERROR(__xludf.DUMMYFUNCTION("""COMPUTED_VALUE"""),"VD037")</f>
        <v>VD037</v>
      </c>
      <c r="I1251" s="1">
        <f>IFERROR(__xludf.DUMMYFUNCTION("""COMPUTED_VALUE"""),9.0)</f>
        <v>9</v>
      </c>
      <c r="J1251" s="1">
        <f>IFERROR(__xludf.DUMMYFUNCTION("""COMPUTED_VALUE"""),416.93)</f>
        <v>416.93</v>
      </c>
      <c r="K1251" s="1">
        <f>IFERROR(__xludf.DUMMYFUNCTION("""COMPUTED_VALUE"""),416.93)</f>
        <v>416.93</v>
      </c>
    </row>
    <row r="1252">
      <c r="A1252" s="1">
        <f>IFERROR(__xludf.DUMMYFUNCTION("""COMPUTED_VALUE"""),1000.0)</f>
        <v>1000</v>
      </c>
      <c r="B1252" s="1">
        <f>IFERROR(__xludf.DUMMYFUNCTION("""COMPUTED_VALUE"""),184371.0)</f>
        <v>184371</v>
      </c>
      <c r="C1252" s="1">
        <f>IFERROR(__xludf.DUMMYFUNCTION("""COMPUTED_VALUE"""),2026.0)</f>
        <v>2026</v>
      </c>
      <c r="D1252" s="1">
        <f>IFERROR(__xludf.DUMMYFUNCTION("""COMPUTED_VALUE"""),46130.0)</f>
        <v>46130</v>
      </c>
      <c r="E1252" s="1" t="str">
        <f>IFERROR(__xludf.DUMMYFUNCTION("""COMPUTED_VALUE"""),"VF")</f>
        <v>VF</v>
      </c>
      <c r="F1252" s="1">
        <f>IFERROR(__xludf.DUMMYFUNCTION("""COMPUTED_VALUE"""),1.0)</f>
        <v>1</v>
      </c>
      <c r="G1252" s="1" t="str">
        <f>IFERROR(__xludf.DUMMYFUNCTION("""COMPUTED_VALUE"""),"PR017")</f>
        <v>PR017</v>
      </c>
      <c r="H1252" s="1" t="str">
        <f>IFERROR(__xludf.DUMMYFUNCTION("""COMPUTED_VALUE"""),"VD049")</f>
        <v>VD049</v>
      </c>
      <c r="I1252" s="1">
        <f>IFERROR(__xludf.DUMMYFUNCTION("""COMPUTED_VALUE"""),6.0)</f>
        <v>6</v>
      </c>
      <c r="J1252" s="1">
        <f>IFERROR(__xludf.DUMMYFUNCTION("""COMPUTED_VALUE"""),182.99)</f>
        <v>182.99</v>
      </c>
      <c r="K1252" s="1">
        <f>IFERROR(__xludf.DUMMYFUNCTION("""COMPUTED_VALUE"""),182.99)</f>
        <v>182.99</v>
      </c>
    </row>
    <row r="1253">
      <c r="A1253" s="1">
        <f>IFERROR(__xludf.DUMMYFUNCTION("""COMPUTED_VALUE"""),1000.0)</f>
        <v>1000</v>
      </c>
      <c r="B1253" s="1">
        <f>IFERROR(__xludf.DUMMYFUNCTION("""COMPUTED_VALUE"""),184372.0)</f>
        <v>184372</v>
      </c>
      <c r="C1253" s="1">
        <f>IFERROR(__xludf.DUMMYFUNCTION("""COMPUTED_VALUE"""),2026.0)</f>
        <v>2026</v>
      </c>
      <c r="D1253" s="1">
        <f>IFERROR(__xludf.DUMMYFUNCTION("""COMPUTED_VALUE"""),46130.0)</f>
        <v>46130</v>
      </c>
      <c r="E1253" s="1" t="str">
        <f>IFERROR(__xludf.DUMMYFUNCTION("""COMPUTED_VALUE"""),"VF")</f>
        <v>VF</v>
      </c>
      <c r="F1253" s="1">
        <f>IFERROR(__xludf.DUMMYFUNCTION("""COMPUTED_VALUE"""),1.0)</f>
        <v>1</v>
      </c>
      <c r="G1253" s="1" t="str">
        <f>IFERROR(__xludf.DUMMYFUNCTION("""COMPUTED_VALUE"""),"PR031")</f>
        <v>PR031</v>
      </c>
      <c r="H1253" s="1" t="str">
        <f>IFERROR(__xludf.DUMMYFUNCTION("""COMPUTED_VALUE"""),"VD021")</f>
        <v>VD021</v>
      </c>
      <c r="I1253" s="1">
        <f>IFERROR(__xludf.DUMMYFUNCTION("""COMPUTED_VALUE"""),8.0)</f>
        <v>8</v>
      </c>
      <c r="J1253" s="1">
        <f>IFERROR(__xludf.DUMMYFUNCTION("""COMPUTED_VALUE"""),1999.2)</f>
        <v>1999.2</v>
      </c>
      <c r="K1253" s="1">
        <f>IFERROR(__xludf.DUMMYFUNCTION("""COMPUTED_VALUE"""),1999.2)</f>
        <v>1999.2</v>
      </c>
    </row>
    <row r="1254">
      <c r="A1254" s="1">
        <f>IFERROR(__xludf.DUMMYFUNCTION("""COMPUTED_VALUE"""),2000.0)</f>
        <v>2000</v>
      </c>
      <c r="B1254" s="1">
        <f>IFERROR(__xludf.DUMMYFUNCTION("""COMPUTED_VALUE"""),184373.0)</f>
        <v>184373</v>
      </c>
      <c r="C1254" s="1">
        <f>IFERROR(__xludf.DUMMYFUNCTION("""COMPUTED_VALUE"""),2026.0)</f>
        <v>2026</v>
      </c>
      <c r="D1254" s="1">
        <f>IFERROR(__xludf.DUMMYFUNCTION("""COMPUTED_VALUE"""),46130.0)</f>
        <v>46130</v>
      </c>
      <c r="E1254" s="1" t="str">
        <f>IFERROR(__xludf.DUMMYFUNCTION("""COMPUTED_VALUE"""),"VF")</f>
        <v>VF</v>
      </c>
      <c r="F1254" s="1">
        <f>IFERROR(__xludf.DUMMYFUNCTION("""COMPUTED_VALUE"""),1.0)</f>
        <v>1</v>
      </c>
      <c r="G1254" s="1" t="str">
        <f>IFERROR(__xludf.DUMMYFUNCTION("""COMPUTED_VALUE"""),"PR053")</f>
        <v>PR053</v>
      </c>
      <c r="H1254" s="1" t="str">
        <f>IFERROR(__xludf.DUMMYFUNCTION("""COMPUTED_VALUE"""),"VD041")</f>
        <v>VD041</v>
      </c>
      <c r="I1254" s="1">
        <f>IFERROR(__xludf.DUMMYFUNCTION("""COMPUTED_VALUE"""),1.0)</f>
        <v>1</v>
      </c>
      <c r="J1254" s="1">
        <f>IFERROR(__xludf.DUMMYFUNCTION("""COMPUTED_VALUE"""),54.39)</f>
        <v>54.39</v>
      </c>
      <c r="K1254" s="1">
        <f>IFERROR(__xludf.DUMMYFUNCTION("""COMPUTED_VALUE"""),54.39)</f>
        <v>54.39</v>
      </c>
    </row>
    <row r="1255">
      <c r="A1255" s="1">
        <f>IFERROR(__xludf.DUMMYFUNCTION("""COMPUTED_VALUE"""),1000.0)</f>
        <v>1000</v>
      </c>
      <c r="B1255" s="1">
        <f>IFERROR(__xludf.DUMMYFUNCTION("""COMPUTED_VALUE"""),184374.0)</f>
        <v>184374</v>
      </c>
      <c r="C1255" s="1">
        <f>IFERROR(__xludf.DUMMYFUNCTION("""COMPUTED_VALUE"""),2026.0)</f>
        <v>2026</v>
      </c>
      <c r="D1255" s="1">
        <f>IFERROR(__xludf.DUMMYFUNCTION("""COMPUTED_VALUE"""),46129.0)</f>
        <v>46129</v>
      </c>
      <c r="E1255" s="1" t="str">
        <f>IFERROR(__xludf.DUMMYFUNCTION("""COMPUTED_VALUE"""),"VF")</f>
        <v>VF</v>
      </c>
      <c r="F1255" s="1">
        <f>IFERROR(__xludf.DUMMYFUNCTION("""COMPUTED_VALUE"""),1.0)</f>
        <v>1</v>
      </c>
      <c r="G1255" s="1" t="str">
        <f>IFERROR(__xludf.DUMMYFUNCTION("""COMPUTED_VALUE"""),"PR016")</f>
        <v>PR016</v>
      </c>
      <c r="H1255" s="1" t="str">
        <f>IFERROR(__xludf.DUMMYFUNCTION("""COMPUTED_VALUE"""),"VD042")</f>
        <v>VD042</v>
      </c>
      <c r="I1255" s="1">
        <f>IFERROR(__xludf.DUMMYFUNCTION("""COMPUTED_VALUE"""),6.0)</f>
        <v>6</v>
      </c>
      <c r="J1255" s="1">
        <f>IFERROR(__xludf.DUMMYFUNCTION("""COMPUTED_VALUE"""),166.28)</f>
        <v>166.28</v>
      </c>
      <c r="K1255" s="1">
        <f>IFERROR(__xludf.DUMMYFUNCTION("""COMPUTED_VALUE"""),166.28)</f>
        <v>166.28</v>
      </c>
    </row>
    <row r="1256">
      <c r="A1256" s="1">
        <f>IFERROR(__xludf.DUMMYFUNCTION("""COMPUTED_VALUE"""),1000.0)</f>
        <v>1000</v>
      </c>
      <c r="B1256" s="1">
        <f>IFERROR(__xludf.DUMMYFUNCTION("""COMPUTED_VALUE"""),184374.0)</f>
        <v>184374</v>
      </c>
      <c r="C1256" s="1">
        <f>IFERROR(__xludf.DUMMYFUNCTION("""COMPUTED_VALUE"""),2026.0)</f>
        <v>2026</v>
      </c>
      <c r="D1256" s="1">
        <f>IFERROR(__xludf.DUMMYFUNCTION("""COMPUTED_VALUE"""),46129.0)</f>
        <v>46129</v>
      </c>
      <c r="E1256" s="1" t="str">
        <f>IFERROR(__xludf.DUMMYFUNCTION("""COMPUTED_VALUE"""),"VF")</f>
        <v>VF</v>
      </c>
      <c r="F1256" s="1">
        <f>IFERROR(__xludf.DUMMYFUNCTION("""COMPUTED_VALUE"""),2.0)</f>
        <v>2</v>
      </c>
      <c r="G1256" s="1" t="str">
        <f>IFERROR(__xludf.DUMMYFUNCTION("""COMPUTED_VALUE"""),"PR016")</f>
        <v>PR016</v>
      </c>
      <c r="H1256" s="1" t="str">
        <f>IFERROR(__xludf.DUMMYFUNCTION("""COMPUTED_VALUE"""),"VD048")</f>
        <v>VD048</v>
      </c>
      <c r="I1256" s="1">
        <f>IFERROR(__xludf.DUMMYFUNCTION("""COMPUTED_VALUE"""),5.0)</f>
        <v>5</v>
      </c>
      <c r="J1256" s="1">
        <f>IFERROR(__xludf.DUMMYFUNCTION("""COMPUTED_VALUE"""),132.09)</f>
        <v>132.09</v>
      </c>
      <c r="K1256" s="1">
        <f>IFERROR(__xludf.DUMMYFUNCTION("""COMPUTED_VALUE"""),132.09)</f>
        <v>132.09</v>
      </c>
    </row>
    <row r="1257">
      <c r="A1257" s="1">
        <f>IFERROR(__xludf.DUMMYFUNCTION("""COMPUTED_VALUE"""),1000.0)</f>
        <v>1000</v>
      </c>
      <c r="B1257" s="1">
        <f>IFERROR(__xludf.DUMMYFUNCTION("""COMPUTED_VALUE"""),184374.0)</f>
        <v>184374</v>
      </c>
      <c r="C1257" s="1">
        <f>IFERROR(__xludf.DUMMYFUNCTION("""COMPUTED_VALUE"""),2026.0)</f>
        <v>2026</v>
      </c>
      <c r="D1257" s="1">
        <f>IFERROR(__xludf.DUMMYFUNCTION("""COMPUTED_VALUE"""),46128.0)</f>
        <v>46128</v>
      </c>
      <c r="E1257" s="1" t="str">
        <f>IFERROR(__xludf.DUMMYFUNCTION("""COMPUTED_VALUE"""),"VF")</f>
        <v>VF</v>
      </c>
      <c r="F1257" s="1">
        <f>IFERROR(__xludf.DUMMYFUNCTION("""COMPUTED_VALUE"""),3.0)</f>
        <v>3</v>
      </c>
      <c r="G1257" s="1" t="str">
        <f>IFERROR(__xludf.DUMMYFUNCTION("""COMPUTED_VALUE"""),"PR002")</f>
        <v>PR002</v>
      </c>
      <c r="H1257" s="1" t="str">
        <f>IFERROR(__xludf.DUMMYFUNCTION("""COMPUTED_VALUE"""),"VD025")</f>
        <v>VD025</v>
      </c>
      <c r="I1257" s="1">
        <f>IFERROR(__xludf.DUMMYFUNCTION("""COMPUTED_VALUE"""),18.0)</f>
        <v>18</v>
      </c>
      <c r="J1257" s="1">
        <f>IFERROR(__xludf.DUMMYFUNCTION("""COMPUTED_VALUE"""),1295.95)</f>
        <v>1295.95</v>
      </c>
      <c r="K1257" s="1">
        <f>IFERROR(__xludf.DUMMYFUNCTION("""COMPUTED_VALUE"""),1295.95)</f>
        <v>1295.95</v>
      </c>
    </row>
    <row r="1258">
      <c r="A1258" s="1">
        <f>IFERROR(__xludf.DUMMYFUNCTION("""COMPUTED_VALUE"""),2000.0)</f>
        <v>2000</v>
      </c>
      <c r="B1258" s="1">
        <f>IFERROR(__xludf.DUMMYFUNCTION("""COMPUTED_VALUE"""),184375.0)</f>
        <v>184375</v>
      </c>
      <c r="C1258" s="1">
        <f>IFERROR(__xludf.DUMMYFUNCTION("""COMPUTED_VALUE"""),2026.0)</f>
        <v>2026</v>
      </c>
      <c r="D1258" s="1">
        <f>IFERROR(__xludf.DUMMYFUNCTION("""COMPUTED_VALUE"""),46128.0)</f>
        <v>46128</v>
      </c>
      <c r="E1258" s="1" t="str">
        <f>IFERROR(__xludf.DUMMYFUNCTION("""COMPUTED_VALUE"""),"VF")</f>
        <v>VF</v>
      </c>
      <c r="F1258" s="1">
        <f>IFERROR(__xludf.DUMMYFUNCTION("""COMPUTED_VALUE"""),1.0)</f>
        <v>1</v>
      </c>
      <c r="G1258" s="1" t="str">
        <f>IFERROR(__xludf.DUMMYFUNCTION("""COMPUTED_VALUE"""),"PR039")</f>
        <v>PR039</v>
      </c>
      <c r="H1258" s="1" t="str">
        <f>IFERROR(__xludf.DUMMYFUNCTION("""COMPUTED_VALUE"""),"VD046")</f>
        <v>VD046</v>
      </c>
      <c r="I1258" s="1">
        <f>IFERROR(__xludf.DUMMYFUNCTION("""COMPUTED_VALUE"""),8.0)</f>
        <v>8</v>
      </c>
      <c r="J1258" s="1">
        <f>IFERROR(__xludf.DUMMYFUNCTION("""COMPUTED_VALUE"""),1214.72)</f>
        <v>1214.72</v>
      </c>
      <c r="K1258" s="1">
        <f>IFERROR(__xludf.DUMMYFUNCTION("""COMPUTED_VALUE"""),1214.72)</f>
        <v>1214.72</v>
      </c>
    </row>
    <row r="1259">
      <c r="A1259" s="1">
        <f>IFERROR(__xludf.DUMMYFUNCTION("""COMPUTED_VALUE"""),1000.0)</f>
        <v>1000</v>
      </c>
      <c r="B1259" s="1">
        <f>IFERROR(__xludf.DUMMYFUNCTION("""COMPUTED_VALUE"""),184375.0)</f>
        <v>184375</v>
      </c>
      <c r="C1259" s="1">
        <f>IFERROR(__xludf.DUMMYFUNCTION("""COMPUTED_VALUE"""),2026.0)</f>
        <v>2026</v>
      </c>
      <c r="D1259" s="1">
        <f>IFERROR(__xludf.DUMMYFUNCTION("""COMPUTED_VALUE"""),46128.0)</f>
        <v>46128</v>
      </c>
      <c r="E1259" s="1" t="str">
        <f>IFERROR(__xludf.DUMMYFUNCTION("""COMPUTED_VALUE"""),"VF")</f>
        <v>VF</v>
      </c>
      <c r="F1259" s="1">
        <f>IFERROR(__xludf.DUMMYFUNCTION("""COMPUTED_VALUE"""),2.0)</f>
        <v>2</v>
      </c>
      <c r="G1259" s="1" t="str">
        <f>IFERROR(__xludf.DUMMYFUNCTION("""COMPUTED_VALUE"""),"PR020")</f>
        <v>PR020</v>
      </c>
      <c r="H1259" s="1" t="str">
        <f>IFERROR(__xludf.DUMMYFUNCTION("""COMPUTED_VALUE"""),"VD017")</f>
        <v>VD017</v>
      </c>
      <c r="I1259" s="1">
        <f>IFERROR(__xludf.DUMMYFUNCTION("""COMPUTED_VALUE"""),8.0)</f>
        <v>8</v>
      </c>
      <c r="J1259" s="1">
        <f>IFERROR(__xludf.DUMMYFUNCTION("""COMPUTED_VALUE"""),2423.19)</f>
        <v>2423.19</v>
      </c>
      <c r="K1259" s="1">
        <f>IFERROR(__xludf.DUMMYFUNCTION("""COMPUTED_VALUE"""),2423.19)</f>
        <v>2423.19</v>
      </c>
    </row>
    <row r="1260">
      <c r="A1260" s="1">
        <f>IFERROR(__xludf.DUMMYFUNCTION("""COMPUTED_VALUE"""),1000.0)</f>
        <v>1000</v>
      </c>
      <c r="B1260" s="1">
        <f>IFERROR(__xludf.DUMMYFUNCTION("""COMPUTED_VALUE"""),184376.0)</f>
        <v>184376</v>
      </c>
      <c r="C1260" s="1">
        <f>IFERROR(__xludf.DUMMYFUNCTION("""COMPUTED_VALUE"""),2026.0)</f>
        <v>2026</v>
      </c>
      <c r="D1260" s="1">
        <f>IFERROR(__xludf.DUMMYFUNCTION("""COMPUTED_VALUE"""),46128.0)</f>
        <v>46128</v>
      </c>
      <c r="E1260" s="1" t="str">
        <f>IFERROR(__xludf.DUMMYFUNCTION("""COMPUTED_VALUE"""),"VF")</f>
        <v>VF</v>
      </c>
      <c r="F1260" s="1">
        <f>IFERROR(__xludf.DUMMYFUNCTION("""COMPUTED_VALUE"""),1.0)</f>
        <v>1</v>
      </c>
      <c r="G1260" s="1" t="str">
        <f>IFERROR(__xludf.DUMMYFUNCTION("""COMPUTED_VALUE"""),"PR050")</f>
        <v>PR050</v>
      </c>
      <c r="H1260" s="1" t="str">
        <f>IFERROR(__xludf.DUMMYFUNCTION("""COMPUTED_VALUE"""),"VD028")</f>
        <v>VD028</v>
      </c>
      <c r="I1260" s="1">
        <f>IFERROR(__xludf.DUMMYFUNCTION("""COMPUTED_VALUE"""),10.0)</f>
        <v>10</v>
      </c>
      <c r="J1260" s="1">
        <f>IFERROR(__xludf.DUMMYFUNCTION("""COMPUTED_VALUE"""),345.45)</f>
        <v>345.45</v>
      </c>
      <c r="K1260" s="1">
        <f>IFERROR(__xludf.DUMMYFUNCTION("""COMPUTED_VALUE"""),345.45)</f>
        <v>345.45</v>
      </c>
    </row>
    <row r="1261">
      <c r="A1261" s="1">
        <f>IFERROR(__xludf.DUMMYFUNCTION("""COMPUTED_VALUE"""),1000.0)</f>
        <v>1000</v>
      </c>
      <c r="B1261" s="1">
        <f>IFERROR(__xludf.DUMMYFUNCTION("""COMPUTED_VALUE"""),184377.0)</f>
        <v>184377</v>
      </c>
      <c r="C1261" s="1">
        <f>IFERROR(__xludf.DUMMYFUNCTION("""COMPUTED_VALUE"""),2026.0)</f>
        <v>2026</v>
      </c>
      <c r="D1261" s="1">
        <f>IFERROR(__xludf.DUMMYFUNCTION("""COMPUTED_VALUE"""),46128.0)</f>
        <v>46128</v>
      </c>
      <c r="E1261" s="1" t="str">
        <f>IFERROR(__xludf.DUMMYFUNCTION("""COMPUTED_VALUE"""),"VF")</f>
        <v>VF</v>
      </c>
      <c r="F1261" s="1">
        <f>IFERROR(__xludf.DUMMYFUNCTION("""COMPUTED_VALUE"""),1.0)</f>
        <v>1</v>
      </c>
      <c r="G1261" s="1" t="str">
        <f>IFERROR(__xludf.DUMMYFUNCTION("""COMPUTED_VALUE"""),"PR018")</f>
        <v>PR018</v>
      </c>
      <c r="H1261" s="1" t="str">
        <f>IFERROR(__xludf.DUMMYFUNCTION("""COMPUTED_VALUE"""),"VD044")</f>
        <v>VD044</v>
      </c>
      <c r="I1261" s="1">
        <f>IFERROR(__xludf.DUMMYFUNCTION("""COMPUTED_VALUE"""),2.0)</f>
        <v>2</v>
      </c>
      <c r="J1261" s="1">
        <f>IFERROR(__xludf.DUMMYFUNCTION("""COMPUTED_VALUE"""),67.12)</f>
        <v>67.12</v>
      </c>
      <c r="K1261" s="1">
        <f>IFERROR(__xludf.DUMMYFUNCTION("""COMPUTED_VALUE"""),67.12)</f>
        <v>67.12</v>
      </c>
    </row>
    <row r="1262">
      <c r="A1262" s="1">
        <f>IFERROR(__xludf.DUMMYFUNCTION("""COMPUTED_VALUE"""),1000.0)</f>
        <v>1000</v>
      </c>
      <c r="B1262" s="1">
        <f>IFERROR(__xludf.DUMMYFUNCTION("""COMPUTED_VALUE"""),184378.0)</f>
        <v>184378</v>
      </c>
      <c r="C1262" s="1">
        <f>IFERROR(__xludf.DUMMYFUNCTION("""COMPUTED_VALUE"""),2026.0)</f>
        <v>2026</v>
      </c>
      <c r="D1262" s="1">
        <f>IFERROR(__xludf.DUMMYFUNCTION("""COMPUTED_VALUE"""),46128.0)</f>
        <v>46128</v>
      </c>
      <c r="E1262" s="1" t="str">
        <f>IFERROR(__xludf.DUMMYFUNCTION("""COMPUTED_VALUE"""),"VF")</f>
        <v>VF</v>
      </c>
      <c r="F1262" s="1">
        <f>IFERROR(__xludf.DUMMYFUNCTION("""COMPUTED_VALUE"""),1.0)</f>
        <v>1</v>
      </c>
      <c r="G1262" s="1" t="str">
        <f>IFERROR(__xludf.DUMMYFUNCTION("""COMPUTED_VALUE"""),"PR013")</f>
        <v>PR013</v>
      </c>
      <c r="H1262" s="1" t="str">
        <f>IFERROR(__xludf.DUMMYFUNCTION("""COMPUTED_VALUE"""),"VD035")</f>
        <v>VD035</v>
      </c>
      <c r="I1262" s="1">
        <f>IFERROR(__xludf.DUMMYFUNCTION("""COMPUTED_VALUE"""),9.0)</f>
        <v>9</v>
      </c>
      <c r="J1262" s="1">
        <f>IFERROR(__xludf.DUMMYFUNCTION("""COMPUTED_VALUE"""),395.01)</f>
        <v>395.01</v>
      </c>
      <c r="K1262" s="1">
        <f>IFERROR(__xludf.DUMMYFUNCTION("""COMPUTED_VALUE"""),395.01)</f>
        <v>395.01</v>
      </c>
    </row>
    <row r="1263">
      <c r="A1263" s="1">
        <f>IFERROR(__xludf.DUMMYFUNCTION("""COMPUTED_VALUE"""),1000.0)</f>
        <v>1000</v>
      </c>
      <c r="B1263" s="1">
        <f>IFERROR(__xludf.DUMMYFUNCTION("""COMPUTED_VALUE"""),184379.0)</f>
        <v>184379</v>
      </c>
      <c r="C1263" s="1">
        <f>IFERROR(__xludf.DUMMYFUNCTION("""COMPUTED_VALUE"""),2026.0)</f>
        <v>2026</v>
      </c>
      <c r="D1263" s="1">
        <f>IFERROR(__xludf.DUMMYFUNCTION("""COMPUTED_VALUE"""),46128.0)</f>
        <v>46128</v>
      </c>
      <c r="E1263" s="1" t="str">
        <f>IFERROR(__xludf.DUMMYFUNCTION("""COMPUTED_VALUE"""),"VF")</f>
        <v>VF</v>
      </c>
      <c r="F1263" s="1">
        <f>IFERROR(__xludf.DUMMYFUNCTION("""COMPUTED_VALUE"""),1.0)</f>
        <v>1</v>
      </c>
      <c r="G1263" s="1" t="str">
        <f>IFERROR(__xludf.DUMMYFUNCTION("""COMPUTED_VALUE"""),"PR059")</f>
        <v>PR059</v>
      </c>
      <c r="H1263" s="1" t="str">
        <f>IFERROR(__xludf.DUMMYFUNCTION("""COMPUTED_VALUE"""),"VD047")</f>
        <v>VD047</v>
      </c>
      <c r="I1263" s="1">
        <f>IFERROR(__xludf.DUMMYFUNCTION("""COMPUTED_VALUE"""),12.0)</f>
        <v>12</v>
      </c>
      <c r="J1263" s="1">
        <f>IFERROR(__xludf.DUMMYFUNCTION("""COMPUTED_VALUE"""),2311.2)</f>
        <v>2311.2</v>
      </c>
      <c r="K1263" s="1">
        <f>IFERROR(__xludf.DUMMYFUNCTION("""COMPUTED_VALUE"""),2311.2)</f>
        <v>2311.2</v>
      </c>
    </row>
    <row r="1264">
      <c r="A1264" s="1">
        <f>IFERROR(__xludf.DUMMYFUNCTION("""COMPUTED_VALUE"""),1000.0)</f>
        <v>1000</v>
      </c>
      <c r="B1264" s="1">
        <f>IFERROR(__xludf.DUMMYFUNCTION("""COMPUTED_VALUE"""),184379.0)</f>
        <v>184379</v>
      </c>
      <c r="C1264" s="1">
        <f>IFERROR(__xludf.DUMMYFUNCTION("""COMPUTED_VALUE"""),2026.0)</f>
        <v>2026</v>
      </c>
      <c r="D1264" s="1">
        <f>IFERROR(__xludf.DUMMYFUNCTION("""COMPUTED_VALUE"""),46128.0)</f>
        <v>46128</v>
      </c>
      <c r="E1264" s="1" t="str">
        <f>IFERROR(__xludf.DUMMYFUNCTION("""COMPUTED_VALUE"""),"VF")</f>
        <v>VF</v>
      </c>
      <c r="F1264" s="1">
        <f>IFERROR(__xludf.DUMMYFUNCTION("""COMPUTED_VALUE"""),2.0)</f>
        <v>2</v>
      </c>
      <c r="G1264" s="1" t="str">
        <f>IFERROR(__xludf.DUMMYFUNCTION("""COMPUTED_VALUE"""),"PR027")</f>
        <v>PR027</v>
      </c>
      <c r="H1264" s="1" t="str">
        <f>IFERROR(__xludf.DUMMYFUNCTION("""COMPUTED_VALUE"""),"VD026")</f>
        <v>VD026</v>
      </c>
      <c r="I1264" s="1">
        <f>IFERROR(__xludf.DUMMYFUNCTION("""COMPUTED_VALUE"""),1.0)</f>
        <v>1</v>
      </c>
      <c r="J1264" s="1">
        <f>IFERROR(__xludf.DUMMYFUNCTION("""COMPUTED_VALUE"""),127.2)</f>
        <v>127.2</v>
      </c>
      <c r="K1264" s="1">
        <f>IFERROR(__xludf.DUMMYFUNCTION("""COMPUTED_VALUE"""),127.2)</f>
        <v>127.2</v>
      </c>
    </row>
    <row r="1265">
      <c r="A1265" s="1">
        <f>IFERROR(__xludf.DUMMYFUNCTION("""COMPUTED_VALUE"""),1000.0)</f>
        <v>1000</v>
      </c>
      <c r="B1265" s="1">
        <f>IFERROR(__xludf.DUMMYFUNCTION("""COMPUTED_VALUE"""),184379.0)</f>
        <v>184379</v>
      </c>
      <c r="C1265" s="1">
        <f>IFERROR(__xludf.DUMMYFUNCTION("""COMPUTED_VALUE"""),2026.0)</f>
        <v>2026</v>
      </c>
      <c r="D1265" s="1">
        <f>IFERROR(__xludf.DUMMYFUNCTION("""COMPUTED_VALUE"""),46128.0)</f>
        <v>46128</v>
      </c>
      <c r="E1265" s="1" t="str">
        <f>IFERROR(__xludf.DUMMYFUNCTION("""COMPUTED_VALUE"""),"VF")</f>
        <v>VF</v>
      </c>
      <c r="F1265" s="1">
        <f>IFERROR(__xludf.DUMMYFUNCTION("""COMPUTED_VALUE"""),3.0)</f>
        <v>3</v>
      </c>
      <c r="G1265" s="1" t="str">
        <f>IFERROR(__xludf.DUMMYFUNCTION("""COMPUTED_VALUE"""),"PR011")</f>
        <v>PR011</v>
      </c>
      <c r="H1265" s="1" t="str">
        <f>IFERROR(__xludf.DUMMYFUNCTION("""COMPUTED_VALUE"""),"VD026")</f>
        <v>VD026</v>
      </c>
      <c r="I1265" s="1">
        <f>IFERROR(__xludf.DUMMYFUNCTION("""COMPUTED_VALUE"""),6.0)</f>
        <v>6</v>
      </c>
      <c r="J1265" s="1">
        <f>IFERROR(__xludf.DUMMYFUNCTION("""COMPUTED_VALUE"""),284.21)</f>
        <v>284.21</v>
      </c>
      <c r="K1265" s="1">
        <f>IFERROR(__xludf.DUMMYFUNCTION("""COMPUTED_VALUE"""),284.21)</f>
        <v>284.21</v>
      </c>
    </row>
    <row r="1266">
      <c r="A1266" s="1">
        <f>IFERROR(__xludf.DUMMYFUNCTION("""COMPUTED_VALUE"""),1000.0)</f>
        <v>1000</v>
      </c>
      <c r="B1266" s="1">
        <f>IFERROR(__xludf.DUMMYFUNCTION("""COMPUTED_VALUE"""),184380.0)</f>
        <v>184380</v>
      </c>
      <c r="C1266" s="1">
        <f>IFERROR(__xludf.DUMMYFUNCTION("""COMPUTED_VALUE"""),2026.0)</f>
        <v>2026</v>
      </c>
      <c r="D1266" s="1">
        <f>IFERROR(__xludf.DUMMYFUNCTION("""COMPUTED_VALUE"""),46128.0)</f>
        <v>46128</v>
      </c>
      <c r="E1266" s="1" t="str">
        <f>IFERROR(__xludf.DUMMYFUNCTION("""COMPUTED_VALUE"""),"VF")</f>
        <v>VF</v>
      </c>
      <c r="F1266" s="1">
        <f>IFERROR(__xludf.DUMMYFUNCTION("""COMPUTED_VALUE"""),1.0)</f>
        <v>1</v>
      </c>
      <c r="G1266" s="1" t="str">
        <f>IFERROR(__xludf.DUMMYFUNCTION("""COMPUTED_VALUE"""),"PR017")</f>
        <v>PR017</v>
      </c>
      <c r="H1266" s="1" t="str">
        <f>IFERROR(__xludf.DUMMYFUNCTION("""COMPUTED_VALUE"""),"VD033")</f>
        <v>VD033</v>
      </c>
      <c r="I1266" s="1">
        <f>IFERROR(__xludf.DUMMYFUNCTION("""COMPUTED_VALUE"""),6.0)</f>
        <v>6</v>
      </c>
      <c r="J1266" s="1">
        <f>IFERROR(__xludf.DUMMYFUNCTION("""COMPUTED_VALUE"""),188.37)</f>
        <v>188.37</v>
      </c>
      <c r="K1266" s="1">
        <f>IFERROR(__xludf.DUMMYFUNCTION("""COMPUTED_VALUE"""),188.37)</f>
        <v>188.37</v>
      </c>
    </row>
    <row r="1267">
      <c r="A1267" s="1">
        <f>IFERROR(__xludf.DUMMYFUNCTION("""COMPUTED_VALUE"""),1000.0)</f>
        <v>1000</v>
      </c>
      <c r="B1267" s="1">
        <f>IFERROR(__xludf.DUMMYFUNCTION("""COMPUTED_VALUE"""),184381.0)</f>
        <v>184381</v>
      </c>
      <c r="C1267" s="1">
        <f>IFERROR(__xludf.DUMMYFUNCTION("""COMPUTED_VALUE"""),2026.0)</f>
        <v>2026</v>
      </c>
      <c r="D1267" s="1">
        <f>IFERROR(__xludf.DUMMYFUNCTION("""COMPUTED_VALUE"""),46128.0)</f>
        <v>46128</v>
      </c>
      <c r="E1267" s="1" t="str">
        <f>IFERROR(__xludf.DUMMYFUNCTION("""COMPUTED_VALUE"""),"VF")</f>
        <v>VF</v>
      </c>
      <c r="F1267" s="1">
        <f>IFERROR(__xludf.DUMMYFUNCTION("""COMPUTED_VALUE"""),1.0)</f>
        <v>1</v>
      </c>
      <c r="G1267" s="1" t="str">
        <f>IFERROR(__xludf.DUMMYFUNCTION("""COMPUTED_VALUE"""),"PR003")</f>
        <v>PR003</v>
      </c>
      <c r="H1267" s="1" t="str">
        <f>IFERROR(__xludf.DUMMYFUNCTION("""COMPUTED_VALUE"""),"VD015")</f>
        <v>VD015</v>
      </c>
      <c r="I1267" s="1">
        <f>IFERROR(__xludf.DUMMYFUNCTION("""COMPUTED_VALUE"""),3.0)</f>
        <v>3</v>
      </c>
      <c r="J1267" s="1">
        <f>IFERROR(__xludf.DUMMYFUNCTION("""COMPUTED_VALUE"""),212.7)</f>
        <v>212.7</v>
      </c>
      <c r="K1267" s="1">
        <f>IFERROR(__xludf.DUMMYFUNCTION("""COMPUTED_VALUE"""),212.7)</f>
        <v>212.7</v>
      </c>
    </row>
    <row r="1268">
      <c r="A1268" s="1">
        <f>IFERROR(__xludf.DUMMYFUNCTION("""COMPUTED_VALUE"""),1000.0)</f>
        <v>1000</v>
      </c>
      <c r="B1268" s="1">
        <f>IFERROR(__xludf.DUMMYFUNCTION("""COMPUTED_VALUE"""),184381.0)</f>
        <v>184381</v>
      </c>
      <c r="C1268" s="1">
        <f>IFERROR(__xludf.DUMMYFUNCTION("""COMPUTED_VALUE"""),2026.0)</f>
        <v>2026</v>
      </c>
      <c r="D1268" s="1">
        <f>IFERROR(__xludf.DUMMYFUNCTION("""COMPUTED_VALUE"""),46127.0)</f>
        <v>46127</v>
      </c>
      <c r="E1268" s="1" t="str">
        <f>IFERROR(__xludf.DUMMYFUNCTION("""COMPUTED_VALUE"""),"VF")</f>
        <v>VF</v>
      </c>
      <c r="F1268" s="1">
        <f>IFERROR(__xludf.DUMMYFUNCTION("""COMPUTED_VALUE"""),2.0)</f>
        <v>2</v>
      </c>
      <c r="G1268" s="1" t="str">
        <f>IFERROR(__xludf.DUMMYFUNCTION("""COMPUTED_VALUE"""),"PR017")</f>
        <v>PR017</v>
      </c>
      <c r="H1268" s="1" t="str">
        <f>IFERROR(__xludf.DUMMYFUNCTION("""COMPUTED_VALUE"""),"VD017")</f>
        <v>VD017</v>
      </c>
      <c r="I1268" s="1">
        <f>IFERROR(__xludf.DUMMYFUNCTION("""COMPUTED_VALUE"""),10.0)</f>
        <v>10</v>
      </c>
      <c r="J1268" s="1">
        <f>IFERROR(__xludf.DUMMYFUNCTION("""COMPUTED_VALUE"""),307.97)</f>
        <v>307.97</v>
      </c>
      <c r="K1268" s="1">
        <f>IFERROR(__xludf.DUMMYFUNCTION("""COMPUTED_VALUE"""),307.97)</f>
        <v>307.97</v>
      </c>
    </row>
    <row r="1269">
      <c r="A1269" s="1">
        <f>IFERROR(__xludf.DUMMYFUNCTION("""COMPUTED_VALUE"""),2000.0)</f>
        <v>2000</v>
      </c>
      <c r="B1269" s="1">
        <f>IFERROR(__xludf.DUMMYFUNCTION("""COMPUTED_VALUE"""),184381.0)</f>
        <v>184381</v>
      </c>
      <c r="C1269" s="1">
        <f>IFERROR(__xludf.DUMMYFUNCTION("""COMPUTED_VALUE"""),2026.0)</f>
        <v>2026</v>
      </c>
      <c r="D1269" s="1">
        <f>IFERROR(__xludf.DUMMYFUNCTION("""COMPUTED_VALUE"""),46127.0)</f>
        <v>46127</v>
      </c>
      <c r="E1269" s="1" t="str">
        <f>IFERROR(__xludf.DUMMYFUNCTION("""COMPUTED_VALUE"""),"VF")</f>
        <v>VF</v>
      </c>
      <c r="F1269" s="1">
        <f>IFERROR(__xludf.DUMMYFUNCTION("""COMPUTED_VALUE"""),3.0)</f>
        <v>3</v>
      </c>
      <c r="G1269" s="1" t="str">
        <f>IFERROR(__xludf.DUMMYFUNCTION("""COMPUTED_VALUE"""),"PR011")</f>
        <v>PR011</v>
      </c>
      <c r="H1269" s="1" t="str">
        <f>IFERROR(__xludf.DUMMYFUNCTION("""COMPUTED_VALUE"""),"VD037")</f>
        <v>VD037</v>
      </c>
      <c r="I1269" s="1">
        <f>IFERROR(__xludf.DUMMYFUNCTION("""COMPUTED_VALUE"""),10.0)</f>
        <v>10</v>
      </c>
      <c r="J1269" s="1">
        <f>IFERROR(__xludf.DUMMYFUNCTION("""COMPUTED_VALUE"""),492.45)</f>
        <v>492.45</v>
      </c>
      <c r="K1269" s="1">
        <f>IFERROR(__xludf.DUMMYFUNCTION("""COMPUTED_VALUE"""),492.45)</f>
        <v>492.45</v>
      </c>
    </row>
    <row r="1270">
      <c r="A1270" s="1">
        <f>IFERROR(__xludf.DUMMYFUNCTION("""COMPUTED_VALUE"""),1000.0)</f>
        <v>1000</v>
      </c>
      <c r="B1270" s="1">
        <f>IFERROR(__xludf.DUMMYFUNCTION("""COMPUTED_VALUE"""),184382.0)</f>
        <v>184382</v>
      </c>
      <c r="C1270" s="1">
        <f>IFERROR(__xludf.DUMMYFUNCTION("""COMPUTED_VALUE"""),2026.0)</f>
        <v>2026</v>
      </c>
      <c r="D1270" s="1">
        <f>IFERROR(__xludf.DUMMYFUNCTION("""COMPUTED_VALUE"""),46127.0)</f>
        <v>46127</v>
      </c>
      <c r="E1270" s="1" t="str">
        <f>IFERROR(__xludf.DUMMYFUNCTION("""COMPUTED_VALUE"""),"VF")</f>
        <v>VF</v>
      </c>
      <c r="F1270" s="1">
        <f>IFERROR(__xludf.DUMMYFUNCTION("""COMPUTED_VALUE"""),1.0)</f>
        <v>1</v>
      </c>
      <c r="G1270" s="1" t="str">
        <f>IFERROR(__xludf.DUMMYFUNCTION("""COMPUTED_VALUE"""),"PR031")</f>
        <v>PR031</v>
      </c>
      <c r="H1270" s="1" t="str">
        <f>IFERROR(__xludf.DUMMYFUNCTION("""COMPUTED_VALUE"""),"VD024")</f>
        <v>VD024</v>
      </c>
      <c r="I1270" s="1">
        <f>IFERROR(__xludf.DUMMYFUNCTION("""COMPUTED_VALUE"""),4.0)</f>
        <v>4</v>
      </c>
      <c r="J1270" s="1">
        <f>IFERROR(__xludf.DUMMYFUNCTION("""COMPUTED_VALUE"""),1019.2)</f>
        <v>1019.2</v>
      </c>
      <c r="K1270" s="1">
        <f>IFERROR(__xludf.DUMMYFUNCTION("""COMPUTED_VALUE"""),1019.2)</f>
        <v>1019.2</v>
      </c>
    </row>
    <row r="1271">
      <c r="A1271" s="1">
        <f>IFERROR(__xludf.DUMMYFUNCTION("""COMPUTED_VALUE"""),1000.0)</f>
        <v>1000</v>
      </c>
      <c r="B1271" s="1">
        <f>IFERROR(__xludf.DUMMYFUNCTION("""COMPUTED_VALUE"""),184382.0)</f>
        <v>184382</v>
      </c>
      <c r="C1271" s="1">
        <f>IFERROR(__xludf.DUMMYFUNCTION("""COMPUTED_VALUE"""),2026.0)</f>
        <v>2026</v>
      </c>
      <c r="D1271" s="1">
        <f>IFERROR(__xludf.DUMMYFUNCTION("""COMPUTED_VALUE"""),46126.0)</f>
        <v>46126</v>
      </c>
      <c r="E1271" s="1" t="str">
        <f>IFERROR(__xludf.DUMMYFUNCTION("""COMPUTED_VALUE"""),"VF")</f>
        <v>VF</v>
      </c>
      <c r="F1271" s="1">
        <f>IFERROR(__xludf.DUMMYFUNCTION("""COMPUTED_VALUE"""),2.0)</f>
        <v>2</v>
      </c>
      <c r="G1271" s="1" t="str">
        <f>IFERROR(__xludf.DUMMYFUNCTION("""COMPUTED_VALUE"""),"PR011")</f>
        <v>PR011</v>
      </c>
      <c r="H1271" s="1" t="str">
        <f>IFERROR(__xludf.DUMMYFUNCTION("""COMPUTED_VALUE"""),"VD030")</f>
        <v>VD030</v>
      </c>
      <c r="I1271" s="1">
        <f>IFERROR(__xludf.DUMMYFUNCTION("""COMPUTED_VALUE"""),16.0)</f>
        <v>16</v>
      </c>
      <c r="J1271" s="1">
        <f>IFERROR(__xludf.DUMMYFUNCTION("""COMPUTED_VALUE"""),825.44)</f>
        <v>825.44</v>
      </c>
      <c r="K1271" s="1">
        <f>IFERROR(__xludf.DUMMYFUNCTION("""COMPUTED_VALUE"""),825.44)</f>
        <v>825.44</v>
      </c>
    </row>
    <row r="1272">
      <c r="A1272" s="1">
        <f>IFERROR(__xludf.DUMMYFUNCTION("""COMPUTED_VALUE"""),2000.0)</f>
        <v>2000</v>
      </c>
      <c r="B1272" s="1">
        <f>IFERROR(__xludf.DUMMYFUNCTION("""COMPUTED_VALUE"""),184382.0)</f>
        <v>184382</v>
      </c>
      <c r="C1272" s="1">
        <f>IFERROR(__xludf.DUMMYFUNCTION("""COMPUTED_VALUE"""),2026.0)</f>
        <v>2026</v>
      </c>
      <c r="D1272" s="1">
        <f>IFERROR(__xludf.DUMMYFUNCTION("""COMPUTED_VALUE"""),46126.0)</f>
        <v>46126</v>
      </c>
      <c r="E1272" s="1" t="str">
        <f>IFERROR(__xludf.DUMMYFUNCTION("""COMPUTED_VALUE"""),"VF")</f>
        <v>VF</v>
      </c>
      <c r="F1272" s="1">
        <f>IFERROR(__xludf.DUMMYFUNCTION("""COMPUTED_VALUE"""),3.0)</f>
        <v>3</v>
      </c>
      <c r="G1272" s="1" t="str">
        <f>IFERROR(__xludf.DUMMYFUNCTION("""COMPUTED_VALUE"""),"PR035")</f>
        <v>PR035</v>
      </c>
      <c r="H1272" s="1" t="str">
        <f>IFERROR(__xludf.DUMMYFUNCTION("""COMPUTED_VALUE"""),"VD025")</f>
        <v>VD025</v>
      </c>
      <c r="I1272" s="1">
        <f>IFERROR(__xludf.DUMMYFUNCTION("""COMPUTED_VALUE"""),9.0)</f>
        <v>9</v>
      </c>
      <c r="J1272" s="1">
        <f>IFERROR(__xludf.DUMMYFUNCTION("""COMPUTED_VALUE"""),888.41)</f>
        <v>888.41</v>
      </c>
      <c r="K1272" s="1">
        <f>IFERROR(__xludf.DUMMYFUNCTION("""COMPUTED_VALUE"""),888.41)</f>
        <v>888.41</v>
      </c>
    </row>
    <row r="1273">
      <c r="A1273" s="1">
        <f>IFERROR(__xludf.DUMMYFUNCTION("""COMPUTED_VALUE"""),1000.0)</f>
        <v>1000</v>
      </c>
      <c r="B1273" s="1">
        <f>IFERROR(__xludf.DUMMYFUNCTION("""COMPUTED_VALUE"""),184383.0)</f>
        <v>184383</v>
      </c>
      <c r="C1273" s="1">
        <f>IFERROR(__xludf.DUMMYFUNCTION("""COMPUTED_VALUE"""),2026.0)</f>
        <v>2026</v>
      </c>
      <c r="D1273" s="1">
        <f>IFERROR(__xludf.DUMMYFUNCTION("""COMPUTED_VALUE"""),46126.0)</f>
        <v>46126</v>
      </c>
      <c r="E1273" s="1" t="str">
        <f>IFERROR(__xludf.DUMMYFUNCTION("""COMPUTED_VALUE"""),"VF")</f>
        <v>VF</v>
      </c>
      <c r="F1273" s="1">
        <f>IFERROR(__xludf.DUMMYFUNCTION("""COMPUTED_VALUE"""),1.0)</f>
        <v>1</v>
      </c>
      <c r="G1273" s="1" t="str">
        <f>IFERROR(__xludf.DUMMYFUNCTION("""COMPUTED_VALUE"""),"PR043")</f>
        <v>PR043</v>
      </c>
      <c r="H1273" s="1" t="str">
        <f>IFERROR(__xludf.DUMMYFUNCTION("""COMPUTED_VALUE"""),"VD030")</f>
        <v>VD030</v>
      </c>
      <c r="I1273" s="1">
        <f>IFERROR(__xludf.DUMMYFUNCTION("""COMPUTED_VALUE"""),20.0)</f>
        <v>20</v>
      </c>
      <c r="J1273" s="1">
        <f>IFERROR(__xludf.DUMMYFUNCTION("""COMPUTED_VALUE"""),1464.5)</f>
        <v>1464.5</v>
      </c>
      <c r="K1273" s="1">
        <f>IFERROR(__xludf.DUMMYFUNCTION("""COMPUTED_VALUE"""),1464.5)</f>
        <v>1464.5</v>
      </c>
    </row>
    <row r="1274">
      <c r="A1274" s="1">
        <f>IFERROR(__xludf.DUMMYFUNCTION("""COMPUTED_VALUE"""),1000.0)</f>
        <v>1000</v>
      </c>
      <c r="B1274" s="1">
        <f>IFERROR(__xludf.DUMMYFUNCTION("""COMPUTED_VALUE"""),184384.0)</f>
        <v>184384</v>
      </c>
      <c r="C1274" s="1">
        <f>IFERROR(__xludf.DUMMYFUNCTION("""COMPUTED_VALUE"""),2026.0)</f>
        <v>2026</v>
      </c>
      <c r="D1274" s="1">
        <f>IFERROR(__xludf.DUMMYFUNCTION("""COMPUTED_VALUE"""),46126.0)</f>
        <v>46126</v>
      </c>
      <c r="E1274" s="1" t="str">
        <f>IFERROR(__xludf.DUMMYFUNCTION("""COMPUTED_VALUE"""),"VF")</f>
        <v>VF</v>
      </c>
      <c r="F1274" s="1">
        <f>IFERROR(__xludf.DUMMYFUNCTION("""COMPUTED_VALUE"""),1.0)</f>
        <v>1</v>
      </c>
      <c r="G1274" s="1" t="str">
        <f>IFERROR(__xludf.DUMMYFUNCTION("""COMPUTED_VALUE"""),"PR060")</f>
        <v>PR060</v>
      </c>
      <c r="H1274" s="1" t="str">
        <f>IFERROR(__xludf.DUMMYFUNCTION("""COMPUTED_VALUE"""),"VD017")</f>
        <v>VD017</v>
      </c>
      <c r="I1274" s="1">
        <f>IFERROR(__xludf.DUMMYFUNCTION("""COMPUTED_VALUE"""),7.0)</f>
        <v>7</v>
      </c>
      <c r="J1274" s="1">
        <f>IFERROR(__xludf.DUMMYFUNCTION("""COMPUTED_VALUE"""),1373.4)</f>
        <v>1373.4</v>
      </c>
      <c r="K1274" s="1">
        <f>IFERROR(__xludf.DUMMYFUNCTION("""COMPUTED_VALUE"""),1373.4)</f>
        <v>1373.4</v>
      </c>
    </row>
    <row r="1275">
      <c r="A1275" s="1">
        <f>IFERROR(__xludf.DUMMYFUNCTION("""COMPUTED_VALUE"""),1000.0)</f>
        <v>1000</v>
      </c>
      <c r="B1275" s="1">
        <f>IFERROR(__xludf.DUMMYFUNCTION("""COMPUTED_VALUE"""),184385.0)</f>
        <v>184385</v>
      </c>
      <c r="C1275" s="1">
        <f>IFERROR(__xludf.DUMMYFUNCTION("""COMPUTED_VALUE"""),2026.0)</f>
        <v>2026</v>
      </c>
      <c r="D1275" s="1">
        <f>IFERROR(__xludf.DUMMYFUNCTION("""COMPUTED_VALUE"""),46126.0)</f>
        <v>46126</v>
      </c>
      <c r="E1275" s="1" t="str">
        <f>IFERROR(__xludf.DUMMYFUNCTION("""COMPUTED_VALUE"""),"VF")</f>
        <v>VF</v>
      </c>
      <c r="F1275" s="1">
        <f>IFERROR(__xludf.DUMMYFUNCTION("""COMPUTED_VALUE"""),1.0)</f>
        <v>1</v>
      </c>
      <c r="G1275" s="1" t="str">
        <f>IFERROR(__xludf.DUMMYFUNCTION("""COMPUTED_VALUE"""),"PR026")</f>
        <v>PR026</v>
      </c>
      <c r="H1275" s="1" t="str">
        <f>IFERROR(__xludf.DUMMYFUNCTION("""COMPUTED_VALUE"""),"VD049")</f>
        <v>VD049</v>
      </c>
      <c r="I1275" s="1">
        <f>IFERROR(__xludf.DUMMYFUNCTION("""COMPUTED_VALUE"""),14.0)</f>
        <v>14</v>
      </c>
      <c r="J1275" s="1">
        <f>IFERROR(__xludf.DUMMYFUNCTION("""COMPUTED_VALUE"""),5094.54)</f>
        <v>5094.54</v>
      </c>
      <c r="K1275" s="1">
        <f>IFERROR(__xludf.DUMMYFUNCTION("""COMPUTED_VALUE"""),5094.54)</f>
        <v>5094.54</v>
      </c>
    </row>
    <row r="1276">
      <c r="A1276" s="1">
        <f>IFERROR(__xludf.DUMMYFUNCTION("""COMPUTED_VALUE"""),2000.0)</f>
        <v>2000</v>
      </c>
      <c r="B1276" s="1">
        <f>IFERROR(__xludf.DUMMYFUNCTION("""COMPUTED_VALUE"""),184385.0)</f>
        <v>184385</v>
      </c>
      <c r="C1276" s="1">
        <f>IFERROR(__xludf.DUMMYFUNCTION("""COMPUTED_VALUE"""),2026.0)</f>
        <v>2026</v>
      </c>
      <c r="D1276" s="1">
        <f>IFERROR(__xludf.DUMMYFUNCTION("""COMPUTED_VALUE"""),46125.0)</f>
        <v>46125</v>
      </c>
      <c r="E1276" s="1" t="str">
        <f>IFERROR(__xludf.DUMMYFUNCTION("""COMPUTED_VALUE"""),"VF")</f>
        <v>VF</v>
      </c>
      <c r="F1276" s="1">
        <f>IFERROR(__xludf.DUMMYFUNCTION("""COMPUTED_VALUE"""),2.0)</f>
        <v>2</v>
      </c>
      <c r="G1276" s="1" t="str">
        <f>IFERROR(__xludf.DUMMYFUNCTION("""COMPUTED_VALUE"""),"PR040")</f>
        <v>PR040</v>
      </c>
      <c r="H1276" s="1" t="str">
        <f>IFERROR(__xludf.DUMMYFUNCTION("""COMPUTED_VALUE"""),"VD026")</f>
        <v>VD026</v>
      </c>
      <c r="I1276" s="1">
        <f>IFERROR(__xludf.DUMMYFUNCTION("""COMPUTED_VALUE"""),1.0)</f>
        <v>1</v>
      </c>
      <c r="J1276" s="1">
        <f>IFERROR(__xludf.DUMMYFUNCTION("""COMPUTED_VALUE"""),74.2)</f>
        <v>74.2</v>
      </c>
      <c r="K1276" s="1">
        <f>IFERROR(__xludf.DUMMYFUNCTION("""COMPUTED_VALUE"""),74.2)</f>
        <v>74.2</v>
      </c>
    </row>
    <row r="1277">
      <c r="A1277" s="1">
        <f>IFERROR(__xludf.DUMMYFUNCTION("""COMPUTED_VALUE"""),1000.0)</f>
        <v>1000</v>
      </c>
      <c r="B1277" s="1">
        <f>IFERROR(__xludf.DUMMYFUNCTION("""COMPUTED_VALUE"""),184386.0)</f>
        <v>184386</v>
      </c>
      <c r="C1277" s="1">
        <f>IFERROR(__xludf.DUMMYFUNCTION("""COMPUTED_VALUE"""),2026.0)</f>
        <v>2026</v>
      </c>
      <c r="D1277" s="1">
        <f>IFERROR(__xludf.DUMMYFUNCTION("""COMPUTED_VALUE"""),46125.0)</f>
        <v>46125</v>
      </c>
      <c r="E1277" s="1" t="str">
        <f>IFERROR(__xludf.DUMMYFUNCTION("""COMPUTED_VALUE"""),"VF")</f>
        <v>VF</v>
      </c>
      <c r="F1277" s="1">
        <f>IFERROR(__xludf.DUMMYFUNCTION("""COMPUTED_VALUE"""),1.0)</f>
        <v>1</v>
      </c>
      <c r="G1277" s="1" t="str">
        <f>IFERROR(__xludf.DUMMYFUNCTION("""COMPUTED_VALUE"""),"PR029")</f>
        <v>PR029</v>
      </c>
      <c r="H1277" s="1" t="str">
        <f>IFERROR(__xludf.DUMMYFUNCTION("""COMPUTED_VALUE"""),"VD024")</f>
        <v>VD024</v>
      </c>
      <c r="I1277" s="1">
        <f>IFERROR(__xludf.DUMMYFUNCTION("""COMPUTED_VALUE"""),9.0)</f>
        <v>9</v>
      </c>
      <c r="J1277" s="1">
        <f>IFERROR(__xludf.DUMMYFUNCTION("""COMPUTED_VALUE"""),2363.85)</f>
        <v>2363.85</v>
      </c>
      <c r="K1277" s="1">
        <f>IFERROR(__xludf.DUMMYFUNCTION("""COMPUTED_VALUE"""),2363.85)</f>
        <v>2363.85</v>
      </c>
    </row>
    <row r="1278">
      <c r="A1278" s="1">
        <f>IFERROR(__xludf.DUMMYFUNCTION("""COMPUTED_VALUE"""),1000.0)</f>
        <v>1000</v>
      </c>
      <c r="B1278" s="1">
        <f>IFERROR(__xludf.DUMMYFUNCTION("""COMPUTED_VALUE"""),184386.0)</f>
        <v>184386</v>
      </c>
      <c r="C1278" s="1">
        <f>IFERROR(__xludf.DUMMYFUNCTION("""COMPUTED_VALUE"""),2026.0)</f>
        <v>2026</v>
      </c>
      <c r="D1278" s="1">
        <f>IFERROR(__xludf.DUMMYFUNCTION("""COMPUTED_VALUE"""),46125.0)</f>
        <v>46125</v>
      </c>
      <c r="E1278" s="1" t="str">
        <f>IFERROR(__xludf.DUMMYFUNCTION("""COMPUTED_VALUE"""),"VF")</f>
        <v>VF</v>
      </c>
      <c r="F1278" s="1">
        <f>IFERROR(__xludf.DUMMYFUNCTION("""COMPUTED_VALUE"""),2.0)</f>
        <v>2</v>
      </c>
      <c r="G1278" s="1" t="str">
        <f>IFERROR(__xludf.DUMMYFUNCTION("""COMPUTED_VALUE"""),"PR002")</f>
        <v>PR002</v>
      </c>
      <c r="H1278" s="1" t="str">
        <f>IFERROR(__xludf.DUMMYFUNCTION("""COMPUTED_VALUE"""),"VD040")</f>
        <v>VD040</v>
      </c>
      <c r="I1278" s="1">
        <f>IFERROR(__xludf.DUMMYFUNCTION("""COMPUTED_VALUE"""),8.0)</f>
        <v>8</v>
      </c>
      <c r="J1278" s="1">
        <f>IFERROR(__xludf.DUMMYFUNCTION("""COMPUTED_VALUE"""),570.38)</f>
        <v>570.38</v>
      </c>
      <c r="K1278" s="1">
        <f>IFERROR(__xludf.DUMMYFUNCTION("""COMPUTED_VALUE"""),570.38)</f>
        <v>570.38</v>
      </c>
    </row>
    <row r="1279">
      <c r="A1279" s="1">
        <f>IFERROR(__xludf.DUMMYFUNCTION("""COMPUTED_VALUE"""),2000.0)</f>
        <v>2000</v>
      </c>
      <c r="B1279" s="1">
        <f>IFERROR(__xludf.DUMMYFUNCTION("""COMPUTED_VALUE"""),184386.0)</f>
        <v>184386</v>
      </c>
      <c r="C1279" s="1">
        <f>IFERROR(__xludf.DUMMYFUNCTION("""COMPUTED_VALUE"""),2026.0)</f>
        <v>2026</v>
      </c>
      <c r="D1279" s="1">
        <f>IFERROR(__xludf.DUMMYFUNCTION("""COMPUTED_VALUE"""),46125.0)</f>
        <v>46125</v>
      </c>
      <c r="E1279" s="1" t="str">
        <f>IFERROR(__xludf.DUMMYFUNCTION("""COMPUTED_VALUE"""),"VF")</f>
        <v>VF</v>
      </c>
      <c r="F1279" s="1">
        <f>IFERROR(__xludf.DUMMYFUNCTION("""COMPUTED_VALUE"""),3.0)</f>
        <v>3</v>
      </c>
      <c r="G1279" s="1" t="str">
        <f>IFERROR(__xludf.DUMMYFUNCTION("""COMPUTED_VALUE"""),"PR016")</f>
        <v>PR016</v>
      </c>
      <c r="H1279" s="1" t="str">
        <f>IFERROR(__xludf.DUMMYFUNCTION("""COMPUTED_VALUE"""),"VD026")</f>
        <v>VD026</v>
      </c>
      <c r="I1279" s="1">
        <f>IFERROR(__xludf.DUMMYFUNCTION("""COMPUTED_VALUE"""),10.0)</f>
        <v>10</v>
      </c>
      <c r="J1279" s="1">
        <f>IFERROR(__xludf.DUMMYFUNCTION("""COMPUTED_VALUE"""),259.0)</f>
        <v>259</v>
      </c>
      <c r="K1279" s="1">
        <f>IFERROR(__xludf.DUMMYFUNCTION("""COMPUTED_VALUE"""),259.0)</f>
        <v>259</v>
      </c>
    </row>
    <row r="1280">
      <c r="A1280" s="1">
        <f>IFERROR(__xludf.DUMMYFUNCTION("""COMPUTED_VALUE"""),1000.0)</f>
        <v>1000</v>
      </c>
      <c r="B1280" s="1">
        <f>IFERROR(__xludf.DUMMYFUNCTION("""COMPUTED_VALUE"""),184386.0)</f>
        <v>184386</v>
      </c>
      <c r="C1280" s="1">
        <f>IFERROR(__xludf.DUMMYFUNCTION("""COMPUTED_VALUE"""),2026.0)</f>
        <v>2026</v>
      </c>
      <c r="D1280" s="1">
        <f>IFERROR(__xludf.DUMMYFUNCTION("""COMPUTED_VALUE"""),46125.0)</f>
        <v>46125</v>
      </c>
      <c r="E1280" s="1" t="str">
        <f>IFERROR(__xludf.DUMMYFUNCTION("""COMPUTED_VALUE"""),"VF")</f>
        <v>VF</v>
      </c>
      <c r="F1280" s="1">
        <f>IFERROR(__xludf.DUMMYFUNCTION("""COMPUTED_VALUE"""),4.0)</f>
        <v>4</v>
      </c>
      <c r="G1280" s="1" t="str">
        <f>IFERROR(__xludf.DUMMYFUNCTION("""COMPUTED_VALUE"""),"PR018")</f>
        <v>PR018</v>
      </c>
      <c r="H1280" s="1" t="str">
        <f>IFERROR(__xludf.DUMMYFUNCTION("""COMPUTED_VALUE"""),"VD029")</f>
        <v>VD029</v>
      </c>
      <c r="I1280" s="1">
        <f>IFERROR(__xludf.DUMMYFUNCTION("""COMPUTED_VALUE"""),9.0)</f>
        <v>9</v>
      </c>
      <c r="J1280" s="1">
        <f>IFERROR(__xludf.DUMMYFUNCTION("""COMPUTED_VALUE"""),307.94)</f>
        <v>307.94</v>
      </c>
      <c r="K1280" s="1">
        <f>IFERROR(__xludf.DUMMYFUNCTION("""COMPUTED_VALUE"""),307.94)</f>
        <v>307.94</v>
      </c>
    </row>
    <row r="1281">
      <c r="A1281" s="1">
        <f>IFERROR(__xludf.DUMMYFUNCTION("""COMPUTED_VALUE"""),1000.0)</f>
        <v>1000</v>
      </c>
      <c r="B1281" s="1">
        <f>IFERROR(__xludf.DUMMYFUNCTION("""COMPUTED_VALUE"""),184387.0)</f>
        <v>184387</v>
      </c>
      <c r="C1281" s="1">
        <f>IFERROR(__xludf.DUMMYFUNCTION("""COMPUTED_VALUE"""),2026.0)</f>
        <v>2026</v>
      </c>
      <c r="D1281" s="1">
        <f>IFERROR(__xludf.DUMMYFUNCTION("""COMPUTED_VALUE"""),46124.0)</f>
        <v>46124</v>
      </c>
      <c r="E1281" s="1" t="str">
        <f>IFERROR(__xludf.DUMMYFUNCTION("""COMPUTED_VALUE"""),"VF")</f>
        <v>VF</v>
      </c>
      <c r="F1281" s="1">
        <f>IFERROR(__xludf.DUMMYFUNCTION("""COMPUTED_VALUE"""),1.0)</f>
        <v>1</v>
      </c>
      <c r="G1281" s="1" t="str">
        <f>IFERROR(__xludf.DUMMYFUNCTION("""COMPUTED_VALUE"""),"PR021")</f>
        <v>PR021</v>
      </c>
      <c r="H1281" s="1" t="str">
        <f>IFERROR(__xludf.DUMMYFUNCTION("""COMPUTED_VALUE"""),"VD010")</f>
        <v>VD010</v>
      </c>
      <c r="I1281" s="1">
        <f>IFERROR(__xludf.DUMMYFUNCTION("""COMPUTED_VALUE"""),3.0)</f>
        <v>3</v>
      </c>
      <c r="J1281" s="1">
        <f>IFERROR(__xludf.DUMMYFUNCTION("""COMPUTED_VALUE"""),935.96)</f>
        <v>935.96</v>
      </c>
      <c r="K1281" s="1">
        <f>IFERROR(__xludf.DUMMYFUNCTION("""COMPUTED_VALUE"""),935.96)</f>
        <v>935.96</v>
      </c>
    </row>
    <row r="1282">
      <c r="A1282" s="1">
        <f>IFERROR(__xludf.DUMMYFUNCTION("""COMPUTED_VALUE"""),2000.0)</f>
        <v>2000</v>
      </c>
      <c r="B1282" s="1">
        <f>IFERROR(__xludf.DUMMYFUNCTION("""COMPUTED_VALUE"""),184388.0)</f>
        <v>184388</v>
      </c>
      <c r="C1282" s="1">
        <f>IFERROR(__xludf.DUMMYFUNCTION("""COMPUTED_VALUE"""),2026.0)</f>
        <v>2026</v>
      </c>
      <c r="D1282" s="1">
        <f>IFERROR(__xludf.DUMMYFUNCTION("""COMPUTED_VALUE"""),46124.0)</f>
        <v>46124</v>
      </c>
      <c r="E1282" s="1" t="str">
        <f>IFERROR(__xludf.DUMMYFUNCTION("""COMPUTED_VALUE"""),"VF")</f>
        <v>VF</v>
      </c>
      <c r="F1282" s="1">
        <f>IFERROR(__xludf.DUMMYFUNCTION("""COMPUTED_VALUE"""),1.0)</f>
        <v>1</v>
      </c>
      <c r="G1282" s="1" t="str">
        <f>IFERROR(__xludf.DUMMYFUNCTION("""COMPUTED_VALUE"""),"PR004")</f>
        <v>PR004</v>
      </c>
      <c r="H1282" s="1" t="str">
        <f>IFERROR(__xludf.DUMMYFUNCTION("""COMPUTED_VALUE"""),"VD041")</f>
        <v>VD041</v>
      </c>
      <c r="I1282" s="1">
        <f>IFERROR(__xludf.DUMMYFUNCTION("""COMPUTED_VALUE"""),12.0)</f>
        <v>12</v>
      </c>
      <c r="J1282" s="1">
        <f>IFERROR(__xludf.DUMMYFUNCTION("""COMPUTED_VALUE"""),1809.6)</f>
        <v>1809.6</v>
      </c>
      <c r="K1282" s="1">
        <f>IFERROR(__xludf.DUMMYFUNCTION("""COMPUTED_VALUE"""),1809.6)</f>
        <v>1809.6</v>
      </c>
    </row>
    <row r="1283">
      <c r="A1283" s="1">
        <f>IFERROR(__xludf.DUMMYFUNCTION("""COMPUTED_VALUE"""),2000.0)</f>
        <v>2000</v>
      </c>
      <c r="B1283" s="1">
        <f>IFERROR(__xludf.DUMMYFUNCTION("""COMPUTED_VALUE"""),184389.0)</f>
        <v>184389</v>
      </c>
      <c r="C1283" s="1">
        <f>IFERROR(__xludf.DUMMYFUNCTION("""COMPUTED_VALUE"""),2026.0)</f>
        <v>2026</v>
      </c>
      <c r="D1283" s="1">
        <f>IFERROR(__xludf.DUMMYFUNCTION("""COMPUTED_VALUE"""),46124.0)</f>
        <v>46124</v>
      </c>
      <c r="E1283" s="1" t="str">
        <f>IFERROR(__xludf.DUMMYFUNCTION("""COMPUTED_VALUE"""),"VF")</f>
        <v>VF</v>
      </c>
      <c r="F1283" s="1">
        <f>IFERROR(__xludf.DUMMYFUNCTION("""COMPUTED_VALUE"""),1.0)</f>
        <v>1</v>
      </c>
      <c r="G1283" s="1" t="str">
        <f>IFERROR(__xludf.DUMMYFUNCTION("""COMPUTED_VALUE"""),"PR044")</f>
        <v>PR044</v>
      </c>
      <c r="H1283" s="1" t="str">
        <f>IFERROR(__xludf.DUMMYFUNCTION("""COMPUTED_VALUE"""),"VD039")</f>
        <v>VD039</v>
      </c>
      <c r="I1283" s="1">
        <f>IFERROR(__xludf.DUMMYFUNCTION("""COMPUTED_VALUE"""),5.0)</f>
        <v>5</v>
      </c>
      <c r="J1283" s="1">
        <f>IFERROR(__xludf.DUMMYFUNCTION("""COMPUTED_VALUE"""),387.88)</f>
        <v>387.88</v>
      </c>
      <c r="K1283" s="1">
        <f>IFERROR(__xludf.DUMMYFUNCTION("""COMPUTED_VALUE"""),387.88)</f>
        <v>387.88</v>
      </c>
    </row>
    <row r="1284">
      <c r="A1284" s="1">
        <f>IFERROR(__xludf.DUMMYFUNCTION("""COMPUTED_VALUE"""),1000.0)</f>
        <v>1000</v>
      </c>
      <c r="B1284" s="1">
        <f>IFERROR(__xludf.DUMMYFUNCTION("""COMPUTED_VALUE"""),184390.0)</f>
        <v>184390</v>
      </c>
      <c r="C1284" s="1">
        <f>IFERROR(__xludf.DUMMYFUNCTION("""COMPUTED_VALUE"""),2026.0)</f>
        <v>2026</v>
      </c>
      <c r="D1284" s="1">
        <f>IFERROR(__xludf.DUMMYFUNCTION("""COMPUTED_VALUE"""),46124.0)</f>
        <v>46124</v>
      </c>
      <c r="E1284" s="1" t="str">
        <f>IFERROR(__xludf.DUMMYFUNCTION("""COMPUTED_VALUE"""),"VF")</f>
        <v>VF</v>
      </c>
      <c r="F1284" s="1">
        <f>IFERROR(__xludf.DUMMYFUNCTION("""COMPUTED_VALUE"""),1.0)</f>
        <v>1</v>
      </c>
      <c r="G1284" s="1" t="str">
        <f>IFERROR(__xludf.DUMMYFUNCTION("""COMPUTED_VALUE"""),"PR028")</f>
        <v>PR028</v>
      </c>
      <c r="H1284" s="1" t="str">
        <f>IFERROR(__xludf.DUMMYFUNCTION("""COMPUTED_VALUE"""),"VD026")</f>
        <v>VD026</v>
      </c>
      <c r="I1284" s="1">
        <f>IFERROR(__xludf.DUMMYFUNCTION("""COMPUTED_VALUE"""),1.0)</f>
        <v>1</v>
      </c>
      <c r="J1284" s="1">
        <f>IFERROR(__xludf.DUMMYFUNCTION("""COMPUTED_VALUE"""),259.9)</f>
        <v>259.9</v>
      </c>
      <c r="K1284" s="1">
        <f>IFERROR(__xludf.DUMMYFUNCTION("""COMPUTED_VALUE"""),259.9)</f>
        <v>259.9</v>
      </c>
    </row>
    <row r="1285">
      <c r="A1285" s="1">
        <f>IFERROR(__xludf.DUMMYFUNCTION("""COMPUTED_VALUE"""),1000.0)</f>
        <v>1000</v>
      </c>
      <c r="B1285" s="1">
        <f>IFERROR(__xludf.DUMMYFUNCTION("""COMPUTED_VALUE"""),184391.0)</f>
        <v>184391</v>
      </c>
      <c r="C1285" s="1">
        <f>IFERROR(__xludf.DUMMYFUNCTION("""COMPUTED_VALUE"""),2026.0)</f>
        <v>2026</v>
      </c>
      <c r="D1285" s="1">
        <f>IFERROR(__xludf.DUMMYFUNCTION("""COMPUTED_VALUE"""),46124.0)</f>
        <v>46124</v>
      </c>
      <c r="E1285" s="1" t="str">
        <f>IFERROR(__xludf.DUMMYFUNCTION("""COMPUTED_VALUE"""),"VF")</f>
        <v>VF</v>
      </c>
      <c r="F1285" s="1">
        <f>IFERROR(__xludf.DUMMYFUNCTION("""COMPUTED_VALUE"""),1.0)</f>
        <v>1</v>
      </c>
      <c r="G1285" s="1" t="str">
        <f>IFERROR(__xludf.DUMMYFUNCTION("""COMPUTED_VALUE"""),"PR024")</f>
        <v>PR024</v>
      </c>
      <c r="H1285" s="1" t="str">
        <f>IFERROR(__xludf.DUMMYFUNCTION("""COMPUTED_VALUE"""),"VD036")</f>
        <v>VD036</v>
      </c>
      <c r="I1285" s="1">
        <f>IFERROR(__xludf.DUMMYFUNCTION("""COMPUTED_VALUE"""),2.0)</f>
        <v>2</v>
      </c>
      <c r="J1285" s="1">
        <f>IFERROR(__xludf.DUMMYFUNCTION("""COMPUTED_VALUE"""),540.59)</f>
        <v>540.59</v>
      </c>
      <c r="K1285" s="1">
        <f>IFERROR(__xludf.DUMMYFUNCTION("""COMPUTED_VALUE"""),540.59)</f>
        <v>540.59</v>
      </c>
    </row>
    <row r="1286">
      <c r="A1286" s="1">
        <f>IFERROR(__xludf.DUMMYFUNCTION("""COMPUTED_VALUE"""),1000.0)</f>
        <v>1000</v>
      </c>
      <c r="B1286" s="1">
        <f>IFERROR(__xludf.DUMMYFUNCTION("""COMPUTED_VALUE"""),184392.0)</f>
        <v>184392</v>
      </c>
      <c r="C1286" s="1">
        <f>IFERROR(__xludf.DUMMYFUNCTION("""COMPUTED_VALUE"""),2026.0)</f>
        <v>2026</v>
      </c>
      <c r="D1286" s="1">
        <f>IFERROR(__xludf.DUMMYFUNCTION("""COMPUTED_VALUE"""),46124.0)</f>
        <v>46124</v>
      </c>
      <c r="E1286" s="1" t="str">
        <f>IFERROR(__xludf.DUMMYFUNCTION("""COMPUTED_VALUE"""),"VF")</f>
        <v>VF</v>
      </c>
      <c r="F1286" s="1">
        <f>IFERROR(__xludf.DUMMYFUNCTION("""COMPUTED_VALUE"""),1.0)</f>
        <v>1</v>
      </c>
      <c r="G1286" s="1" t="str">
        <f>IFERROR(__xludf.DUMMYFUNCTION("""COMPUTED_VALUE"""),"PR004")</f>
        <v>PR004</v>
      </c>
      <c r="H1286" s="1" t="str">
        <f>IFERROR(__xludf.DUMMYFUNCTION("""COMPUTED_VALUE"""),"VD020")</f>
        <v>VD020</v>
      </c>
      <c r="I1286" s="1">
        <f>IFERROR(__xludf.DUMMYFUNCTION("""COMPUTED_VALUE"""),10.0)</f>
        <v>10</v>
      </c>
      <c r="J1286" s="1">
        <f>IFERROR(__xludf.DUMMYFUNCTION("""COMPUTED_VALUE"""),1464.5)</f>
        <v>1464.5</v>
      </c>
      <c r="K1286" s="1">
        <f>IFERROR(__xludf.DUMMYFUNCTION("""COMPUTED_VALUE"""),1464.5)</f>
        <v>1464.5</v>
      </c>
    </row>
    <row r="1287">
      <c r="A1287" s="1">
        <f>IFERROR(__xludf.DUMMYFUNCTION("""COMPUTED_VALUE"""),1000.0)</f>
        <v>1000</v>
      </c>
      <c r="B1287" s="1">
        <f>IFERROR(__xludf.DUMMYFUNCTION("""COMPUTED_VALUE"""),184393.0)</f>
        <v>184393</v>
      </c>
      <c r="C1287" s="1">
        <f>IFERROR(__xludf.DUMMYFUNCTION("""COMPUTED_VALUE"""),2026.0)</f>
        <v>2026</v>
      </c>
      <c r="D1287" s="1">
        <f>IFERROR(__xludf.DUMMYFUNCTION("""COMPUTED_VALUE"""),46123.0)</f>
        <v>46123</v>
      </c>
      <c r="E1287" s="1" t="str">
        <f>IFERROR(__xludf.DUMMYFUNCTION("""COMPUTED_VALUE"""),"VF")</f>
        <v>VF</v>
      </c>
      <c r="F1287" s="1">
        <f>IFERROR(__xludf.DUMMYFUNCTION("""COMPUTED_VALUE"""),1.0)</f>
        <v>1</v>
      </c>
      <c r="G1287" s="1" t="str">
        <f>IFERROR(__xludf.DUMMYFUNCTION("""COMPUTED_VALUE"""),"PR004")</f>
        <v>PR004</v>
      </c>
      <c r="H1287" s="1" t="str">
        <f>IFERROR(__xludf.DUMMYFUNCTION("""COMPUTED_VALUE"""),"VD011")</f>
        <v>VD011</v>
      </c>
      <c r="I1287" s="1">
        <f>IFERROR(__xludf.DUMMYFUNCTION("""COMPUTED_VALUE"""),16.0)</f>
        <v>16</v>
      </c>
      <c r="J1287" s="1">
        <f>IFERROR(__xludf.DUMMYFUNCTION("""COMPUTED_VALUE"""),2528.8)</f>
        <v>2528.8</v>
      </c>
      <c r="K1287" s="1">
        <f>IFERROR(__xludf.DUMMYFUNCTION("""COMPUTED_VALUE"""),2528.8)</f>
        <v>2528.8</v>
      </c>
    </row>
    <row r="1288">
      <c r="A1288" s="1">
        <f>IFERROR(__xludf.DUMMYFUNCTION("""COMPUTED_VALUE"""),1000.0)</f>
        <v>1000</v>
      </c>
      <c r="B1288" s="1">
        <f>IFERROR(__xludf.DUMMYFUNCTION("""COMPUTED_VALUE"""),184393.0)</f>
        <v>184393</v>
      </c>
      <c r="C1288" s="1">
        <f>IFERROR(__xludf.DUMMYFUNCTION("""COMPUTED_VALUE"""),2026.0)</f>
        <v>2026</v>
      </c>
      <c r="D1288" s="1">
        <f>IFERROR(__xludf.DUMMYFUNCTION("""COMPUTED_VALUE"""),46123.0)</f>
        <v>46123</v>
      </c>
      <c r="E1288" s="1" t="str">
        <f>IFERROR(__xludf.DUMMYFUNCTION("""COMPUTED_VALUE"""),"VF")</f>
        <v>VF</v>
      </c>
      <c r="F1288" s="1">
        <f>IFERROR(__xludf.DUMMYFUNCTION("""COMPUTED_VALUE"""),2.0)</f>
        <v>2</v>
      </c>
      <c r="G1288" s="1" t="str">
        <f>IFERROR(__xludf.DUMMYFUNCTION("""COMPUTED_VALUE"""),"PR007")</f>
        <v>PR007</v>
      </c>
      <c r="H1288" s="1" t="str">
        <f>IFERROR(__xludf.DUMMYFUNCTION("""COMPUTED_VALUE"""),"VD023")</f>
        <v>VD023</v>
      </c>
      <c r="I1288" s="1">
        <f>IFERROR(__xludf.DUMMYFUNCTION("""COMPUTED_VALUE"""),4.0)</f>
        <v>4</v>
      </c>
      <c r="J1288" s="1">
        <f>IFERROR(__xludf.DUMMYFUNCTION("""COMPUTED_VALUE"""),343.6)</f>
        <v>343.6</v>
      </c>
      <c r="K1288" s="1">
        <f>IFERROR(__xludf.DUMMYFUNCTION("""COMPUTED_VALUE"""),343.6)</f>
        <v>343.6</v>
      </c>
    </row>
    <row r="1289">
      <c r="A1289" s="1">
        <f>IFERROR(__xludf.DUMMYFUNCTION("""COMPUTED_VALUE"""),2000.0)</f>
        <v>2000</v>
      </c>
      <c r="B1289" s="1">
        <f>IFERROR(__xludf.DUMMYFUNCTION("""COMPUTED_VALUE"""),184393.0)</f>
        <v>184393</v>
      </c>
      <c r="C1289" s="1">
        <f>IFERROR(__xludf.DUMMYFUNCTION("""COMPUTED_VALUE"""),2026.0)</f>
        <v>2026</v>
      </c>
      <c r="D1289" s="1">
        <f>IFERROR(__xludf.DUMMYFUNCTION("""COMPUTED_VALUE"""),46123.0)</f>
        <v>46123</v>
      </c>
      <c r="E1289" s="1" t="str">
        <f>IFERROR(__xludf.DUMMYFUNCTION("""COMPUTED_VALUE"""),"VF")</f>
        <v>VF</v>
      </c>
      <c r="F1289" s="1">
        <f>IFERROR(__xludf.DUMMYFUNCTION("""COMPUTED_VALUE"""),3.0)</f>
        <v>3</v>
      </c>
      <c r="G1289" s="1" t="str">
        <f>IFERROR(__xludf.DUMMYFUNCTION("""COMPUTED_VALUE"""),"PR020")</f>
        <v>PR020</v>
      </c>
      <c r="H1289" s="1" t="str">
        <f>IFERROR(__xludf.DUMMYFUNCTION("""COMPUTED_VALUE"""),"VD015")</f>
        <v>VD015</v>
      </c>
      <c r="I1289" s="1">
        <f>IFERROR(__xludf.DUMMYFUNCTION("""COMPUTED_VALUE"""),18.0)</f>
        <v>18</v>
      </c>
      <c r="J1289" s="1">
        <f>IFERROR(__xludf.DUMMYFUNCTION("""COMPUTED_VALUE"""),5830.06)</f>
        <v>5830.06</v>
      </c>
      <c r="K1289" s="1">
        <f>IFERROR(__xludf.DUMMYFUNCTION("""COMPUTED_VALUE"""),5830.06)</f>
        <v>5830.06</v>
      </c>
    </row>
    <row r="1290">
      <c r="A1290" s="1">
        <f>IFERROR(__xludf.DUMMYFUNCTION("""COMPUTED_VALUE"""),1000.0)</f>
        <v>1000</v>
      </c>
      <c r="B1290" s="1">
        <f>IFERROR(__xludf.DUMMYFUNCTION("""COMPUTED_VALUE"""),184394.0)</f>
        <v>184394</v>
      </c>
      <c r="C1290" s="1">
        <f>IFERROR(__xludf.DUMMYFUNCTION("""COMPUTED_VALUE"""),2026.0)</f>
        <v>2026</v>
      </c>
      <c r="D1290" s="1">
        <f>IFERROR(__xludf.DUMMYFUNCTION("""COMPUTED_VALUE"""),46123.0)</f>
        <v>46123</v>
      </c>
      <c r="E1290" s="1" t="str">
        <f>IFERROR(__xludf.DUMMYFUNCTION("""COMPUTED_VALUE"""),"VF")</f>
        <v>VF</v>
      </c>
      <c r="F1290" s="1">
        <f>IFERROR(__xludf.DUMMYFUNCTION("""COMPUTED_VALUE"""),1.0)</f>
        <v>1</v>
      </c>
      <c r="G1290" s="1" t="str">
        <f>IFERROR(__xludf.DUMMYFUNCTION("""COMPUTED_VALUE"""),"PR051")</f>
        <v>PR051</v>
      </c>
      <c r="H1290" s="1" t="str">
        <f>IFERROR(__xludf.DUMMYFUNCTION("""COMPUTED_VALUE"""),"VD046")</f>
        <v>VD046</v>
      </c>
      <c r="I1290" s="1">
        <f>IFERROR(__xludf.DUMMYFUNCTION("""COMPUTED_VALUE"""),6.0)</f>
        <v>6</v>
      </c>
      <c r="J1290" s="1">
        <f>IFERROR(__xludf.DUMMYFUNCTION("""COMPUTED_VALUE"""),213.19)</f>
        <v>213.19</v>
      </c>
      <c r="K1290" s="1">
        <f>IFERROR(__xludf.DUMMYFUNCTION("""COMPUTED_VALUE"""),213.19)</f>
        <v>213.19</v>
      </c>
    </row>
    <row r="1291">
      <c r="A1291" s="1">
        <f>IFERROR(__xludf.DUMMYFUNCTION("""COMPUTED_VALUE"""),1000.0)</f>
        <v>1000</v>
      </c>
      <c r="B1291" s="1">
        <f>IFERROR(__xludf.DUMMYFUNCTION("""COMPUTED_VALUE"""),184395.0)</f>
        <v>184395</v>
      </c>
      <c r="C1291" s="1">
        <f>IFERROR(__xludf.DUMMYFUNCTION("""COMPUTED_VALUE"""),2026.0)</f>
        <v>2026</v>
      </c>
      <c r="D1291" s="1">
        <f>IFERROR(__xludf.DUMMYFUNCTION("""COMPUTED_VALUE"""),46122.0)</f>
        <v>46122</v>
      </c>
      <c r="E1291" s="1" t="str">
        <f>IFERROR(__xludf.DUMMYFUNCTION("""COMPUTED_VALUE"""),"VF")</f>
        <v>VF</v>
      </c>
      <c r="F1291" s="1">
        <f>IFERROR(__xludf.DUMMYFUNCTION("""COMPUTED_VALUE"""),1.0)</f>
        <v>1</v>
      </c>
      <c r="G1291" s="1" t="str">
        <f>IFERROR(__xludf.DUMMYFUNCTION("""COMPUTED_VALUE"""),"PR057")</f>
        <v>PR057</v>
      </c>
      <c r="H1291" s="1" t="str">
        <f>IFERROR(__xludf.DUMMYFUNCTION("""COMPUTED_VALUE"""),"VD017")</f>
        <v>VD017</v>
      </c>
      <c r="I1291" s="1">
        <f>IFERROR(__xludf.DUMMYFUNCTION("""COMPUTED_VALUE"""),5.0)</f>
        <v>5</v>
      </c>
      <c r="J1291" s="1">
        <f>IFERROR(__xludf.DUMMYFUNCTION("""COMPUTED_VALUE"""),454.0)</f>
        <v>454</v>
      </c>
      <c r="K1291" s="1">
        <f>IFERROR(__xludf.DUMMYFUNCTION("""COMPUTED_VALUE"""),454.0)</f>
        <v>454</v>
      </c>
    </row>
    <row r="1292">
      <c r="A1292" s="1">
        <f>IFERROR(__xludf.DUMMYFUNCTION("""COMPUTED_VALUE"""),1000.0)</f>
        <v>1000</v>
      </c>
      <c r="B1292" s="1">
        <f>IFERROR(__xludf.DUMMYFUNCTION("""COMPUTED_VALUE"""),184396.0)</f>
        <v>184396</v>
      </c>
      <c r="C1292" s="1">
        <f>IFERROR(__xludf.DUMMYFUNCTION("""COMPUTED_VALUE"""),2026.0)</f>
        <v>2026</v>
      </c>
      <c r="D1292" s="1">
        <f>IFERROR(__xludf.DUMMYFUNCTION("""COMPUTED_VALUE"""),46122.0)</f>
        <v>46122</v>
      </c>
      <c r="E1292" s="1" t="str">
        <f>IFERROR(__xludf.DUMMYFUNCTION("""COMPUTED_VALUE"""),"VF")</f>
        <v>VF</v>
      </c>
      <c r="F1292" s="1">
        <f>IFERROR(__xludf.DUMMYFUNCTION("""COMPUTED_VALUE"""),1.0)</f>
        <v>1</v>
      </c>
      <c r="G1292" s="1" t="str">
        <f>IFERROR(__xludf.DUMMYFUNCTION("""COMPUTED_VALUE"""),"PR035")</f>
        <v>PR035</v>
      </c>
      <c r="H1292" s="1" t="str">
        <f>IFERROR(__xludf.DUMMYFUNCTION("""COMPUTED_VALUE"""),"VD017")</f>
        <v>VD017</v>
      </c>
      <c r="I1292" s="1">
        <f>IFERROR(__xludf.DUMMYFUNCTION("""COMPUTED_VALUE"""),12.0)</f>
        <v>12</v>
      </c>
      <c r="J1292" s="1">
        <f>IFERROR(__xludf.DUMMYFUNCTION("""COMPUTED_VALUE"""),1173.58)</f>
        <v>1173.58</v>
      </c>
      <c r="K1292" s="1">
        <f>IFERROR(__xludf.DUMMYFUNCTION("""COMPUTED_VALUE"""),1173.58)</f>
        <v>1173.58</v>
      </c>
    </row>
    <row r="1293">
      <c r="A1293" s="1">
        <f>IFERROR(__xludf.DUMMYFUNCTION("""COMPUTED_VALUE"""),1000.0)</f>
        <v>1000</v>
      </c>
      <c r="B1293" s="1">
        <f>IFERROR(__xludf.DUMMYFUNCTION("""COMPUTED_VALUE"""),184397.0)</f>
        <v>184397</v>
      </c>
      <c r="C1293" s="1">
        <f>IFERROR(__xludf.DUMMYFUNCTION("""COMPUTED_VALUE"""),2026.0)</f>
        <v>2026</v>
      </c>
      <c r="D1293" s="1">
        <f>IFERROR(__xludf.DUMMYFUNCTION("""COMPUTED_VALUE"""),46122.0)</f>
        <v>46122</v>
      </c>
      <c r="E1293" s="1" t="str">
        <f>IFERROR(__xludf.DUMMYFUNCTION("""COMPUTED_VALUE"""),"VF")</f>
        <v>VF</v>
      </c>
      <c r="F1293" s="1">
        <f>IFERROR(__xludf.DUMMYFUNCTION("""COMPUTED_VALUE"""),1.0)</f>
        <v>1</v>
      </c>
      <c r="G1293" s="1" t="str">
        <f>IFERROR(__xludf.DUMMYFUNCTION("""COMPUTED_VALUE"""),"PR049")</f>
        <v>PR049</v>
      </c>
      <c r="H1293" s="1" t="str">
        <f>IFERROR(__xludf.DUMMYFUNCTION("""COMPUTED_VALUE"""),"VD023")</f>
        <v>VD023</v>
      </c>
      <c r="I1293" s="1">
        <f>IFERROR(__xludf.DUMMYFUNCTION("""COMPUTED_VALUE"""),9.0)</f>
        <v>9</v>
      </c>
      <c r="J1293" s="1">
        <f>IFERROR(__xludf.DUMMYFUNCTION("""COMPUTED_VALUE"""),302.02)</f>
        <v>302.02</v>
      </c>
      <c r="K1293" s="1">
        <f>IFERROR(__xludf.DUMMYFUNCTION("""COMPUTED_VALUE"""),302.02)</f>
        <v>302.02</v>
      </c>
    </row>
    <row r="1294">
      <c r="A1294" s="1">
        <f>IFERROR(__xludf.DUMMYFUNCTION("""COMPUTED_VALUE"""),1000.0)</f>
        <v>1000</v>
      </c>
      <c r="B1294" s="1">
        <f>IFERROR(__xludf.DUMMYFUNCTION("""COMPUTED_VALUE"""),184398.0)</f>
        <v>184398</v>
      </c>
      <c r="C1294" s="1">
        <f>IFERROR(__xludf.DUMMYFUNCTION("""COMPUTED_VALUE"""),2026.0)</f>
        <v>2026</v>
      </c>
      <c r="D1294" s="1">
        <f>IFERROR(__xludf.DUMMYFUNCTION("""COMPUTED_VALUE"""),46121.0)</f>
        <v>46121</v>
      </c>
      <c r="E1294" s="1" t="str">
        <f>IFERROR(__xludf.DUMMYFUNCTION("""COMPUTED_VALUE"""),"VF")</f>
        <v>VF</v>
      </c>
      <c r="F1294" s="1">
        <f>IFERROR(__xludf.DUMMYFUNCTION("""COMPUTED_VALUE"""),1.0)</f>
        <v>1</v>
      </c>
      <c r="G1294" s="1" t="str">
        <f>IFERROR(__xludf.DUMMYFUNCTION("""COMPUTED_VALUE"""),"PR054")</f>
        <v>PR054</v>
      </c>
      <c r="H1294" s="1" t="str">
        <f>IFERROR(__xludf.DUMMYFUNCTION("""COMPUTED_VALUE"""),"VD036")</f>
        <v>VD036</v>
      </c>
      <c r="I1294" s="1">
        <f>IFERROR(__xludf.DUMMYFUNCTION("""COMPUTED_VALUE"""),18.0)</f>
        <v>18</v>
      </c>
      <c r="J1294" s="1">
        <f>IFERROR(__xludf.DUMMYFUNCTION("""COMPUTED_VALUE"""),952.09)</f>
        <v>952.09</v>
      </c>
      <c r="K1294" s="1">
        <f>IFERROR(__xludf.DUMMYFUNCTION("""COMPUTED_VALUE"""),952.09)</f>
        <v>952.09</v>
      </c>
    </row>
    <row r="1295">
      <c r="A1295" s="1">
        <f>IFERROR(__xludf.DUMMYFUNCTION("""COMPUTED_VALUE"""),1000.0)</f>
        <v>1000</v>
      </c>
      <c r="B1295" s="1">
        <f>IFERROR(__xludf.DUMMYFUNCTION("""COMPUTED_VALUE"""),184399.0)</f>
        <v>184399</v>
      </c>
      <c r="C1295" s="1">
        <f>IFERROR(__xludf.DUMMYFUNCTION("""COMPUTED_VALUE"""),2026.0)</f>
        <v>2026</v>
      </c>
      <c r="D1295" s="1">
        <f>IFERROR(__xludf.DUMMYFUNCTION("""COMPUTED_VALUE"""),46121.0)</f>
        <v>46121</v>
      </c>
      <c r="E1295" s="1" t="str">
        <f>IFERROR(__xludf.DUMMYFUNCTION("""COMPUTED_VALUE"""),"VF")</f>
        <v>VF</v>
      </c>
      <c r="F1295" s="1">
        <f>IFERROR(__xludf.DUMMYFUNCTION("""COMPUTED_VALUE"""),1.0)</f>
        <v>1</v>
      </c>
      <c r="G1295" s="1" t="str">
        <f>IFERROR(__xludf.DUMMYFUNCTION("""COMPUTED_VALUE"""),"PR056")</f>
        <v>PR056</v>
      </c>
      <c r="H1295" s="1" t="str">
        <f>IFERROR(__xludf.DUMMYFUNCTION("""COMPUTED_VALUE"""),"VD032")</f>
        <v>VD032</v>
      </c>
      <c r="I1295" s="1">
        <f>IFERROR(__xludf.DUMMYFUNCTION("""COMPUTED_VALUE"""),2.0)</f>
        <v>2</v>
      </c>
      <c r="J1295" s="1">
        <f>IFERROR(__xludf.DUMMYFUNCTION("""COMPUTED_VALUE"""),188.79)</f>
        <v>188.79</v>
      </c>
      <c r="K1295" s="1">
        <f>IFERROR(__xludf.DUMMYFUNCTION("""COMPUTED_VALUE"""),188.79)</f>
        <v>188.79</v>
      </c>
    </row>
    <row r="1296">
      <c r="A1296" s="1">
        <f>IFERROR(__xludf.DUMMYFUNCTION("""COMPUTED_VALUE"""),2000.0)</f>
        <v>2000</v>
      </c>
      <c r="B1296" s="1">
        <f>IFERROR(__xludf.DUMMYFUNCTION("""COMPUTED_VALUE"""),184400.0)</f>
        <v>184400</v>
      </c>
      <c r="C1296" s="1">
        <f>IFERROR(__xludf.DUMMYFUNCTION("""COMPUTED_VALUE"""),2026.0)</f>
        <v>2026</v>
      </c>
      <c r="D1296" s="1">
        <f>IFERROR(__xludf.DUMMYFUNCTION("""COMPUTED_VALUE"""),46121.0)</f>
        <v>46121</v>
      </c>
      <c r="E1296" s="1" t="str">
        <f>IFERROR(__xludf.DUMMYFUNCTION("""COMPUTED_VALUE"""),"VF")</f>
        <v>VF</v>
      </c>
      <c r="F1296" s="1">
        <f>IFERROR(__xludf.DUMMYFUNCTION("""COMPUTED_VALUE"""),1.0)</f>
        <v>1</v>
      </c>
      <c r="G1296" s="1" t="str">
        <f>IFERROR(__xludf.DUMMYFUNCTION("""COMPUTED_VALUE"""),"PR055")</f>
        <v>PR055</v>
      </c>
      <c r="H1296" s="1" t="str">
        <f>IFERROR(__xludf.DUMMYFUNCTION("""COMPUTED_VALUE"""),"VD025")</f>
        <v>VD025</v>
      </c>
      <c r="I1296" s="1">
        <f>IFERROR(__xludf.DUMMYFUNCTION("""COMPUTED_VALUE"""),1.0)</f>
        <v>1</v>
      </c>
      <c r="J1296" s="1">
        <f>IFERROR(__xludf.DUMMYFUNCTION("""COMPUTED_VALUE"""),89.9)</f>
        <v>89.9</v>
      </c>
      <c r="K1296" s="1">
        <f>IFERROR(__xludf.DUMMYFUNCTION("""COMPUTED_VALUE"""),89.9)</f>
        <v>89.9</v>
      </c>
    </row>
    <row r="1297">
      <c r="A1297" s="1">
        <f>IFERROR(__xludf.DUMMYFUNCTION("""COMPUTED_VALUE"""),1000.0)</f>
        <v>1000</v>
      </c>
      <c r="B1297" s="1">
        <f>IFERROR(__xludf.DUMMYFUNCTION("""COMPUTED_VALUE"""),184401.0)</f>
        <v>184401</v>
      </c>
      <c r="C1297" s="1">
        <f>IFERROR(__xludf.DUMMYFUNCTION("""COMPUTED_VALUE"""),2026.0)</f>
        <v>2026</v>
      </c>
      <c r="D1297" s="1">
        <f>IFERROR(__xludf.DUMMYFUNCTION("""COMPUTED_VALUE"""),46121.0)</f>
        <v>46121</v>
      </c>
      <c r="E1297" s="1" t="str">
        <f>IFERROR(__xludf.DUMMYFUNCTION("""COMPUTED_VALUE"""),"VF")</f>
        <v>VF</v>
      </c>
      <c r="F1297" s="1">
        <f>IFERROR(__xludf.DUMMYFUNCTION("""COMPUTED_VALUE"""),1.0)</f>
        <v>1</v>
      </c>
      <c r="G1297" s="1" t="str">
        <f>IFERROR(__xludf.DUMMYFUNCTION("""COMPUTED_VALUE"""),"PR027")</f>
        <v>PR027</v>
      </c>
      <c r="H1297" s="1" t="str">
        <f>IFERROR(__xludf.DUMMYFUNCTION("""COMPUTED_VALUE"""),"VD021")</f>
        <v>VD021</v>
      </c>
      <c r="I1297" s="1">
        <f>IFERROR(__xludf.DUMMYFUNCTION("""COMPUTED_VALUE"""),12.0)</f>
        <v>12</v>
      </c>
      <c r="J1297" s="1">
        <f>IFERROR(__xludf.DUMMYFUNCTION("""COMPUTED_VALUE"""),1555.2)</f>
        <v>1555.2</v>
      </c>
      <c r="K1297" s="1">
        <f>IFERROR(__xludf.DUMMYFUNCTION("""COMPUTED_VALUE"""),1555.2)</f>
        <v>1555.2</v>
      </c>
    </row>
    <row r="1298">
      <c r="A1298" s="1">
        <f>IFERROR(__xludf.DUMMYFUNCTION("""COMPUTED_VALUE"""),2000.0)</f>
        <v>2000</v>
      </c>
      <c r="B1298" s="1">
        <f>IFERROR(__xludf.DUMMYFUNCTION("""COMPUTED_VALUE"""),184402.0)</f>
        <v>184402</v>
      </c>
      <c r="C1298" s="1">
        <f>IFERROR(__xludf.DUMMYFUNCTION("""COMPUTED_VALUE"""),2026.0)</f>
        <v>2026</v>
      </c>
      <c r="D1298" s="1">
        <f>IFERROR(__xludf.DUMMYFUNCTION("""COMPUTED_VALUE"""),46121.0)</f>
        <v>46121</v>
      </c>
      <c r="E1298" s="1" t="str">
        <f>IFERROR(__xludf.DUMMYFUNCTION("""COMPUTED_VALUE"""),"VF")</f>
        <v>VF</v>
      </c>
      <c r="F1298" s="1">
        <f>IFERROR(__xludf.DUMMYFUNCTION("""COMPUTED_VALUE"""),1.0)</f>
        <v>1</v>
      </c>
      <c r="G1298" s="1" t="str">
        <f>IFERROR(__xludf.DUMMYFUNCTION("""COMPUTED_VALUE"""),"PR013")</f>
        <v>PR013</v>
      </c>
      <c r="H1298" s="1" t="str">
        <f>IFERROR(__xludf.DUMMYFUNCTION("""COMPUTED_VALUE"""),"VD044")</f>
        <v>VD044</v>
      </c>
      <c r="I1298" s="1">
        <f>IFERROR(__xludf.DUMMYFUNCTION("""COMPUTED_VALUE"""),4.0)</f>
        <v>4</v>
      </c>
      <c r="J1298" s="1">
        <f>IFERROR(__xludf.DUMMYFUNCTION("""COMPUTED_VALUE"""),173.96)</f>
        <v>173.96</v>
      </c>
      <c r="K1298" s="1">
        <f>IFERROR(__xludf.DUMMYFUNCTION("""COMPUTED_VALUE"""),173.96)</f>
        <v>173.96</v>
      </c>
    </row>
    <row r="1299">
      <c r="A1299" s="1">
        <f>IFERROR(__xludf.DUMMYFUNCTION("""COMPUTED_VALUE"""),1000.0)</f>
        <v>1000</v>
      </c>
      <c r="B1299" s="1">
        <f>IFERROR(__xludf.DUMMYFUNCTION("""COMPUTED_VALUE"""),184403.0)</f>
        <v>184403</v>
      </c>
      <c r="C1299" s="1">
        <f>IFERROR(__xludf.DUMMYFUNCTION("""COMPUTED_VALUE"""),2026.0)</f>
        <v>2026</v>
      </c>
      <c r="D1299" s="1">
        <f>IFERROR(__xludf.DUMMYFUNCTION("""COMPUTED_VALUE"""),46120.0)</f>
        <v>46120</v>
      </c>
      <c r="E1299" s="1" t="str">
        <f>IFERROR(__xludf.DUMMYFUNCTION("""COMPUTED_VALUE"""),"VF")</f>
        <v>VF</v>
      </c>
      <c r="F1299" s="1">
        <f>IFERROR(__xludf.DUMMYFUNCTION("""COMPUTED_VALUE"""),1.0)</f>
        <v>1</v>
      </c>
      <c r="G1299" s="1" t="str">
        <f>IFERROR(__xludf.DUMMYFUNCTION("""COMPUTED_VALUE"""),"PR050")</f>
        <v>PR050</v>
      </c>
      <c r="H1299" s="1" t="str">
        <f>IFERROR(__xludf.DUMMYFUNCTION("""COMPUTED_VALUE"""),"VD024")</f>
        <v>VD024</v>
      </c>
      <c r="I1299" s="1">
        <f>IFERROR(__xludf.DUMMYFUNCTION("""COMPUTED_VALUE"""),9.0)</f>
        <v>9</v>
      </c>
      <c r="J1299" s="1">
        <f>IFERROR(__xludf.DUMMYFUNCTION("""COMPUTED_VALUE"""),310.91)</f>
        <v>310.91</v>
      </c>
      <c r="K1299" s="1">
        <f>IFERROR(__xludf.DUMMYFUNCTION("""COMPUTED_VALUE"""),310.91)</f>
        <v>310.91</v>
      </c>
    </row>
    <row r="1300">
      <c r="A1300" s="1">
        <f>IFERROR(__xludf.DUMMYFUNCTION("""COMPUTED_VALUE"""),1000.0)</f>
        <v>1000</v>
      </c>
      <c r="B1300" s="1">
        <f>IFERROR(__xludf.DUMMYFUNCTION("""COMPUTED_VALUE"""),184403.0)</f>
        <v>184403</v>
      </c>
      <c r="C1300" s="1">
        <f>IFERROR(__xludf.DUMMYFUNCTION("""COMPUTED_VALUE"""),2026.0)</f>
        <v>2026</v>
      </c>
      <c r="D1300" s="1">
        <f>IFERROR(__xludf.DUMMYFUNCTION("""COMPUTED_VALUE"""),46120.0)</f>
        <v>46120</v>
      </c>
      <c r="E1300" s="1" t="str">
        <f>IFERROR(__xludf.DUMMYFUNCTION("""COMPUTED_VALUE"""),"VF")</f>
        <v>VF</v>
      </c>
      <c r="F1300" s="1">
        <f>IFERROR(__xludf.DUMMYFUNCTION("""COMPUTED_VALUE"""),2.0)</f>
        <v>2</v>
      </c>
      <c r="G1300" s="1" t="str">
        <f>IFERROR(__xludf.DUMMYFUNCTION("""COMPUTED_VALUE"""),"PR036")</f>
        <v>PR036</v>
      </c>
      <c r="H1300" s="1" t="str">
        <f>IFERROR(__xludf.DUMMYFUNCTION("""COMPUTED_VALUE"""),"VD016")</f>
        <v>VD016</v>
      </c>
      <c r="I1300" s="1">
        <f>IFERROR(__xludf.DUMMYFUNCTION("""COMPUTED_VALUE"""),6.0)</f>
        <v>6</v>
      </c>
      <c r="J1300" s="1">
        <f>IFERROR(__xludf.DUMMYFUNCTION("""COMPUTED_VALUE"""),566.61)</f>
        <v>566.61</v>
      </c>
      <c r="K1300" s="1">
        <f>IFERROR(__xludf.DUMMYFUNCTION("""COMPUTED_VALUE"""),566.61)</f>
        <v>566.61</v>
      </c>
    </row>
    <row r="1301">
      <c r="A1301" s="1">
        <f>IFERROR(__xludf.DUMMYFUNCTION("""COMPUTED_VALUE"""),1000.0)</f>
        <v>1000</v>
      </c>
      <c r="B1301" s="1">
        <f>IFERROR(__xludf.DUMMYFUNCTION("""COMPUTED_VALUE"""),184404.0)</f>
        <v>184404</v>
      </c>
      <c r="C1301" s="1">
        <f>IFERROR(__xludf.DUMMYFUNCTION("""COMPUTED_VALUE"""),2026.0)</f>
        <v>2026</v>
      </c>
      <c r="D1301" s="1">
        <f>IFERROR(__xludf.DUMMYFUNCTION("""COMPUTED_VALUE"""),46119.0)</f>
        <v>46119</v>
      </c>
      <c r="E1301" s="1" t="str">
        <f>IFERROR(__xludf.DUMMYFUNCTION("""COMPUTED_VALUE"""),"VF")</f>
        <v>VF</v>
      </c>
      <c r="F1301" s="1">
        <f>IFERROR(__xludf.DUMMYFUNCTION("""COMPUTED_VALUE"""),1.0)</f>
        <v>1</v>
      </c>
      <c r="G1301" s="1" t="str">
        <f>IFERROR(__xludf.DUMMYFUNCTION("""COMPUTED_VALUE"""),"PR005")</f>
        <v>PR005</v>
      </c>
      <c r="H1301" s="1" t="str">
        <f>IFERROR(__xludf.DUMMYFUNCTION("""COMPUTED_VALUE"""),"VD028")</f>
        <v>VD028</v>
      </c>
      <c r="I1301" s="1">
        <f>IFERROR(__xludf.DUMMYFUNCTION("""COMPUTED_VALUE"""),10.0)</f>
        <v>10</v>
      </c>
      <c r="J1301" s="1">
        <f>IFERROR(__xludf.DUMMYFUNCTION("""COMPUTED_VALUE"""),2832.91)</f>
        <v>2832.91</v>
      </c>
      <c r="K1301" s="1">
        <f>IFERROR(__xludf.DUMMYFUNCTION("""COMPUTED_VALUE"""),2832.91)</f>
        <v>2832.91</v>
      </c>
    </row>
    <row r="1302">
      <c r="A1302" s="1">
        <f>IFERROR(__xludf.DUMMYFUNCTION("""COMPUTED_VALUE"""),1000.0)</f>
        <v>1000</v>
      </c>
      <c r="B1302" s="1">
        <f>IFERROR(__xludf.DUMMYFUNCTION("""COMPUTED_VALUE"""),184404.0)</f>
        <v>184404</v>
      </c>
      <c r="C1302" s="1">
        <f>IFERROR(__xludf.DUMMYFUNCTION("""COMPUTED_VALUE"""),2026.0)</f>
        <v>2026</v>
      </c>
      <c r="D1302" s="1">
        <f>IFERROR(__xludf.DUMMYFUNCTION("""COMPUTED_VALUE"""),46119.0)</f>
        <v>46119</v>
      </c>
      <c r="E1302" s="1" t="str">
        <f>IFERROR(__xludf.DUMMYFUNCTION("""COMPUTED_VALUE"""),"VF")</f>
        <v>VF</v>
      </c>
      <c r="F1302" s="1">
        <f>IFERROR(__xludf.DUMMYFUNCTION("""COMPUTED_VALUE"""),2.0)</f>
        <v>2</v>
      </c>
      <c r="G1302" s="1" t="str">
        <f>IFERROR(__xludf.DUMMYFUNCTION("""COMPUTED_VALUE"""),"PR032")</f>
        <v>PR032</v>
      </c>
      <c r="H1302" s="1" t="str">
        <f>IFERROR(__xludf.DUMMYFUNCTION("""COMPUTED_VALUE"""),"VD035")</f>
        <v>VD035</v>
      </c>
      <c r="I1302" s="1">
        <f>IFERROR(__xludf.DUMMYFUNCTION("""COMPUTED_VALUE"""),6.0)</f>
        <v>6</v>
      </c>
      <c r="J1302" s="1">
        <f>IFERROR(__xludf.DUMMYFUNCTION("""COMPUTED_VALUE"""),1605.0)</f>
        <v>1605</v>
      </c>
      <c r="K1302" s="1">
        <f>IFERROR(__xludf.DUMMYFUNCTION("""COMPUTED_VALUE"""),1605.0)</f>
        <v>1605</v>
      </c>
    </row>
    <row r="1303">
      <c r="A1303" s="1">
        <f>IFERROR(__xludf.DUMMYFUNCTION("""COMPUTED_VALUE"""),1000.0)</f>
        <v>1000</v>
      </c>
      <c r="B1303" s="1">
        <f>IFERROR(__xludf.DUMMYFUNCTION("""COMPUTED_VALUE"""),184405.0)</f>
        <v>184405</v>
      </c>
      <c r="C1303" s="1">
        <f>IFERROR(__xludf.DUMMYFUNCTION("""COMPUTED_VALUE"""),2026.0)</f>
        <v>2026</v>
      </c>
      <c r="D1303" s="1">
        <f>IFERROR(__xludf.DUMMYFUNCTION("""COMPUTED_VALUE"""),46119.0)</f>
        <v>46119</v>
      </c>
      <c r="E1303" s="1" t="str">
        <f>IFERROR(__xludf.DUMMYFUNCTION("""COMPUTED_VALUE"""),"VF")</f>
        <v>VF</v>
      </c>
      <c r="F1303" s="1">
        <f>IFERROR(__xludf.DUMMYFUNCTION("""COMPUTED_VALUE"""),1.0)</f>
        <v>1</v>
      </c>
      <c r="G1303" s="1" t="str">
        <f>IFERROR(__xludf.DUMMYFUNCTION("""COMPUTED_VALUE"""),"PR002")</f>
        <v>PR002</v>
      </c>
      <c r="H1303" s="1" t="str">
        <f>IFERROR(__xludf.DUMMYFUNCTION("""COMPUTED_VALUE"""),"VD012")</f>
        <v>VD012</v>
      </c>
      <c r="I1303" s="1">
        <f>IFERROR(__xludf.DUMMYFUNCTION("""COMPUTED_VALUE"""),14.0)</f>
        <v>14</v>
      </c>
      <c r="J1303" s="1">
        <f>IFERROR(__xludf.DUMMYFUNCTION("""COMPUTED_VALUE"""),1037.32)</f>
        <v>1037.32</v>
      </c>
      <c r="K1303" s="1">
        <f>IFERROR(__xludf.DUMMYFUNCTION("""COMPUTED_VALUE"""),1037.32)</f>
        <v>1037.32</v>
      </c>
    </row>
    <row r="1304">
      <c r="A1304" s="1">
        <f>IFERROR(__xludf.DUMMYFUNCTION("""COMPUTED_VALUE"""),1000.0)</f>
        <v>1000</v>
      </c>
      <c r="B1304" s="1">
        <f>IFERROR(__xludf.DUMMYFUNCTION("""COMPUTED_VALUE"""),184406.0)</f>
        <v>184406</v>
      </c>
      <c r="C1304" s="1">
        <f>IFERROR(__xludf.DUMMYFUNCTION("""COMPUTED_VALUE"""),2026.0)</f>
        <v>2026</v>
      </c>
      <c r="D1304" s="1">
        <f>IFERROR(__xludf.DUMMYFUNCTION("""COMPUTED_VALUE"""),46119.0)</f>
        <v>46119</v>
      </c>
      <c r="E1304" s="1" t="str">
        <f>IFERROR(__xludf.DUMMYFUNCTION("""COMPUTED_VALUE"""),"VF")</f>
        <v>VF</v>
      </c>
      <c r="F1304" s="1">
        <f>IFERROR(__xludf.DUMMYFUNCTION("""COMPUTED_VALUE"""),1.0)</f>
        <v>1</v>
      </c>
      <c r="G1304" s="1" t="str">
        <f>IFERROR(__xludf.DUMMYFUNCTION("""COMPUTED_VALUE"""),"PR015")</f>
        <v>PR015</v>
      </c>
      <c r="H1304" s="1" t="str">
        <f>IFERROR(__xludf.DUMMYFUNCTION("""COMPUTED_VALUE"""),"VD032")</f>
        <v>VD032</v>
      </c>
      <c r="I1304" s="1">
        <f>IFERROR(__xludf.DUMMYFUNCTION("""COMPUTED_VALUE"""),10.0)</f>
        <v>10</v>
      </c>
      <c r="J1304" s="1">
        <f>IFERROR(__xludf.DUMMYFUNCTION("""COMPUTED_VALUE"""),437.75)</f>
        <v>437.75</v>
      </c>
      <c r="K1304" s="1">
        <f>IFERROR(__xludf.DUMMYFUNCTION("""COMPUTED_VALUE"""),437.75)</f>
        <v>437.75</v>
      </c>
    </row>
    <row r="1305">
      <c r="A1305" s="1">
        <f>IFERROR(__xludf.DUMMYFUNCTION("""COMPUTED_VALUE"""),1000.0)</f>
        <v>1000</v>
      </c>
      <c r="B1305" s="1">
        <f>IFERROR(__xludf.DUMMYFUNCTION("""COMPUTED_VALUE"""),184407.0)</f>
        <v>184407</v>
      </c>
      <c r="C1305" s="1">
        <f>IFERROR(__xludf.DUMMYFUNCTION("""COMPUTED_VALUE"""),2026.0)</f>
        <v>2026</v>
      </c>
      <c r="D1305" s="1">
        <f>IFERROR(__xludf.DUMMYFUNCTION("""COMPUTED_VALUE"""),46119.0)</f>
        <v>46119</v>
      </c>
      <c r="E1305" s="1" t="str">
        <f>IFERROR(__xludf.DUMMYFUNCTION("""COMPUTED_VALUE"""),"VF")</f>
        <v>VF</v>
      </c>
      <c r="F1305" s="1">
        <f>IFERROR(__xludf.DUMMYFUNCTION("""COMPUTED_VALUE"""),1.0)</f>
        <v>1</v>
      </c>
      <c r="G1305" s="1" t="str">
        <f>IFERROR(__xludf.DUMMYFUNCTION("""COMPUTED_VALUE"""),"PR038")</f>
        <v>PR038</v>
      </c>
      <c r="H1305" s="1" t="str">
        <f>IFERROR(__xludf.DUMMYFUNCTION("""COMPUTED_VALUE"""),"VD021")</f>
        <v>VD021</v>
      </c>
      <c r="I1305" s="1">
        <f>IFERROR(__xludf.DUMMYFUNCTION("""COMPUTED_VALUE"""),4.0)</f>
        <v>4</v>
      </c>
      <c r="J1305" s="1">
        <f>IFERROR(__xludf.DUMMYFUNCTION("""COMPUTED_VALUE"""),571.6)</f>
        <v>571.6</v>
      </c>
      <c r="K1305" s="1">
        <f>IFERROR(__xludf.DUMMYFUNCTION("""COMPUTED_VALUE"""),571.6)</f>
        <v>571.6</v>
      </c>
    </row>
    <row r="1306">
      <c r="A1306" s="1">
        <f>IFERROR(__xludf.DUMMYFUNCTION("""COMPUTED_VALUE"""),1000.0)</f>
        <v>1000</v>
      </c>
      <c r="B1306" s="1">
        <f>IFERROR(__xludf.DUMMYFUNCTION("""COMPUTED_VALUE"""),184408.0)</f>
        <v>184408</v>
      </c>
      <c r="C1306" s="1">
        <f>IFERROR(__xludf.DUMMYFUNCTION("""COMPUTED_VALUE"""),2026.0)</f>
        <v>2026</v>
      </c>
      <c r="D1306" s="1">
        <f>IFERROR(__xludf.DUMMYFUNCTION("""COMPUTED_VALUE"""),46119.0)</f>
        <v>46119</v>
      </c>
      <c r="E1306" s="1" t="str">
        <f>IFERROR(__xludf.DUMMYFUNCTION("""COMPUTED_VALUE"""),"VF")</f>
        <v>VF</v>
      </c>
      <c r="F1306" s="1">
        <f>IFERROR(__xludf.DUMMYFUNCTION("""COMPUTED_VALUE"""),1.0)</f>
        <v>1</v>
      </c>
      <c r="G1306" s="1" t="str">
        <f>IFERROR(__xludf.DUMMYFUNCTION("""COMPUTED_VALUE"""),"PR043")</f>
        <v>PR043</v>
      </c>
      <c r="H1306" s="1" t="str">
        <f>IFERROR(__xludf.DUMMYFUNCTION("""COMPUTED_VALUE"""),"VD040")</f>
        <v>VD040</v>
      </c>
      <c r="I1306" s="1">
        <f>IFERROR(__xludf.DUMMYFUNCTION("""COMPUTED_VALUE"""),8.0)</f>
        <v>8</v>
      </c>
      <c r="J1306" s="1">
        <f>IFERROR(__xludf.DUMMYFUNCTION("""COMPUTED_VALUE"""),580.0)</f>
        <v>580</v>
      </c>
      <c r="K1306" s="1">
        <f>IFERROR(__xludf.DUMMYFUNCTION("""COMPUTED_VALUE"""),580.0)</f>
        <v>580</v>
      </c>
    </row>
    <row r="1307">
      <c r="A1307" s="1">
        <f>IFERROR(__xludf.DUMMYFUNCTION("""COMPUTED_VALUE"""),1000.0)</f>
        <v>1000</v>
      </c>
      <c r="B1307" s="1">
        <f>IFERROR(__xludf.DUMMYFUNCTION("""COMPUTED_VALUE"""),184409.0)</f>
        <v>184409</v>
      </c>
      <c r="C1307" s="1">
        <f>IFERROR(__xludf.DUMMYFUNCTION("""COMPUTED_VALUE"""),2026.0)</f>
        <v>2026</v>
      </c>
      <c r="D1307" s="1">
        <f>IFERROR(__xludf.DUMMYFUNCTION("""COMPUTED_VALUE"""),46119.0)</f>
        <v>46119</v>
      </c>
      <c r="E1307" s="1" t="str">
        <f>IFERROR(__xludf.DUMMYFUNCTION("""COMPUTED_VALUE"""),"VF")</f>
        <v>VF</v>
      </c>
      <c r="F1307" s="1">
        <f>IFERROR(__xludf.DUMMYFUNCTION("""COMPUTED_VALUE"""),1.0)</f>
        <v>1</v>
      </c>
      <c r="G1307" s="1" t="str">
        <f>IFERROR(__xludf.DUMMYFUNCTION("""COMPUTED_VALUE"""),"PR060")</f>
        <v>PR060</v>
      </c>
      <c r="H1307" s="1" t="str">
        <f>IFERROR(__xludf.DUMMYFUNCTION("""COMPUTED_VALUE"""),"VD035")</f>
        <v>VD035</v>
      </c>
      <c r="I1307" s="1">
        <f>IFERROR(__xludf.DUMMYFUNCTION("""COMPUTED_VALUE"""),8.0)</f>
        <v>8</v>
      </c>
      <c r="J1307" s="1">
        <f>IFERROR(__xludf.DUMMYFUNCTION("""COMPUTED_VALUE"""),1440.0)</f>
        <v>1440</v>
      </c>
      <c r="K1307" s="1">
        <f>IFERROR(__xludf.DUMMYFUNCTION("""COMPUTED_VALUE"""),1440.0)</f>
        <v>1440</v>
      </c>
    </row>
    <row r="1308">
      <c r="A1308" s="1">
        <f>IFERROR(__xludf.DUMMYFUNCTION("""COMPUTED_VALUE"""),1000.0)</f>
        <v>1000</v>
      </c>
      <c r="B1308" s="1">
        <f>IFERROR(__xludf.DUMMYFUNCTION("""COMPUTED_VALUE"""),184410.0)</f>
        <v>184410</v>
      </c>
      <c r="C1308" s="1">
        <f>IFERROR(__xludf.DUMMYFUNCTION("""COMPUTED_VALUE"""),2026.0)</f>
        <v>2026</v>
      </c>
      <c r="D1308" s="1">
        <f>IFERROR(__xludf.DUMMYFUNCTION("""COMPUTED_VALUE"""),46119.0)</f>
        <v>46119</v>
      </c>
      <c r="E1308" s="1" t="str">
        <f>IFERROR(__xludf.DUMMYFUNCTION("""COMPUTED_VALUE"""),"VF")</f>
        <v>VF</v>
      </c>
      <c r="F1308" s="1">
        <f>IFERROR(__xludf.DUMMYFUNCTION("""COMPUTED_VALUE"""),1.0)</f>
        <v>1</v>
      </c>
      <c r="G1308" s="1" t="str">
        <f>IFERROR(__xludf.DUMMYFUNCTION("""COMPUTED_VALUE"""),"PR056")</f>
        <v>PR056</v>
      </c>
      <c r="H1308" s="1" t="str">
        <f>IFERROR(__xludf.DUMMYFUNCTION("""COMPUTED_VALUE"""),"VD045")</f>
        <v>VD045</v>
      </c>
      <c r="I1308" s="1">
        <f>IFERROR(__xludf.DUMMYFUNCTION("""COMPUTED_VALUE"""),6.0)</f>
        <v>6</v>
      </c>
      <c r="J1308" s="1">
        <f>IFERROR(__xludf.DUMMYFUNCTION("""COMPUTED_VALUE"""),560.98)</f>
        <v>560.98</v>
      </c>
      <c r="K1308" s="1">
        <f>IFERROR(__xludf.DUMMYFUNCTION("""COMPUTED_VALUE"""),560.98)</f>
        <v>560.98</v>
      </c>
    </row>
    <row r="1309">
      <c r="A1309" s="1">
        <f>IFERROR(__xludf.DUMMYFUNCTION("""COMPUTED_VALUE"""),1000.0)</f>
        <v>1000</v>
      </c>
      <c r="B1309" s="1">
        <f>IFERROR(__xludf.DUMMYFUNCTION("""COMPUTED_VALUE"""),184410.0)</f>
        <v>184410</v>
      </c>
      <c r="C1309" s="1">
        <f>IFERROR(__xludf.DUMMYFUNCTION("""COMPUTED_VALUE"""),2026.0)</f>
        <v>2026</v>
      </c>
      <c r="D1309" s="1">
        <f>IFERROR(__xludf.DUMMYFUNCTION("""COMPUTED_VALUE"""),46119.0)</f>
        <v>46119</v>
      </c>
      <c r="E1309" s="1" t="str">
        <f>IFERROR(__xludf.DUMMYFUNCTION("""COMPUTED_VALUE"""),"VF")</f>
        <v>VF</v>
      </c>
      <c r="F1309" s="1">
        <f>IFERROR(__xludf.DUMMYFUNCTION("""COMPUTED_VALUE"""),2.0)</f>
        <v>2</v>
      </c>
      <c r="G1309" s="1" t="str">
        <f>IFERROR(__xludf.DUMMYFUNCTION("""COMPUTED_VALUE"""),"PR053")</f>
        <v>PR053</v>
      </c>
      <c r="H1309" s="1" t="str">
        <f>IFERROR(__xludf.DUMMYFUNCTION("""COMPUTED_VALUE"""),"VD028")</f>
        <v>VD028</v>
      </c>
      <c r="I1309" s="1">
        <f>IFERROR(__xludf.DUMMYFUNCTION("""COMPUTED_VALUE"""),6.0)</f>
        <v>6</v>
      </c>
      <c r="J1309" s="1">
        <f>IFERROR(__xludf.DUMMYFUNCTION("""COMPUTED_VALUE"""),311.38)</f>
        <v>311.38</v>
      </c>
      <c r="K1309" s="1">
        <f>IFERROR(__xludf.DUMMYFUNCTION("""COMPUTED_VALUE"""),311.38)</f>
        <v>311.38</v>
      </c>
    </row>
    <row r="1310">
      <c r="A1310" s="1">
        <f>IFERROR(__xludf.DUMMYFUNCTION("""COMPUTED_VALUE"""),1000.0)</f>
        <v>1000</v>
      </c>
      <c r="B1310" s="1">
        <f>IFERROR(__xludf.DUMMYFUNCTION("""COMPUTED_VALUE"""),184411.0)</f>
        <v>184411</v>
      </c>
      <c r="C1310" s="1">
        <f>IFERROR(__xludf.DUMMYFUNCTION("""COMPUTED_VALUE"""),2026.0)</f>
        <v>2026</v>
      </c>
      <c r="D1310" s="1">
        <f>IFERROR(__xludf.DUMMYFUNCTION("""COMPUTED_VALUE"""),46118.0)</f>
        <v>46118</v>
      </c>
      <c r="E1310" s="1" t="str">
        <f>IFERROR(__xludf.DUMMYFUNCTION("""COMPUTED_VALUE"""),"VF")</f>
        <v>VF</v>
      </c>
      <c r="F1310" s="1">
        <f>IFERROR(__xludf.DUMMYFUNCTION("""COMPUTED_VALUE"""),1.0)</f>
        <v>1</v>
      </c>
      <c r="G1310" s="1" t="str">
        <f>IFERROR(__xludf.DUMMYFUNCTION("""COMPUTED_VALUE"""),"PR015")</f>
        <v>PR015</v>
      </c>
      <c r="H1310" s="1" t="str">
        <f>IFERROR(__xludf.DUMMYFUNCTION("""COMPUTED_VALUE"""),"VD037")</f>
        <v>VD037</v>
      </c>
      <c r="I1310" s="1">
        <f>IFERROR(__xludf.DUMMYFUNCTION("""COMPUTED_VALUE"""),2.0)</f>
        <v>2</v>
      </c>
      <c r="J1310" s="1">
        <f>IFERROR(__xludf.DUMMYFUNCTION("""COMPUTED_VALUE"""),85.0)</f>
        <v>85</v>
      </c>
      <c r="K1310" s="1">
        <f>IFERROR(__xludf.DUMMYFUNCTION("""COMPUTED_VALUE"""),85.0)</f>
        <v>85</v>
      </c>
    </row>
    <row r="1311">
      <c r="A1311" s="1">
        <f>IFERROR(__xludf.DUMMYFUNCTION("""COMPUTED_VALUE"""),1000.0)</f>
        <v>1000</v>
      </c>
      <c r="B1311" s="1">
        <f>IFERROR(__xludf.DUMMYFUNCTION("""COMPUTED_VALUE"""),184412.0)</f>
        <v>184412</v>
      </c>
      <c r="C1311" s="1">
        <f>IFERROR(__xludf.DUMMYFUNCTION("""COMPUTED_VALUE"""),2026.0)</f>
        <v>2026</v>
      </c>
      <c r="D1311" s="1">
        <f>IFERROR(__xludf.DUMMYFUNCTION("""COMPUTED_VALUE"""),46118.0)</f>
        <v>46118</v>
      </c>
      <c r="E1311" s="1" t="str">
        <f>IFERROR(__xludf.DUMMYFUNCTION("""COMPUTED_VALUE"""),"VF")</f>
        <v>VF</v>
      </c>
      <c r="F1311" s="1">
        <f>IFERROR(__xludf.DUMMYFUNCTION("""COMPUTED_VALUE"""),1.0)</f>
        <v>1</v>
      </c>
      <c r="G1311" s="1" t="str">
        <f>IFERROR(__xludf.DUMMYFUNCTION("""COMPUTED_VALUE"""),"PR044")</f>
        <v>PR044</v>
      </c>
      <c r="H1311" s="1" t="str">
        <f>IFERROR(__xludf.DUMMYFUNCTION("""COMPUTED_VALUE"""),"VD043")</f>
        <v>VD043</v>
      </c>
      <c r="I1311" s="1">
        <f>IFERROR(__xludf.DUMMYFUNCTION("""COMPUTED_VALUE"""),4.0)</f>
        <v>4</v>
      </c>
      <c r="J1311" s="1">
        <f>IFERROR(__xludf.DUMMYFUNCTION("""COMPUTED_VALUE"""),310.3)</f>
        <v>310.3</v>
      </c>
      <c r="K1311" s="1">
        <f>IFERROR(__xludf.DUMMYFUNCTION("""COMPUTED_VALUE"""),310.3)</f>
        <v>310.3</v>
      </c>
    </row>
    <row r="1312">
      <c r="A1312" s="1">
        <f>IFERROR(__xludf.DUMMYFUNCTION("""COMPUTED_VALUE"""),1000.0)</f>
        <v>1000</v>
      </c>
      <c r="B1312" s="1">
        <f>IFERROR(__xludf.DUMMYFUNCTION("""COMPUTED_VALUE"""),184413.0)</f>
        <v>184413</v>
      </c>
      <c r="C1312" s="1">
        <f>IFERROR(__xludf.DUMMYFUNCTION("""COMPUTED_VALUE"""),2026.0)</f>
        <v>2026</v>
      </c>
      <c r="D1312" s="1">
        <f>IFERROR(__xludf.DUMMYFUNCTION("""COMPUTED_VALUE"""),46118.0)</f>
        <v>46118</v>
      </c>
      <c r="E1312" s="1" t="str">
        <f>IFERROR(__xludf.DUMMYFUNCTION("""COMPUTED_VALUE"""),"VF")</f>
        <v>VF</v>
      </c>
      <c r="F1312" s="1">
        <f>IFERROR(__xludf.DUMMYFUNCTION("""COMPUTED_VALUE"""),1.0)</f>
        <v>1</v>
      </c>
      <c r="G1312" s="1" t="str">
        <f>IFERROR(__xludf.DUMMYFUNCTION("""COMPUTED_VALUE"""),"PR058")</f>
        <v>PR058</v>
      </c>
      <c r="H1312" s="1" t="str">
        <f>IFERROR(__xludf.DUMMYFUNCTION("""COMPUTED_VALUE"""),"VD013")</f>
        <v>VD013</v>
      </c>
      <c r="I1312" s="1">
        <f>IFERROR(__xludf.DUMMYFUNCTION("""COMPUTED_VALUE"""),5.0)</f>
        <v>5</v>
      </c>
      <c r="J1312" s="1">
        <f>IFERROR(__xludf.DUMMYFUNCTION("""COMPUTED_VALUE"""),954.0)</f>
        <v>954</v>
      </c>
      <c r="K1312" s="1">
        <f>IFERROR(__xludf.DUMMYFUNCTION("""COMPUTED_VALUE"""),954.0)</f>
        <v>954</v>
      </c>
    </row>
    <row r="1313">
      <c r="A1313" s="1">
        <f>IFERROR(__xludf.DUMMYFUNCTION("""COMPUTED_VALUE"""),2000.0)</f>
        <v>2000</v>
      </c>
      <c r="B1313" s="1">
        <f>IFERROR(__xludf.DUMMYFUNCTION("""COMPUTED_VALUE"""),184414.0)</f>
        <v>184414</v>
      </c>
      <c r="C1313" s="1">
        <f>IFERROR(__xludf.DUMMYFUNCTION("""COMPUTED_VALUE"""),2026.0)</f>
        <v>2026</v>
      </c>
      <c r="D1313" s="1">
        <f>IFERROR(__xludf.DUMMYFUNCTION("""COMPUTED_VALUE"""),46117.0)</f>
        <v>46117</v>
      </c>
      <c r="E1313" s="1" t="str">
        <f>IFERROR(__xludf.DUMMYFUNCTION("""COMPUTED_VALUE"""),"VF")</f>
        <v>VF</v>
      </c>
      <c r="F1313" s="1">
        <f>IFERROR(__xludf.DUMMYFUNCTION("""COMPUTED_VALUE"""),1.0)</f>
        <v>1</v>
      </c>
      <c r="G1313" s="1" t="str">
        <f>IFERROR(__xludf.DUMMYFUNCTION("""COMPUTED_VALUE"""),"PR006")</f>
        <v>PR006</v>
      </c>
      <c r="H1313" s="1" t="str">
        <f>IFERROR(__xludf.DUMMYFUNCTION("""COMPUTED_VALUE"""),"VD016")</f>
        <v>VD016</v>
      </c>
      <c r="I1313" s="1">
        <f>IFERROR(__xludf.DUMMYFUNCTION("""COMPUTED_VALUE"""),7.0)</f>
        <v>7</v>
      </c>
      <c r="J1313" s="1">
        <f>IFERROR(__xludf.DUMMYFUNCTION("""COMPUTED_VALUE"""),296.06)</f>
        <v>296.06</v>
      </c>
      <c r="K1313" s="1">
        <f>IFERROR(__xludf.DUMMYFUNCTION("""COMPUTED_VALUE"""),296.06)</f>
        <v>296.06</v>
      </c>
    </row>
    <row r="1314">
      <c r="A1314" s="1">
        <f>IFERROR(__xludf.DUMMYFUNCTION("""COMPUTED_VALUE"""),1000.0)</f>
        <v>1000</v>
      </c>
      <c r="B1314" s="1">
        <f>IFERROR(__xludf.DUMMYFUNCTION("""COMPUTED_VALUE"""),184415.0)</f>
        <v>184415</v>
      </c>
      <c r="C1314" s="1">
        <f>IFERROR(__xludf.DUMMYFUNCTION("""COMPUTED_VALUE"""),2026.0)</f>
        <v>2026</v>
      </c>
      <c r="D1314" s="1">
        <f>IFERROR(__xludf.DUMMYFUNCTION("""COMPUTED_VALUE"""),46117.0)</f>
        <v>46117</v>
      </c>
      <c r="E1314" s="1" t="str">
        <f>IFERROR(__xludf.DUMMYFUNCTION("""COMPUTED_VALUE"""),"VF")</f>
        <v>VF</v>
      </c>
      <c r="F1314" s="1">
        <f>IFERROR(__xludf.DUMMYFUNCTION("""COMPUTED_VALUE"""),1.0)</f>
        <v>1</v>
      </c>
      <c r="G1314" s="1" t="str">
        <f>IFERROR(__xludf.DUMMYFUNCTION("""COMPUTED_VALUE"""),"PR023")</f>
        <v>PR023</v>
      </c>
      <c r="H1314" s="1" t="str">
        <f>IFERROR(__xludf.DUMMYFUNCTION("""COMPUTED_VALUE"""),"VD021")</f>
        <v>VD021</v>
      </c>
      <c r="I1314" s="1">
        <f>IFERROR(__xludf.DUMMYFUNCTION("""COMPUTED_VALUE"""),14.0)</f>
        <v>14</v>
      </c>
      <c r="J1314" s="1">
        <f>IFERROR(__xludf.DUMMYFUNCTION("""COMPUTED_VALUE"""),3638.54)</f>
        <v>3638.54</v>
      </c>
      <c r="K1314" s="1">
        <f>IFERROR(__xludf.DUMMYFUNCTION("""COMPUTED_VALUE"""),3638.54)</f>
        <v>3638.54</v>
      </c>
    </row>
    <row r="1315">
      <c r="A1315" s="1">
        <f>IFERROR(__xludf.DUMMYFUNCTION("""COMPUTED_VALUE"""),2000.0)</f>
        <v>2000</v>
      </c>
      <c r="B1315" s="1">
        <f>IFERROR(__xludf.DUMMYFUNCTION("""COMPUTED_VALUE"""),184416.0)</f>
        <v>184416</v>
      </c>
      <c r="C1315" s="1">
        <f>IFERROR(__xludf.DUMMYFUNCTION("""COMPUTED_VALUE"""),2026.0)</f>
        <v>2026</v>
      </c>
      <c r="D1315" s="1">
        <f>IFERROR(__xludf.DUMMYFUNCTION("""COMPUTED_VALUE"""),46116.0)</f>
        <v>46116</v>
      </c>
      <c r="E1315" s="1" t="str">
        <f>IFERROR(__xludf.DUMMYFUNCTION("""COMPUTED_VALUE"""),"VF")</f>
        <v>VF</v>
      </c>
      <c r="F1315" s="1">
        <f>IFERROR(__xludf.DUMMYFUNCTION("""COMPUTED_VALUE"""),1.0)</f>
        <v>1</v>
      </c>
      <c r="G1315" s="1" t="str">
        <f>IFERROR(__xludf.DUMMYFUNCTION("""COMPUTED_VALUE"""),"PR055")</f>
        <v>PR055</v>
      </c>
      <c r="H1315" s="1" t="str">
        <f>IFERROR(__xludf.DUMMYFUNCTION("""COMPUTED_VALUE"""),"VD038")</f>
        <v>VD038</v>
      </c>
      <c r="I1315" s="1">
        <f>IFERROR(__xludf.DUMMYFUNCTION("""COMPUTED_VALUE"""),5.0)</f>
        <v>5</v>
      </c>
      <c r="J1315" s="1">
        <f>IFERROR(__xludf.DUMMYFUNCTION("""COMPUTED_VALUE"""),449.5)</f>
        <v>449.5</v>
      </c>
      <c r="K1315" s="1">
        <f>IFERROR(__xludf.DUMMYFUNCTION("""COMPUTED_VALUE"""),449.5)</f>
        <v>449.5</v>
      </c>
    </row>
    <row r="1316">
      <c r="A1316" s="1">
        <f>IFERROR(__xludf.DUMMYFUNCTION("""COMPUTED_VALUE"""),1000.0)</f>
        <v>1000</v>
      </c>
      <c r="B1316" s="1">
        <f>IFERROR(__xludf.DUMMYFUNCTION("""COMPUTED_VALUE"""),184417.0)</f>
        <v>184417</v>
      </c>
      <c r="C1316" s="1">
        <f>IFERROR(__xludf.DUMMYFUNCTION("""COMPUTED_VALUE"""),2026.0)</f>
        <v>2026</v>
      </c>
      <c r="D1316" s="1">
        <f>IFERROR(__xludf.DUMMYFUNCTION("""COMPUTED_VALUE"""),46116.0)</f>
        <v>46116</v>
      </c>
      <c r="E1316" s="1" t="str">
        <f>IFERROR(__xludf.DUMMYFUNCTION("""COMPUTED_VALUE"""),"VF")</f>
        <v>VF</v>
      </c>
      <c r="F1316" s="1">
        <f>IFERROR(__xludf.DUMMYFUNCTION("""COMPUTED_VALUE"""),1.0)</f>
        <v>1</v>
      </c>
      <c r="G1316" s="1" t="str">
        <f>IFERROR(__xludf.DUMMYFUNCTION("""COMPUTED_VALUE"""),"PR006")</f>
        <v>PR006</v>
      </c>
      <c r="H1316" s="1" t="str">
        <f>IFERROR(__xludf.DUMMYFUNCTION("""COMPUTED_VALUE"""),"VD046")</f>
        <v>VD046</v>
      </c>
      <c r="I1316" s="1">
        <f>IFERROR(__xludf.DUMMYFUNCTION("""COMPUTED_VALUE"""),7.0)</f>
        <v>7</v>
      </c>
      <c r="J1316" s="1">
        <f>IFERROR(__xludf.DUMMYFUNCTION("""COMPUTED_VALUE"""),293.27)</f>
        <v>293.27</v>
      </c>
      <c r="K1316" s="1">
        <f>IFERROR(__xludf.DUMMYFUNCTION("""COMPUTED_VALUE"""),293.27)</f>
        <v>293.27</v>
      </c>
    </row>
    <row r="1317">
      <c r="A1317" s="1">
        <f>IFERROR(__xludf.DUMMYFUNCTION("""COMPUTED_VALUE"""),2000.0)</f>
        <v>2000</v>
      </c>
      <c r="B1317" s="1">
        <f>IFERROR(__xludf.DUMMYFUNCTION("""COMPUTED_VALUE"""),184418.0)</f>
        <v>184418</v>
      </c>
      <c r="C1317" s="1">
        <f>IFERROR(__xludf.DUMMYFUNCTION("""COMPUTED_VALUE"""),2026.0)</f>
        <v>2026</v>
      </c>
      <c r="D1317" s="1">
        <f>IFERROR(__xludf.DUMMYFUNCTION("""COMPUTED_VALUE"""),46116.0)</f>
        <v>46116</v>
      </c>
      <c r="E1317" s="1" t="str">
        <f>IFERROR(__xludf.DUMMYFUNCTION("""COMPUTED_VALUE"""),"VF")</f>
        <v>VF</v>
      </c>
      <c r="F1317" s="1">
        <f>IFERROR(__xludf.DUMMYFUNCTION("""COMPUTED_VALUE"""),1.0)</f>
        <v>1</v>
      </c>
      <c r="G1317" s="1" t="str">
        <f>IFERROR(__xludf.DUMMYFUNCTION("""COMPUTED_VALUE"""),"PR033")</f>
        <v>PR033</v>
      </c>
      <c r="H1317" s="1" t="str">
        <f>IFERROR(__xludf.DUMMYFUNCTION("""COMPUTED_VALUE"""),"VD049")</f>
        <v>VD049</v>
      </c>
      <c r="I1317" s="1">
        <f>IFERROR(__xludf.DUMMYFUNCTION("""COMPUTED_VALUE"""),8.0)</f>
        <v>8</v>
      </c>
      <c r="J1317" s="1">
        <f>IFERROR(__xludf.DUMMYFUNCTION("""COMPUTED_VALUE"""),2287.12)</f>
        <v>2287.12</v>
      </c>
      <c r="K1317" s="1">
        <f>IFERROR(__xludf.DUMMYFUNCTION("""COMPUTED_VALUE"""),2287.12)</f>
        <v>2287.12</v>
      </c>
    </row>
    <row r="1318">
      <c r="A1318" s="1">
        <f>IFERROR(__xludf.DUMMYFUNCTION("""COMPUTED_VALUE"""),2000.0)</f>
        <v>2000</v>
      </c>
      <c r="B1318" s="1">
        <f>IFERROR(__xludf.DUMMYFUNCTION("""COMPUTED_VALUE"""),184418.0)</f>
        <v>184418</v>
      </c>
      <c r="C1318" s="1">
        <f>IFERROR(__xludf.DUMMYFUNCTION("""COMPUTED_VALUE"""),2026.0)</f>
        <v>2026</v>
      </c>
      <c r="D1318" s="1">
        <f>IFERROR(__xludf.DUMMYFUNCTION("""COMPUTED_VALUE"""),46116.0)</f>
        <v>46116</v>
      </c>
      <c r="E1318" s="1" t="str">
        <f>IFERROR(__xludf.DUMMYFUNCTION("""COMPUTED_VALUE"""),"VF")</f>
        <v>VF</v>
      </c>
      <c r="F1318" s="1">
        <f>IFERROR(__xludf.DUMMYFUNCTION("""COMPUTED_VALUE"""),2.0)</f>
        <v>2</v>
      </c>
      <c r="G1318" s="1" t="str">
        <f>IFERROR(__xludf.DUMMYFUNCTION("""COMPUTED_VALUE"""),"PR028")</f>
        <v>PR028</v>
      </c>
      <c r="H1318" s="1" t="str">
        <f>IFERROR(__xludf.DUMMYFUNCTION("""COMPUTED_VALUE"""),"VD039")</f>
        <v>VD039</v>
      </c>
      <c r="I1318" s="1">
        <f>IFERROR(__xludf.DUMMYFUNCTION("""COMPUTED_VALUE"""),8.0)</f>
        <v>8</v>
      </c>
      <c r="J1318" s="1">
        <f>IFERROR(__xludf.DUMMYFUNCTION("""COMPUTED_VALUE"""),2119.15)</f>
        <v>2119.15</v>
      </c>
      <c r="K1318" s="1">
        <f>IFERROR(__xludf.DUMMYFUNCTION("""COMPUTED_VALUE"""),2119.15)</f>
        <v>2119.15</v>
      </c>
    </row>
    <row r="1319">
      <c r="A1319" s="1">
        <f>IFERROR(__xludf.DUMMYFUNCTION("""COMPUTED_VALUE"""),1000.0)</f>
        <v>1000</v>
      </c>
      <c r="B1319" s="1">
        <f>IFERROR(__xludf.DUMMYFUNCTION("""COMPUTED_VALUE"""),184418.0)</f>
        <v>184418</v>
      </c>
      <c r="C1319" s="1">
        <f>IFERROR(__xludf.DUMMYFUNCTION("""COMPUTED_VALUE"""),2026.0)</f>
        <v>2026</v>
      </c>
      <c r="D1319" s="1">
        <f>IFERROR(__xludf.DUMMYFUNCTION("""COMPUTED_VALUE"""),46116.0)</f>
        <v>46116</v>
      </c>
      <c r="E1319" s="1" t="str">
        <f>IFERROR(__xludf.DUMMYFUNCTION("""COMPUTED_VALUE"""),"VF")</f>
        <v>VF</v>
      </c>
      <c r="F1319" s="1">
        <f>IFERROR(__xludf.DUMMYFUNCTION("""COMPUTED_VALUE"""),3.0)</f>
        <v>3</v>
      </c>
      <c r="G1319" s="1" t="str">
        <f>IFERROR(__xludf.DUMMYFUNCTION("""COMPUTED_VALUE"""),"PR047")</f>
        <v>PR047</v>
      </c>
      <c r="H1319" s="1" t="str">
        <f>IFERROR(__xludf.DUMMYFUNCTION("""COMPUTED_VALUE"""),"VD049")</f>
        <v>VD049</v>
      </c>
      <c r="I1319" s="1">
        <f>IFERROR(__xludf.DUMMYFUNCTION("""COMPUTED_VALUE"""),2.0)</f>
        <v>2</v>
      </c>
      <c r="J1319" s="1">
        <f>IFERROR(__xludf.DUMMYFUNCTION("""COMPUTED_VALUE"""),608.79)</f>
        <v>608.79</v>
      </c>
      <c r="K1319" s="1">
        <f>IFERROR(__xludf.DUMMYFUNCTION("""COMPUTED_VALUE"""),608.79)</f>
        <v>608.79</v>
      </c>
    </row>
    <row r="1320">
      <c r="A1320" s="1">
        <f>IFERROR(__xludf.DUMMYFUNCTION("""COMPUTED_VALUE"""),1000.0)</f>
        <v>1000</v>
      </c>
      <c r="B1320" s="1">
        <f>IFERROR(__xludf.DUMMYFUNCTION("""COMPUTED_VALUE"""),184419.0)</f>
        <v>184419</v>
      </c>
      <c r="C1320" s="1">
        <f>IFERROR(__xludf.DUMMYFUNCTION("""COMPUTED_VALUE"""),2026.0)</f>
        <v>2026</v>
      </c>
      <c r="D1320" s="1">
        <f>IFERROR(__xludf.DUMMYFUNCTION("""COMPUTED_VALUE"""),46116.0)</f>
        <v>46116</v>
      </c>
      <c r="E1320" s="1" t="str">
        <f>IFERROR(__xludf.DUMMYFUNCTION("""COMPUTED_VALUE"""),"VF")</f>
        <v>VF</v>
      </c>
      <c r="F1320" s="1">
        <f>IFERROR(__xludf.DUMMYFUNCTION("""COMPUTED_VALUE"""),1.0)</f>
        <v>1</v>
      </c>
      <c r="G1320" s="1" t="str">
        <f>IFERROR(__xludf.DUMMYFUNCTION("""COMPUTED_VALUE"""),"PR030")</f>
        <v>PR030</v>
      </c>
      <c r="H1320" s="1" t="str">
        <f>IFERROR(__xludf.DUMMYFUNCTION("""COMPUTED_VALUE"""),"VD040")</f>
        <v>VD040</v>
      </c>
      <c r="I1320" s="1">
        <f>IFERROR(__xludf.DUMMYFUNCTION("""COMPUTED_VALUE"""),10.0)</f>
        <v>10</v>
      </c>
      <c r="J1320" s="1">
        <f>IFERROR(__xludf.DUMMYFUNCTION("""COMPUTED_VALUE"""),2728.95)</f>
        <v>2728.95</v>
      </c>
      <c r="K1320" s="1">
        <f>IFERROR(__xludf.DUMMYFUNCTION("""COMPUTED_VALUE"""),2728.95)</f>
        <v>2728.95</v>
      </c>
    </row>
    <row r="1321">
      <c r="A1321" s="1">
        <f>IFERROR(__xludf.DUMMYFUNCTION("""COMPUTED_VALUE"""),1000.0)</f>
        <v>1000</v>
      </c>
      <c r="B1321" s="1">
        <f>IFERROR(__xludf.DUMMYFUNCTION("""COMPUTED_VALUE"""),184420.0)</f>
        <v>184420</v>
      </c>
      <c r="C1321" s="1">
        <f>IFERROR(__xludf.DUMMYFUNCTION("""COMPUTED_VALUE"""),2026.0)</f>
        <v>2026</v>
      </c>
      <c r="D1321" s="1">
        <f>IFERROR(__xludf.DUMMYFUNCTION("""COMPUTED_VALUE"""),46116.0)</f>
        <v>46116</v>
      </c>
      <c r="E1321" s="1" t="str">
        <f>IFERROR(__xludf.DUMMYFUNCTION("""COMPUTED_VALUE"""),"VF")</f>
        <v>VF</v>
      </c>
      <c r="F1321" s="1">
        <f>IFERROR(__xludf.DUMMYFUNCTION("""COMPUTED_VALUE"""),1.0)</f>
        <v>1</v>
      </c>
      <c r="G1321" s="1" t="str">
        <f>IFERROR(__xludf.DUMMYFUNCTION("""COMPUTED_VALUE"""),"PR017")</f>
        <v>PR017</v>
      </c>
      <c r="H1321" s="1" t="str">
        <f>IFERROR(__xludf.DUMMYFUNCTION("""COMPUTED_VALUE"""),"VD043")</f>
        <v>VD043</v>
      </c>
      <c r="I1321" s="1">
        <f>IFERROR(__xludf.DUMMYFUNCTION("""COMPUTED_VALUE"""),2.0)</f>
        <v>2</v>
      </c>
      <c r="J1321" s="1">
        <f>IFERROR(__xludf.DUMMYFUNCTION("""COMPUTED_VALUE"""),61.59)</f>
        <v>61.59</v>
      </c>
      <c r="K1321" s="1">
        <f>IFERROR(__xludf.DUMMYFUNCTION("""COMPUTED_VALUE"""),61.59)</f>
        <v>61.59</v>
      </c>
    </row>
    <row r="1322">
      <c r="A1322" s="1">
        <f>IFERROR(__xludf.DUMMYFUNCTION("""COMPUTED_VALUE"""),2000.0)</f>
        <v>2000</v>
      </c>
      <c r="B1322" s="1">
        <f>IFERROR(__xludf.DUMMYFUNCTION("""COMPUTED_VALUE"""),184421.0)</f>
        <v>184421</v>
      </c>
      <c r="C1322" s="1">
        <f>IFERROR(__xludf.DUMMYFUNCTION("""COMPUTED_VALUE"""),2026.0)</f>
        <v>2026</v>
      </c>
      <c r="D1322" s="1">
        <f>IFERROR(__xludf.DUMMYFUNCTION("""COMPUTED_VALUE"""),46116.0)</f>
        <v>46116</v>
      </c>
      <c r="E1322" s="1" t="str">
        <f>IFERROR(__xludf.DUMMYFUNCTION("""COMPUTED_VALUE"""),"VF")</f>
        <v>VF</v>
      </c>
      <c r="F1322" s="1">
        <f>IFERROR(__xludf.DUMMYFUNCTION("""COMPUTED_VALUE"""),1.0)</f>
        <v>1</v>
      </c>
      <c r="G1322" s="1" t="str">
        <f>IFERROR(__xludf.DUMMYFUNCTION("""COMPUTED_VALUE"""),"PR018")</f>
        <v>PR018</v>
      </c>
      <c r="H1322" s="1" t="str">
        <f>IFERROR(__xludf.DUMMYFUNCTION("""COMPUTED_VALUE"""),"VD012")</f>
        <v>VD012</v>
      </c>
      <c r="I1322" s="1">
        <f>IFERROR(__xludf.DUMMYFUNCTION("""COMPUTED_VALUE"""),16.0)</f>
        <v>16</v>
      </c>
      <c r="J1322" s="1">
        <f>IFERROR(__xludf.DUMMYFUNCTION("""COMPUTED_VALUE"""),536.93)</f>
        <v>536.93</v>
      </c>
      <c r="K1322" s="1">
        <f>IFERROR(__xludf.DUMMYFUNCTION("""COMPUTED_VALUE"""),536.93)</f>
        <v>536.93</v>
      </c>
    </row>
    <row r="1323">
      <c r="A1323" s="1">
        <f>IFERROR(__xludf.DUMMYFUNCTION("""COMPUTED_VALUE"""),1000.0)</f>
        <v>1000</v>
      </c>
      <c r="B1323" s="1">
        <f>IFERROR(__xludf.DUMMYFUNCTION("""COMPUTED_VALUE"""),184422.0)</f>
        <v>184422</v>
      </c>
      <c r="C1323" s="1">
        <f>IFERROR(__xludf.DUMMYFUNCTION("""COMPUTED_VALUE"""),2026.0)</f>
        <v>2026</v>
      </c>
      <c r="D1323" s="1">
        <f>IFERROR(__xludf.DUMMYFUNCTION("""COMPUTED_VALUE"""),46115.0)</f>
        <v>46115</v>
      </c>
      <c r="E1323" s="1" t="str">
        <f>IFERROR(__xludf.DUMMYFUNCTION("""COMPUTED_VALUE"""),"VF")</f>
        <v>VF</v>
      </c>
      <c r="F1323" s="1">
        <f>IFERROR(__xludf.DUMMYFUNCTION("""COMPUTED_VALUE"""),1.0)</f>
        <v>1</v>
      </c>
      <c r="G1323" s="1" t="str">
        <f>IFERROR(__xludf.DUMMYFUNCTION("""COMPUTED_VALUE"""),"PR044")</f>
        <v>PR044</v>
      </c>
      <c r="H1323" s="1" t="str">
        <f>IFERROR(__xludf.DUMMYFUNCTION("""COMPUTED_VALUE"""),"VD023")</f>
        <v>VD023</v>
      </c>
      <c r="I1323" s="1">
        <f>IFERROR(__xludf.DUMMYFUNCTION("""COMPUTED_VALUE"""),10.0)</f>
        <v>10</v>
      </c>
      <c r="J1323" s="1">
        <f>IFERROR(__xludf.DUMMYFUNCTION("""COMPUTED_VALUE"""),768.5)</f>
        <v>768.5</v>
      </c>
      <c r="K1323" s="1">
        <f>IFERROR(__xludf.DUMMYFUNCTION("""COMPUTED_VALUE"""),768.5)</f>
        <v>768.5</v>
      </c>
    </row>
    <row r="1324">
      <c r="A1324" s="1">
        <f>IFERROR(__xludf.DUMMYFUNCTION("""COMPUTED_VALUE"""),1000.0)</f>
        <v>1000</v>
      </c>
      <c r="B1324" s="1">
        <f>IFERROR(__xludf.DUMMYFUNCTION("""COMPUTED_VALUE"""),184423.0)</f>
        <v>184423</v>
      </c>
      <c r="C1324" s="1">
        <f>IFERROR(__xludf.DUMMYFUNCTION("""COMPUTED_VALUE"""),2026.0)</f>
        <v>2026</v>
      </c>
      <c r="D1324" s="1">
        <f>IFERROR(__xludf.DUMMYFUNCTION("""COMPUTED_VALUE"""),46115.0)</f>
        <v>46115</v>
      </c>
      <c r="E1324" s="1" t="str">
        <f>IFERROR(__xludf.DUMMYFUNCTION("""COMPUTED_VALUE"""),"VF")</f>
        <v>VF</v>
      </c>
      <c r="F1324" s="1">
        <f>IFERROR(__xludf.DUMMYFUNCTION("""COMPUTED_VALUE"""),1.0)</f>
        <v>1</v>
      </c>
      <c r="G1324" s="1" t="str">
        <f>IFERROR(__xludf.DUMMYFUNCTION("""COMPUTED_VALUE"""),"PR053")</f>
        <v>PR053</v>
      </c>
      <c r="H1324" s="1" t="str">
        <f>IFERROR(__xludf.DUMMYFUNCTION("""COMPUTED_VALUE"""),"VD029")</f>
        <v>VD029</v>
      </c>
      <c r="I1324" s="1">
        <f>IFERROR(__xludf.DUMMYFUNCTION("""COMPUTED_VALUE"""),12.0)</f>
        <v>12</v>
      </c>
      <c r="J1324" s="1">
        <f>IFERROR(__xludf.DUMMYFUNCTION("""COMPUTED_VALUE"""),628.74)</f>
        <v>628.74</v>
      </c>
      <c r="K1324" s="1">
        <f>IFERROR(__xludf.DUMMYFUNCTION("""COMPUTED_VALUE"""),628.74)</f>
        <v>628.74</v>
      </c>
    </row>
    <row r="1325">
      <c r="A1325" s="1">
        <f>IFERROR(__xludf.DUMMYFUNCTION("""COMPUTED_VALUE"""),1000.0)</f>
        <v>1000</v>
      </c>
      <c r="B1325" s="1">
        <f>IFERROR(__xludf.DUMMYFUNCTION("""COMPUTED_VALUE"""),184424.0)</f>
        <v>184424</v>
      </c>
      <c r="C1325" s="1">
        <f>IFERROR(__xludf.DUMMYFUNCTION("""COMPUTED_VALUE"""),2026.0)</f>
        <v>2026</v>
      </c>
      <c r="D1325" s="1">
        <f>IFERROR(__xludf.DUMMYFUNCTION("""COMPUTED_VALUE"""),46114.0)</f>
        <v>46114</v>
      </c>
      <c r="E1325" s="1" t="str">
        <f>IFERROR(__xludf.DUMMYFUNCTION("""COMPUTED_VALUE"""),"VF")</f>
        <v>VF</v>
      </c>
      <c r="F1325" s="1">
        <f>IFERROR(__xludf.DUMMYFUNCTION("""COMPUTED_VALUE"""),1.0)</f>
        <v>1</v>
      </c>
      <c r="G1325" s="1" t="str">
        <f>IFERROR(__xludf.DUMMYFUNCTION("""COMPUTED_VALUE"""),"PR025")</f>
        <v>PR025</v>
      </c>
      <c r="H1325" s="1" t="str">
        <f>IFERROR(__xludf.DUMMYFUNCTION("""COMPUTED_VALUE"""),"VD015")</f>
        <v>VD015</v>
      </c>
      <c r="I1325" s="1">
        <f>IFERROR(__xludf.DUMMYFUNCTION("""COMPUTED_VALUE"""),7.0)</f>
        <v>7</v>
      </c>
      <c r="J1325" s="1">
        <f>IFERROR(__xludf.DUMMYFUNCTION("""COMPUTED_VALUE"""),2183.27)</f>
        <v>2183.27</v>
      </c>
      <c r="K1325" s="1">
        <f>IFERROR(__xludf.DUMMYFUNCTION("""COMPUTED_VALUE"""),2183.27)</f>
        <v>2183.27</v>
      </c>
    </row>
    <row r="1326">
      <c r="A1326" s="1">
        <f>IFERROR(__xludf.DUMMYFUNCTION("""COMPUTED_VALUE"""),1000.0)</f>
        <v>1000</v>
      </c>
      <c r="B1326" s="1">
        <f>IFERROR(__xludf.DUMMYFUNCTION("""COMPUTED_VALUE"""),184425.0)</f>
        <v>184425</v>
      </c>
      <c r="C1326" s="1">
        <f>IFERROR(__xludf.DUMMYFUNCTION("""COMPUTED_VALUE"""),2026.0)</f>
        <v>2026</v>
      </c>
      <c r="D1326" s="1">
        <f>IFERROR(__xludf.DUMMYFUNCTION("""COMPUTED_VALUE"""),46114.0)</f>
        <v>46114</v>
      </c>
      <c r="E1326" s="1" t="str">
        <f>IFERROR(__xludf.DUMMYFUNCTION("""COMPUTED_VALUE"""),"VF")</f>
        <v>VF</v>
      </c>
      <c r="F1326" s="1">
        <f>IFERROR(__xludf.DUMMYFUNCTION("""COMPUTED_VALUE"""),1.0)</f>
        <v>1</v>
      </c>
      <c r="G1326" s="1" t="str">
        <f>IFERROR(__xludf.DUMMYFUNCTION("""COMPUTED_VALUE"""),"PR021")</f>
        <v>PR021</v>
      </c>
      <c r="H1326" s="1" t="str">
        <f>IFERROR(__xludf.DUMMYFUNCTION("""COMPUTED_VALUE"""),"VD030")</f>
        <v>VD030</v>
      </c>
      <c r="I1326" s="1">
        <f>IFERROR(__xludf.DUMMYFUNCTION("""COMPUTED_VALUE"""),18.0)</f>
        <v>18</v>
      </c>
      <c r="J1326" s="1">
        <f>IFERROR(__xludf.DUMMYFUNCTION("""COMPUTED_VALUE"""),5670.29)</f>
        <v>5670.29</v>
      </c>
      <c r="K1326" s="1">
        <f>IFERROR(__xludf.DUMMYFUNCTION("""COMPUTED_VALUE"""),5670.29)</f>
        <v>5670.29</v>
      </c>
    </row>
    <row r="1327">
      <c r="A1327" s="1">
        <f>IFERROR(__xludf.DUMMYFUNCTION("""COMPUTED_VALUE"""),1000.0)</f>
        <v>1000</v>
      </c>
      <c r="B1327" s="1">
        <f>IFERROR(__xludf.DUMMYFUNCTION("""COMPUTED_VALUE"""),184426.0)</f>
        <v>184426</v>
      </c>
      <c r="C1327" s="1">
        <f>IFERROR(__xludf.DUMMYFUNCTION("""COMPUTED_VALUE"""),2026.0)</f>
        <v>2026</v>
      </c>
      <c r="D1327" s="1">
        <f>IFERROR(__xludf.DUMMYFUNCTION("""COMPUTED_VALUE"""),46114.0)</f>
        <v>46114</v>
      </c>
      <c r="E1327" s="1" t="str">
        <f>IFERROR(__xludf.DUMMYFUNCTION("""COMPUTED_VALUE"""),"VF")</f>
        <v>VF</v>
      </c>
      <c r="F1327" s="1">
        <f>IFERROR(__xludf.DUMMYFUNCTION("""COMPUTED_VALUE"""),1.0)</f>
        <v>1</v>
      </c>
      <c r="G1327" s="1" t="str">
        <f>IFERROR(__xludf.DUMMYFUNCTION("""COMPUTED_VALUE"""),"PR054")</f>
        <v>PR054</v>
      </c>
      <c r="H1327" s="1" t="str">
        <f>IFERROR(__xludf.DUMMYFUNCTION("""COMPUTED_VALUE"""),"VD026")</f>
        <v>VD026</v>
      </c>
      <c r="I1327" s="1">
        <f>IFERROR(__xludf.DUMMYFUNCTION("""COMPUTED_VALUE"""),10.0)</f>
        <v>10</v>
      </c>
      <c r="J1327" s="1">
        <f>IFERROR(__xludf.DUMMYFUNCTION("""COMPUTED_VALUE"""),523.95)</f>
        <v>523.95</v>
      </c>
      <c r="K1327" s="1">
        <f>IFERROR(__xludf.DUMMYFUNCTION("""COMPUTED_VALUE"""),523.95)</f>
        <v>523.95</v>
      </c>
    </row>
    <row r="1328">
      <c r="A1328" s="1">
        <f>IFERROR(__xludf.DUMMYFUNCTION("""COMPUTED_VALUE"""),1000.0)</f>
        <v>1000</v>
      </c>
      <c r="B1328" s="1">
        <f>IFERROR(__xludf.DUMMYFUNCTION("""COMPUTED_VALUE"""),184426.0)</f>
        <v>184426</v>
      </c>
      <c r="C1328" s="1">
        <f>IFERROR(__xludf.DUMMYFUNCTION("""COMPUTED_VALUE"""),2026.0)</f>
        <v>2026</v>
      </c>
      <c r="D1328" s="1">
        <f>IFERROR(__xludf.DUMMYFUNCTION("""COMPUTED_VALUE"""),46114.0)</f>
        <v>46114</v>
      </c>
      <c r="E1328" s="1" t="str">
        <f>IFERROR(__xludf.DUMMYFUNCTION("""COMPUTED_VALUE"""),"VF")</f>
        <v>VF</v>
      </c>
      <c r="F1328" s="1">
        <f>IFERROR(__xludf.DUMMYFUNCTION("""COMPUTED_VALUE"""),2.0)</f>
        <v>2</v>
      </c>
      <c r="G1328" s="1" t="str">
        <f>IFERROR(__xludf.DUMMYFUNCTION("""COMPUTED_VALUE"""),"PR002")</f>
        <v>PR002</v>
      </c>
      <c r="H1328" s="1" t="str">
        <f>IFERROR(__xludf.DUMMYFUNCTION("""COMPUTED_VALUE"""),"VD019")</f>
        <v>VD019</v>
      </c>
      <c r="I1328" s="1">
        <f>IFERROR(__xludf.DUMMYFUNCTION("""COMPUTED_VALUE"""),2.0)</f>
        <v>2</v>
      </c>
      <c r="J1328" s="1">
        <f>IFERROR(__xludf.DUMMYFUNCTION("""COMPUTED_VALUE"""),153.78)</f>
        <v>153.78</v>
      </c>
      <c r="K1328" s="1">
        <f>IFERROR(__xludf.DUMMYFUNCTION("""COMPUTED_VALUE"""),153.78)</f>
        <v>153.78</v>
      </c>
    </row>
    <row r="1329">
      <c r="A1329" s="1">
        <f>IFERROR(__xludf.DUMMYFUNCTION("""COMPUTED_VALUE"""),1000.0)</f>
        <v>1000</v>
      </c>
      <c r="B1329" s="1">
        <f>IFERROR(__xludf.DUMMYFUNCTION("""COMPUTED_VALUE"""),184426.0)</f>
        <v>184426</v>
      </c>
      <c r="C1329" s="1">
        <f>IFERROR(__xludf.DUMMYFUNCTION("""COMPUTED_VALUE"""),2026.0)</f>
        <v>2026</v>
      </c>
      <c r="D1329" s="1">
        <f>IFERROR(__xludf.DUMMYFUNCTION("""COMPUTED_VALUE"""),46113.0)</f>
        <v>46113</v>
      </c>
      <c r="E1329" s="1" t="str">
        <f>IFERROR(__xludf.DUMMYFUNCTION("""COMPUTED_VALUE"""),"VF")</f>
        <v>VF</v>
      </c>
      <c r="F1329" s="1">
        <f>IFERROR(__xludf.DUMMYFUNCTION("""COMPUTED_VALUE"""),3.0)</f>
        <v>3</v>
      </c>
      <c r="G1329" s="1" t="str">
        <f>IFERROR(__xludf.DUMMYFUNCTION("""COMPUTED_VALUE"""),"PR022")</f>
        <v>PR022</v>
      </c>
      <c r="H1329" s="1" t="str">
        <f>IFERROR(__xludf.DUMMYFUNCTION("""COMPUTED_VALUE"""),"VD029")</f>
        <v>VD029</v>
      </c>
      <c r="I1329" s="1">
        <f>IFERROR(__xludf.DUMMYFUNCTION("""COMPUTED_VALUE"""),6.0)</f>
        <v>6</v>
      </c>
      <c r="J1329" s="1">
        <f>IFERROR(__xludf.DUMMYFUNCTION("""COMPUTED_VALUE"""),1980.0)</f>
        <v>1980</v>
      </c>
      <c r="K1329" s="1">
        <f>IFERROR(__xludf.DUMMYFUNCTION("""COMPUTED_VALUE"""),1980.0)</f>
        <v>1980</v>
      </c>
    </row>
    <row r="1330">
      <c r="A1330" s="1">
        <f>IFERROR(__xludf.DUMMYFUNCTION("""COMPUTED_VALUE"""),1000.0)</f>
        <v>1000</v>
      </c>
      <c r="B1330" s="1">
        <f>IFERROR(__xludf.DUMMYFUNCTION("""COMPUTED_VALUE"""),184426.0)</f>
        <v>184426</v>
      </c>
      <c r="C1330" s="1">
        <f>IFERROR(__xludf.DUMMYFUNCTION("""COMPUTED_VALUE"""),2026.0)</f>
        <v>2026</v>
      </c>
      <c r="D1330" s="1">
        <f>IFERROR(__xludf.DUMMYFUNCTION("""COMPUTED_VALUE"""),46113.0)</f>
        <v>46113</v>
      </c>
      <c r="E1330" s="1" t="str">
        <f>IFERROR(__xludf.DUMMYFUNCTION("""COMPUTED_VALUE"""),"VF")</f>
        <v>VF</v>
      </c>
      <c r="F1330" s="1">
        <f>IFERROR(__xludf.DUMMYFUNCTION("""COMPUTED_VALUE"""),4.0)</f>
        <v>4</v>
      </c>
      <c r="G1330" s="1" t="str">
        <f>IFERROR(__xludf.DUMMYFUNCTION("""COMPUTED_VALUE"""),"PR058")</f>
        <v>PR058</v>
      </c>
      <c r="H1330" s="1" t="str">
        <f>IFERROR(__xludf.DUMMYFUNCTION("""COMPUTED_VALUE"""),"VD024")</f>
        <v>VD024</v>
      </c>
      <c r="I1330" s="1">
        <f>IFERROR(__xludf.DUMMYFUNCTION("""COMPUTED_VALUE"""),5.0)</f>
        <v>5</v>
      </c>
      <c r="J1330" s="1">
        <f>IFERROR(__xludf.DUMMYFUNCTION("""COMPUTED_VALUE"""),954.0)</f>
        <v>954</v>
      </c>
      <c r="K1330" s="1">
        <f>IFERROR(__xludf.DUMMYFUNCTION("""COMPUTED_VALUE"""),954.0)</f>
        <v>954</v>
      </c>
    </row>
    <row r="1331">
      <c r="A1331" s="1">
        <f>IFERROR(__xludf.DUMMYFUNCTION("""COMPUTED_VALUE"""),2000.0)</f>
        <v>2000</v>
      </c>
      <c r="B1331" s="1">
        <f>IFERROR(__xludf.DUMMYFUNCTION("""COMPUTED_VALUE"""),184427.0)</f>
        <v>184427</v>
      </c>
      <c r="C1331" s="1">
        <f>IFERROR(__xludf.DUMMYFUNCTION("""COMPUTED_VALUE"""),2026.0)</f>
        <v>2026</v>
      </c>
      <c r="D1331" s="1">
        <f>IFERROR(__xludf.DUMMYFUNCTION("""COMPUTED_VALUE"""),46112.0)</f>
        <v>46112</v>
      </c>
      <c r="E1331" s="1" t="str">
        <f>IFERROR(__xludf.DUMMYFUNCTION("""COMPUTED_VALUE"""),"VF")</f>
        <v>VF</v>
      </c>
      <c r="F1331" s="1">
        <f>IFERROR(__xludf.DUMMYFUNCTION("""COMPUTED_VALUE"""),1.0)</f>
        <v>1</v>
      </c>
      <c r="G1331" s="1" t="str">
        <f>IFERROR(__xludf.DUMMYFUNCTION("""COMPUTED_VALUE"""),"PR055")</f>
        <v>PR055</v>
      </c>
      <c r="H1331" s="1" t="str">
        <f>IFERROR(__xludf.DUMMYFUNCTION("""COMPUTED_VALUE"""),"VD044")</f>
        <v>VD044</v>
      </c>
      <c r="I1331" s="1">
        <f>IFERROR(__xludf.DUMMYFUNCTION("""COMPUTED_VALUE"""),10.0)</f>
        <v>10</v>
      </c>
      <c r="J1331" s="1">
        <f>IFERROR(__xludf.DUMMYFUNCTION("""COMPUTED_VALUE"""),970.92)</f>
        <v>970.92</v>
      </c>
      <c r="K1331" s="1">
        <f>IFERROR(__xludf.DUMMYFUNCTION("""COMPUTED_VALUE"""),970.92)</f>
        <v>970.92</v>
      </c>
    </row>
    <row r="1332">
      <c r="A1332" s="1">
        <f>IFERROR(__xludf.DUMMYFUNCTION("""COMPUTED_VALUE"""),1000.0)</f>
        <v>1000</v>
      </c>
      <c r="B1332" s="1">
        <f>IFERROR(__xludf.DUMMYFUNCTION("""COMPUTED_VALUE"""),184427.0)</f>
        <v>184427</v>
      </c>
      <c r="C1332" s="1">
        <f>IFERROR(__xludf.DUMMYFUNCTION("""COMPUTED_VALUE"""),2026.0)</f>
        <v>2026</v>
      </c>
      <c r="D1332" s="1">
        <f>IFERROR(__xludf.DUMMYFUNCTION("""COMPUTED_VALUE"""),46112.0)</f>
        <v>46112</v>
      </c>
      <c r="E1332" s="1" t="str">
        <f>IFERROR(__xludf.DUMMYFUNCTION("""COMPUTED_VALUE"""),"VF")</f>
        <v>VF</v>
      </c>
      <c r="F1332" s="1">
        <f>IFERROR(__xludf.DUMMYFUNCTION("""COMPUTED_VALUE"""),2.0)</f>
        <v>2</v>
      </c>
      <c r="G1332" s="1" t="str">
        <f>IFERROR(__xludf.DUMMYFUNCTION("""COMPUTED_VALUE"""),"PR027")</f>
        <v>PR027</v>
      </c>
      <c r="H1332" s="1" t="str">
        <f>IFERROR(__xludf.DUMMYFUNCTION("""COMPUTED_VALUE"""),"VD018")</f>
        <v>VD018</v>
      </c>
      <c r="I1332" s="1">
        <f>IFERROR(__xludf.DUMMYFUNCTION("""COMPUTED_VALUE"""),4.0)</f>
        <v>4</v>
      </c>
      <c r="J1332" s="1">
        <f>IFERROR(__xludf.DUMMYFUNCTION("""COMPUTED_VALUE"""),480.0)</f>
        <v>480</v>
      </c>
      <c r="K1332" s="1">
        <f>IFERROR(__xludf.DUMMYFUNCTION("""COMPUTED_VALUE"""),480.0)</f>
        <v>480</v>
      </c>
    </row>
    <row r="1333">
      <c r="A1333" s="1">
        <f>IFERROR(__xludf.DUMMYFUNCTION("""COMPUTED_VALUE"""),1000.0)</f>
        <v>1000</v>
      </c>
      <c r="B1333" s="1">
        <f>IFERROR(__xludf.DUMMYFUNCTION("""COMPUTED_VALUE"""),184428.0)</f>
        <v>184428</v>
      </c>
      <c r="C1333" s="1">
        <f>IFERROR(__xludf.DUMMYFUNCTION("""COMPUTED_VALUE"""),2026.0)</f>
        <v>2026</v>
      </c>
      <c r="D1333" s="1">
        <f>IFERROR(__xludf.DUMMYFUNCTION("""COMPUTED_VALUE"""),46112.0)</f>
        <v>46112</v>
      </c>
      <c r="E1333" s="1" t="str">
        <f>IFERROR(__xludf.DUMMYFUNCTION("""COMPUTED_VALUE"""),"VF")</f>
        <v>VF</v>
      </c>
      <c r="F1333" s="1">
        <f>IFERROR(__xludf.DUMMYFUNCTION("""COMPUTED_VALUE"""),1.0)</f>
        <v>1</v>
      </c>
      <c r="G1333" s="1" t="str">
        <f>IFERROR(__xludf.DUMMYFUNCTION("""COMPUTED_VALUE"""),"PR031")</f>
        <v>PR031</v>
      </c>
      <c r="H1333" s="1" t="str">
        <f>IFERROR(__xludf.DUMMYFUNCTION("""COMPUTED_VALUE"""),"VD046")</f>
        <v>VD046</v>
      </c>
      <c r="I1333" s="1">
        <f>IFERROR(__xludf.DUMMYFUNCTION("""COMPUTED_VALUE"""),5.0)</f>
        <v>5</v>
      </c>
      <c r="J1333" s="1">
        <f>IFERROR(__xludf.DUMMYFUNCTION("""COMPUTED_VALUE"""),1249.5)</f>
        <v>1249.5</v>
      </c>
      <c r="K1333" s="1">
        <f>IFERROR(__xludf.DUMMYFUNCTION("""COMPUTED_VALUE"""),1249.5)</f>
        <v>1249.5</v>
      </c>
    </row>
    <row r="1334">
      <c r="A1334" s="1">
        <f>IFERROR(__xludf.DUMMYFUNCTION("""COMPUTED_VALUE"""),2000.0)</f>
        <v>2000</v>
      </c>
      <c r="B1334" s="1">
        <f>IFERROR(__xludf.DUMMYFUNCTION("""COMPUTED_VALUE"""),184429.0)</f>
        <v>184429</v>
      </c>
      <c r="C1334" s="1">
        <f>IFERROR(__xludf.DUMMYFUNCTION("""COMPUTED_VALUE"""),2026.0)</f>
        <v>2026</v>
      </c>
      <c r="D1334" s="1">
        <f>IFERROR(__xludf.DUMMYFUNCTION("""COMPUTED_VALUE"""),46111.0)</f>
        <v>46111</v>
      </c>
      <c r="E1334" s="1" t="str">
        <f>IFERROR(__xludf.DUMMYFUNCTION("""COMPUTED_VALUE"""),"VF")</f>
        <v>VF</v>
      </c>
      <c r="F1334" s="1">
        <f>IFERROR(__xludf.DUMMYFUNCTION("""COMPUTED_VALUE"""),1.0)</f>
        <v>1</v>
      </c>
      <c r="G1334" s="1" t="str">
        <f>IFERROR(__xludf.DUMMYFUNCTION("""COMPUTED_VALUE"""),"PR021")</f>
        <v>PR021</v>
      </c>
      <c r="H1334" s="1" t="str">
        <f>IFERROR(__xludf.DUMMYFUNCTION("""COMPUTED_VALUE"""),"VD019")</f>
        <v>VD019</v>
      </c>
      <c r="I1334" s="1">
        <f>IFERROR(__xludf.DUMMYFUNCTION("""COMPUTED_VALUE"""),20.0)</f>
        <v>20</v>
      </c>
      <c r="J1334" s="1">
        <f>IFERROR(__xludf.DUMMYFUNCTION("""COMPUTED_VALUE"""),6300.32)</f>
        <v>6300.32</v>
      </c>
      <c r="K1334" s="1">
        <f>IFERROR(__xludf.DUMMYFUNCTION("""COMPUTED_VALUE"""),6300.32)</f>
        <v>6300.32</v>
      </c>
    </row>
    <row r="1335">
      <c r="A1335" s="1">
        <f>IFERROR(__xludf.DUMMYFUNCTION("""COMPUTED_VALUE"""),1000.0)</f>
        <v>1000</v>
      </c>
      <c r="B1335" s="1">
        <f>IFERROR(__xludf.DUMMYFUNCTION("""COMPUTED_VALUE"""),184429.0)</f>
        <v>184429</v>
      </c>
      <c r="C1335" s="1">
        <f>IFERROR(__xludf.DUMMYFUNCTION("""COMPUTED_VALUE"""),2026.0)</f>
        <v>2026</v>
      </c>
      <c r="D1335" s="1">
        <f>IFERROR(__xludf.DUMMYFUNCTION("""COMPUTED_VALUE"""),46111.0)</f>
        <v>46111</v>
      </c>
      <c r="E1335" s="1" t="str">
        <f>IFERROR(__xludf.DUMMYFUNCTION("""COMPUTED_VALUE"""),"VF")</f>
        <v>VF</v>
      </c>
      <c r="F1335" s="1">
        <f>IFERROR(__xludf.DUMMYFUNCTION("""COMPUTED_VALUE"""),2.0)</f>
        <v>2</v>
      </c>
      <c r="G1335" s="1" t="str">
        <f>IFERROR(__xludf.DUMMYFUNCTION("""COMPUTED_VALUE"""),"PR001")</f>
        <v>PR001</v>
      </c>
      <c r="H1335" s="1" t="str">
        <f>IFERROR(__xludf.DUMMYFUNCTION("""COMPUTED_VALUE"""),"VD029")</f>
        <v>VD029</v>
      </c>
      <c r="I1335" s="1">
        <f>IFERROR(__xludf.DUMMYFUNCTION("""COMPUTED_VALUE"""),2.0)</f>
        <v>2</v>
      </c>
      <c r="J1335" s="1">
        <f>IFERROR(__xludf.DUMMYFUNCTION("""COMPUTED_VALUE"""),135.75)</f>
        <v>135.75</v>
      </c>
      <c r="K1335" s="1">
        <f>IFERROR(__xludf.DUMMYFUNCTION("""COMPUTED_VALUE"""),135.75)</f>
        <v>135.75</v>
      </c>
    </row>
    <row r="1336">
      <c r="A1336" s="1">
        <f>IFERROR(__xludf.DUMMYFUNCTION("""COMPUTED_VALUE"""),1000.0)</f>
        <v>1000</v>
      </c>
      <c r="B1336" s="1">
        <f>IFERROR(__xludf.DUMMYFUNCTION("""COMPUTED_VALUE"""),184429.0)</f>
        <v>184429</v>
      </c>
      <c r="C1336" s="1">
        <f>IFERROR(__xludf.DUMMYFUNCTION("""COMPUTED_VALUE"""),2026.0)</f>
        <v>2026</v>
      </c>
      <c r="D1336" s="1">
        <f>IFERROR(__xludf.DUMMYFUNCTION("""COMPUTED_VALUE"""),46111.0)</f>
        <v>46111</v>
      </c>
      <c r="E1336" s="1" t="str">
        <f>IFERROR(__xludf.DUMMYFUNCTION("""COMPUTED_VALUE"""),"VF")</f>
        <v>VF</v>
      </c>
      <c r="F1336" s="1">
        <f>IFERROR(__xludf.DUMMYFUNCTION("""COMPUTED_VALUE"""),3.0)</f>
        <v>3</v>
      </c>
      <c r="G1336" s="1" t="str">
        <f>IFERROR(__xludf.DUMMYFUNCTION("""COMPUTED_VALUE"""),"PR055")</f>
        <v>PR055</v>
      </c>
      <c r="H1336" s="1" t="str">
        <f>IFERROR(__xludf.DUMMYFUNCTION("""COMPUTED_VALUE"""),"VD043")</f>
        <v>VD043</v>
      </c>
      <c r="I1336" s="1">
        <f>IFERROR(__xludf.DUMMYFUNCTION("""COMPUTED_VALUE"""),4.0)</f>
        <v>4</v>
      </c>
      <c r="J1336" s="1">
        <f>IFERROR(__xludf.DUMMYFUNCTION("""COMPUTED_VALUE"""),377.58)</f>
        <v>377.58</v>
      </c>
      <c r="K1336" s="1">
        <f>IFERROR(__xludf.DUMMYFUNCTION("""COMPUTED_VALUE"""),377.58)</f>
        <v>377.58</v>
      </c>
    </row>
    <row r="1337">
      <c r="A1337" s="1">
        <f>IFERROR(__xludf.DUMMYFUNCTION("""COMPUTED_VALUE"""),1000.0)</f>
        <v>1000</v>
      </c>
      <c r="B1337" s="1">
        <f>IFERROR(__xludf.DUMMYFUNCTION("""COMPUTED_VALUE"""),184430.0)</f>
        <v>184430</v>
      </c>
      <c r="C1337" s="1">
        <f>IFERROR(__xludf.DUMMYFUNCTION("""COMPUTED_VALUE"""),2026.0)</f>
        <v>2026</v>
      </c>
      <c r="D1337" s="1">
        <f>IFERROR(__xludf.DUMMYFUNCTION("""COMPUTED_VALUE"""),46110.0)</f>
        <v>46110</v>
      </c>
      <c r="E1337" s="1" t="str">
        <f>IFERROR(__xludf.DUMMYFUNCTION("""COMPUTED_VALUE"""),"VF")</f>
        <v>VF</v>
      </c>
      <c r="F1337" s="1">
        <f>IFERROR(__xludf.DUMMYFUNCTION("""COMPUTED_VALUE"""),1.0)</f>
        <v>1</v>
      </c>
      <c r="G1337" s="1" t="str">
        <f>IFERROR(__xludf.DUMMYFUNCTION("""COMPUTED_VALUE"""),"PR053")</f>
        <v>PR053</v>
      </c>
      <c r="H1337" s="1" t="str">
        <f>IFERROR(__xludf.DUMMYFUNCTION("""COMPUTED_VALUE"""),"VD033")</f>
        <v>VD033</v>
      </c>
      <c r="I1337" s="1">
        <f>IFERROR(__xludf.DUMMYFUNCTION("""COMPUTED_VALUE"""),3.0)</f>
        <v>3</v>
      </c>
      <c r="J1337" s="1">
        <f>IFERROR(__xludf.DUMMYFUNCTION("""COMPUTED_VALUE"""),164.67)</f>
        <v>164.67</v>
      </c>
      <c r="K1337" s="1">
        <f>IFERROR(__xludf.DUMMYFUNCTION("""COMPUTED_VALUE"""),164.67)</f>
        <v>164.67</v>
      </c>
    </row>
    <row r="1338">
      <c r="A1338" s="1">
        <f>IFERROR(__xludf.DUMMYFUNCTION("""COMPUTED_VALUE"""),1000.0)</f>
        <v>1000</v>
      </c>
      <c r="B1338" s="1">
        <f>IFERROR(__xludf.DUMMYFUNCTION("""COMPUTED_VALUE"""),184430.0)</f>
        <v>184430</v>
      </c>
      <c r="C1338" s="1">
        <f>IFERROR(__xludf.DUMMYFUNCTION("""COMPUTED_VALUE"""),2026.0)</f>
        <v>2026</v>
      </c>
      <c r="D1338" s="1">
        <f>IFERROR(__xludf.DUMMYFUNCTION("""COMPUTED_VALUE"""),46110.0)</f>
        <v>46110</v>
      </c>
      <c r="E1338" s="1" t="str">
        <f>IFERROR(__xludf.DUMMYFUNCTION("""COMPUTED_VALUE"""),"VF")</f>
        <v>VF</v>
      </c>
      <c r="F1338" s="1">
        <f>IFERROR(__xludf.DUMMYFUNCTION("""COMPUTED_VALUE"""),2.0)</f>
        <v>2</v>
      </c>
      <c r="G1338" s="1" t="str">
        <f>IFERROR(__xludf.DUMMYFUNCTION("""COMPUTED_VALUE"""),"PR024")</f>
        <v>PR024</v>
      </c>
      <c r="H1338" s="1" t="str">
        <f>IFERROR(__xludf.DUMMYFUNCTION("""COMPUTED_VALUE"""),"VD032")</f>
        <v>VD032</v>
      </c>
      <c r="I1338" s="1">
        <f>IFERROR(__xludf.DUMMYFUNCTION("""COMPUTED_VALUE"""),8.0)</f>
        <v>8</v>
      </c>
      <c r="J1338" s="1">
        <f>IFERROR(__xludf.DUMMYFUNCTION("""COMPUTED_VALUE"""),2183.16)</f>
        <v>2183.16</v>
      </c>
      <c r="K1338" s="1">
        <f>IFERROR(__xludf.DUMMYFUNCTION("""COMPUTED_VALUE"""),2183.16)</f>
        <v>2183.16</v>
      </c>
    </row>
    <row r="1339">
      <c r="A1339" s="1">
        <f>IFERROR(__xludf.DUMMYFUNCTION("""COMPUTED_VALUE"""),1000.0)</f>
        <v>1000</v>
      </c>
      <c r="B1339" s="1">
        <f>IFERROR(__xludf.DUMMYFUNCTION("""COMPUTED_VALUE"""),184430.0)</f>
        <v>184430</v>
      </c>
      <c r="C1339" s="1">
        <f>IFERROR(__xludf.DUMMYFUNCTION("""COMPUTED_VALUE"""),2026.0)</f>
        <v>2026</v>
      </c>
      <c r="D1339" s="1">
        <f>IFERROR(__xludf.DUMMYFUNCTION("""COMPUTED_VALUE"""),46109.0)</f>
        <v>46109</v>
      </c>
      <c r="E1339" s="1" t="str">
        <f>IFERROR(__xludf.DUMMYFUNCTION("""COMPUTED_VALUE"""),"VF")</f>
        <v>VF</v>
      </c>
      <c r="F1339" s="1">
        <f>IFERROR(__xludf.DUMMYFUNCTION("""COMPUTED_VALUE"""),3.0)</f>
        <v>3</v>
      </c>
      <c r="G1339" s="1" t="str">
        <f>IFERROR(__xludf.DUMMYFUNCTION("""COMPUTED_VALUE"""),"PR042")</f>
        <v>PR042</v>
      </c>
      <c r="H1339" s="1" t="str">
        <f>IFERROR(__xludf.DUMMYFUNCTION("""COMPUTED_VALUE"""),"VD041")</f>
        <v>VD041</v>
      </c>
      <c r="I1339" s="1">
        <f>IFERROR(__xludf.DUMMYFUNCTION("""COMPUTED_VALUE"""),16.0)</f>
        <v>16</v>
      </c>
      <c r="J1339" s="1">
        <f>IFERROR(__xludf.DUMMYFUNCTION("""COMPUTED_VALUE"""),931.1)</f>
        <v>931.1</v>
      </c>
      <c r="K1339" s="1">
        <f>IFERROR(__xludf.DUMMYFUNCTION("""COMPUTED_VALUE"""),931.1)</f>
        <v>931.1</v>
      </c>
    </row>
    <row r="1340">
      <c r="A1340" s="1">
        <f>IFERROR(__xludf.DUMMYFUNCTION("""COMPUTED_VALUE"""),1000.0)</f>
        <v>1000</v>
      </c>
      <c r="B1340" s="1">
        <f>IFERROR(__xludf.DUMMYFUNCTION("""COMPUTED_VALUE"""),184431.0)</f>
        <v>184431</v>
      </c>
      <c r="C1340" s="1">
        <f>IFERROR(__xludf.DUMMYFUNCTION("""COMPUTED_VALUE"""),2026.0)</f>
        <v>2026</v>
      </c>
      <c r="D1340" s="1">
        <f>IFERROR(__xludf.DUMMYFUNCTION("""COMPUTED_VALUE"""),46109.0)</f>
        <v>46109</v>
      </c>
      <c r="E1340" s="1" t="str">
        <f>IFERROR(__xludf.DUMMYFUNCTION("""COMPUTED_VALUE"""),"VF")</f>
        <v>VF</v>
      </c>
      <c r="F1340" s="1">
        <f>IFERROR(__xludf.DUMMYFUNCTION("""COMPUTED_VALUE"""),1.0)</f>
        <v>1</v>
      </c>
      <c r="G1340" s="1" t="str">
        <f>IFERROR(__xludf.DUMMYFUNCTION("""COMPUTED_VALUE"""),"PR021")</f>
        <v>PR021</v>
      </c>
      <c r="H1340" s="1" t="str">
        <f>IFERROR(__xludf.DUMMYFUNCTION("""COMPUTED_VALUE"""),"VD032")</f>
        <v>VD032</v>
      </c>
      <c r="I1340" s="1">
        <f>IFERROR(__xludf.DUMMYFUNCTION("""COMPUTED_VALUE"""),14.0)</f>
        <v>14</v>
      </c>
      <c r="J1340" s="1">
        <f>IFERROR(__xludf.DUMMYFUNCTION("""COMPUTED_VALUE"""),4240.6)</f>
        <v>4240.6</v>
      </c>
      <c r="K1340" s="1">
        <f>IFERROR(__xludf.DUMMYFUNCTION("""COMPUTED_VALUE"""),4240.6)</f>
        <v>4240.6</v>
      </c>
    </row>
    <row r="1341">
      <c r="A1341" s="1">
        <f>IFERROR(__xludf.DUMMYFUNCTION("""COMPUTED_VALUE"""),1000.0)</f>
        <v>1000</v>
      </c>
      <c r="B1341" s="1">
        <f>IFERROR(__xludf.DUMMYFUNCTION("""COMPUTED_VALUE"""),184432.0)</f>
        <v>184432</v>
      </c>
      <c r="C1341" s="1">
        <f>IFERROR(__xludf.DUMMYFUNCTION("""COMPUTED_VALUE"""),2026.0)</f>
        <v>2026</v>
      </c>
      <c r="D1341" s="1">
        <f>IFERROR(__xludf.DUMMYFUNCTION("""COMPUTED_VALUE"""),46109.0)</f>
        <v>46109</v>
      </c>
      <c r="E1341" s="1" t="str">
        <f>IFERROR(__xludf.DUMMYFUNCTION("""COMPUTED_VALUE"""),"VF")</f>
        <v>VF</v>
      </c>
      <c r="F1341" s="1">
        <f>IFERROR(__xludf.DUMMYFUNCTION("""COMPUTED_VALUE"""),1.0)</f>
        <v>1</v>
      </c>
      <c r="G1341" s="1" t="str">
        <f>IFERROR(__xludf.DUMMYFUNCTION("""COMPUTED_VALUE"""),"PR056")</f>
        <v>PR056</v>
      </c>
      <c r="H1341" s="1" t="str">
        <f>IFERROR(__xludf.DUMMYFUNCTION("""COMPUTED_VALUE"""),"VD016")</f>
        <v>VD016</v>
      </c>
      <c r="I1341" s="1">
        <f>IFERROR(__xludf.DUMMYFUNCTION("""COMPUTED_VALUE"""),12.0)</f>
        <v>12</v>
      </c>
      <c r="J1341" s="1">
        <f>IFERROR(__xludf.DUMMYFUNCTION("""COMPUTED_VALUE"""),1175.89)</f>
        <v>1175.89</v>
      </c>
      <c r="K1341" s="1">
        <f>IFERROR(__xludf.DUMMYFUNCTION("""COMPUTED_VALUE"""),1175.89)</f>
        <v>1175.89</v>
      </c>
    </row>
    <row r="1342">
      <c r="A1342" s="1">
        <f>IFERROR(__xludf.DUMMYFUNCTION("""COMPUTED_VALUE"""),2000.0)</f>
        <v>2000</v>
      </c>
      <c r="B1342" s="1">
        <f>IFERROR(__xludf.DUMMYFUNCTION("""COMPUTED_VALUE"""),184433.0)</f>
        <v>184433</v>
      </c>
      <c r="C1342" s="1">
        <f>IFERROR(__xludf.DUMMYFUNCTION("""COMPUTED_VALUE"""),2026.0)</f>
        <v>2026</v>
      </c>
      <c r="D1342" s="1">
        <f>IFERROR(__xludf.DUMMYFUNCTION("""COMPUTED_VALUE"""),46109.0)</f>
        <v>46109</v>
      </c>
      <c r="E1342" s="1" t="str">
        <f>IFERROR(__xludf.DUMMYFUNCTION("""COMPUTED_VALUE"""),"VF")</f>
        <v>VF</v>
      </c>
      <c r="F1342" s="1">
        <f>IFERROR(__xludf.DUMMYFUNCTION("""COMPUTED_VALUE"""),1.0)</f>
        <v>1</v>
      </c>
      <c r="G1342" s="1" t="str">
        <f>IFERROR(__xludf.DUMMYFUNCTION("""COMPUTED_VALUE"""),"PR006")</f>
        <v>PR006</v>
      </c>
      <c r="H1342" s="1" t="str">
        <f>IFERROR(__xludf.DUMMYFUNCTION("""COMPUTED_VALUE"""),"VD012")</f>
        <v>VD012</v>
      </c>
      <c r="I1342" s="1">
        <f>IFERROR(__xludf.DUMMYFUNCTION("""COMPUTED_VALUE"""),14.0)</f>
        <v>14</v>
      </c>
      <c r="J1342" s="1">
        <f>IFERROR(__xludf.DUMMYFUNCTION("""COMPUTED_VALUE"""),592.12)</f>
        <v>592.12</v>
      </c>
      <c r="K1342" s="1">
        <f>IFERROR(__xludf.DUMMYFUNCTION("""COMPUTED_VALUE"""),592.12)</f>
        <v>592.12</v>
      </c>
    </row>
    <row r="1343">
      <c r="A1343" s="1">
        <f>IFERROR(__xludf.DUMMYFUNCTION("""COMPUTED_VALUE"""),1000.0)</f>
        <v>1000</v>
      </c>
      <c r="B1343" s="1">
        <f>IFERROR(__xludf.DUMMYFUNCTION("""COMPUTED_VALUE"""),184434.0)</f>
        <v>184434</v>
      </c>
      <c r="C1343" s="1">
        <f>IFERROR(__xludf.DUMMYFUNCTION("""COMPUTED_VALUE"""),2026.0)</f>
        <v>2026</v>
      </c>
      <c r="D1343" s="1">
        <f>IFERROR(__xludf.DUMMYFUNCTION("""COMPUTED_VALUE"""),46108.0)</f>
        <v>46108</v>
      </c>
      <c r="E1343" s="1" t="str">
        <f>IFERROR(__xludf.DUMMYFUNCTION("""COMPUTED_VALUE"""),"VF")</f>
        <v>VF</v>
      </c>
      <c r="F1343" s="1">
        <f>IFERROR(__xludf.DUMMYFUNCTION("""COMPUTED_VALUE"""),1.0)</f>
        <v>1</v>
      </c>
      <c r="G1343" s="1" t="str">
        <f>IFERROR(__xludf.DUMMYFUNCTION("""COMPUTED_VALUE"""),"PR029")</f>
        <v>PR029</v>
      </c>
      <c r="H1343" s="1" t="str">
        <f>IFERROR(__xludf.DUMMYFUNCTION("""COMPUTED_VALUE"""),"VD043")</f>
        <v>VD043</v>
      </c>
      <c r="I1343" s="1">
        <f>IFERROR(__xludf.DUMMYFUNCTION("""COMPUTED_VALUE"""),2.0)</f>
        <v>2</v>
      </c>
      <c r="J1343" s="1">
        <f>IFERROR(__xludf.DUMMYFUNCTION("""COMPUTED_VALUE"""),515.1)</f>
        <v>515.1</v>
      </c>
      <c r="K1343" s="1">
        <f>IFERROR(__xludf.DUMMYFUNCTION("""COMPUTED_VALUE"""),515.1)</f>
        <v>515.1</v>
      </c>
    </row>
    <row r="1344">
      <c r="A1344" s="1">
        <f>IFERROR(__xludf.DUMMYFUNCTION("""COMPUTED_VALUE"""),2000.0)</f>
        <v>2000</v>
      </c>
      <c r="B1344" s="1">
        <f>IFERROR(__xludf.DUMMYFUNCTION("""COMPUTED_VALUE"""),184435.0)</f>
        <v>184435</v>
      </c>
      <c r="C1344" s="1">
        <f>IFERROR(__xludf.DUMMYFUNCTION("""COMPUTED_VALUE"""),2026.0)</f>
        <v>2026</v>
      </c>
      <c r="D1344" s="1">
        <f>IFERROR(__xludf.DUMMYFUNCTION("""COMPUTED_VALUE"""),46108.0)</f>
        <v>46108</v>
      </c>
      <c r="E1344" s="1" t="str">
        <f>IFERROR(__xludf.DUMMYFUNCTION("""COMPUTED_VALUE"""),"VF")</f>
        <v>VF</v>
      </c>
      <c r="F1344" s="1">
        <f>IFERROR(__xludf.DUMMYFUNCTION("""COMPUTED_VALUE"""),1.0)</f>
        <v>1</v>
      </c>
      <c r="G1344" s="1" t="str">
        <f>IFERROR(__xludf.DUMMYFUNCTION("""COMPUTED_VALUE"""),"PR037")</f>
        <v>PR037</v>
      </c>
      <c r="H1344" s="1" t="str">
        <f>IFERROR(__xludf.DUMMYFUNCTION("""COMPUTED_VALUE"""),"VD039")</f>
        <v>VD039</v>
      </c>
      <c r="I1344" s="1">
        <f>IFERROR(__xludf.DUMMYFUNCTION("""COMPUTED_VALUE"""),9.0)</f>
        <v>9</v>
      </c>
      <c r="J1344" s="1">
        <f>IFERROR(__xludf.DUMMYFUNCTION("""COMPUTED_VALUE"""),1335.6)</f>
        <v>1335.6</v>
      </c>
      <c r="K1344" s="1">
        <f>IFERROR(__xludf.DUMMYFUNCTION("""COMPUTED_VALUE"""),1335.6)</f>
        <v>1335.6</v>
      </c>
    </row>
    <row r="1345">
      <c r="A1345" s="1">
        <f>IFERROR(__xludf.DUMMYFUNCTION("""COMPUTED_VALUE"""),2000.0)</f>
        <v>2000</v>
      </c>
      <c r="B1345" s="1">
        <f>IFERROR(__xludf.DUMMYFUNCTION("""COMPUTED_VALUE"""),184435.0)</f>
        <v>184435</v>
      </c>
      <c r="C1345" s="1">
        <f>IFERROR(__xludf.DUMMYFUNCTION("""COMPUTED_VALUE"""),2026.0)</f>
        <v>2026</v>
      </c>
      <c r="D1345" s="1">
        <f>IFERROR(__xludf.DUMMYFUNCTION("""COMPUTED_VALUE"""),46108.0)</f>
        <v>46108</v>
      </c>
      <c r="E1345" s="1" t="str">
        <f>IFERROR(__xludf.DUMMYFUNCTION("""COMPUTED_VALUE"""),"VF")</f>
        <v>VF</v>
      </c>
      <c r="F1345" s="1">
        <f>IFERROR(__xludf.DUMMYFUNCTION("""COMPUTED_VALUE"""),2.0)</f>
        <v>2</v>
      </c>
      <c r="G1345" s="1" t="str">
        <f>IFERROR(__xludf.DUMMYFUNCTION("""COMPUTED_VALUE"""),"PR028")</f>
        <v>PR028</v>
      </c>
      <c r="H1345" s="1" t="str">
        <f>IFERROR(__xludf.DUMMYFUNCTION("""COMPUTED_VALUE"""),"VD040")</f>
        <v>VD040</v>
      </c>
      <c r="I1345" s="1">
        <f>IFERROR(__xludf.DUMMYFUNCTION("""COMPUTED_VALUE"""),2.0)</f>
        <v>2</v>
      </c>
      <c r="J1345" s="1">
        <f>IFERROR(__xludf.DUMMYFUNCTION("""COMPUTED_VALUE"""),499.8)</f>
        <v>499.8</v>
      </c>
      <c r="K1345" s="1">
        <f>IFERROR(__xludf.DUMMYFUNCTION("""COMPUTED_VALUE"""),499.8)</f>
        <v>499.8</v>
      </c>
    </row>
    <row r="1346">
      <c r="A1346" s="1">
        <f>IFERROR(__xludf.DUMMYFUNCTION("""COMPUTED_VALUE"""),1000.0)</f>
        <v>1000</v>
      </c>
      <c r="B1346" s="1">
        <f>IFERROR(__xludf.DUMMYFUNCTION("""COMPUTED_VALUE"""),184435.0)</f>
        <v>184435</v>
      </c>
      <c r="C1346" s="1">
        <f>IFERROR(__xludf.DUMMYFUNCTION("""COMPUTED_VALUE"""),2026.0)</f>
        <v>2026</v>
      </c>
      <c r="D1346" s="1">
        <f>IFERROR(__xludf.DUMMYFUNCTION("""COMPUTED_VALUE"""),46108.0)</f>
        <v>46108</v>
      </c>
      <c r="E1346" s="1" t="str">
        <f>IFERROR(__xludf.DUMMYFUNCTION("""COMPUTED_VALUE"""),"VF")</f>
        <v>VF</v>
      </c>
      <c r="F1346" s="1">
        <f>IFERROR(__xludf.DUMMYFUNCTION("""COMPUTED_VALUE"""),3.0)</f>
        <v>3</v>
      </c>
      <c r="G1346" s="1" t="str">
        <f>IFERROR(__xludf.DUMMYFUNCTION("""COMPUTED_VALUE"""),"PR054")</f>
        <v>PR054</v>
      </c>
      <c r="H1346" s="1" t="str">
        <f>IFERROR(__xludf.DUMMYFUNCTION("""COMPUTED_VALUE"""),"VD012")</f>
        <v>VD012</v>
      </c>
      <c r="I1346" s="1">
        <f>IFERROR(__xludf.DUMMYFUNCTION("""COMPUTED_VALUE"""),18.0)</f>
        <v>18</v>
      </c>
      <c r="J1346" s="1">
        <f>IFERROR(__xludf.DUMMYFUNCTION("""COMPUTED_VALUE"""),961.07)</f>
        <v>961.07</v>
      </c>
      <c r="K1346" s="1">
        <f>IFERROR(__xludf.DUMMYFUNCTION("""COMPUTED_VALUE"""),961.07)</f>
        <v>961.07</v>
      </c>
    </row>
    <row r="1347">
      <c r="A1347" s="1">
        <f>IFERROR(__xludf.DUMMYFUNCTION("""COMPUTED_VALUE"""),1000.0)</f>
        <v>1000</v>
      </c>
      <c r="B1347" s="1">
        <f>IFERROR(__xludf.DUMMYFUNCTION("""COMPUTED_VALUE"""),184436.0)</f>
        <v>184436</v>
      </c>
      <c r="C1347" s="1">
        <f>IFERROR(__xludf.DUMMYFUNCTION("""COMPUTED_VALUE"""),2026.0)</f>
        <v>2026</v>
      </c>
      <c r="D1347" s="1">
        <f>IFERROR(__xludf.DUMMYFUNCTION("""COMPUTED_VALUE"""),46108.0)</f>
        <v>46108</v>
      </c>
      <c r="E1347" s="1" t="str">
        <f>IFERROR(__xludf.DUMMYFUNCTION("""COMPUTED_VALUE"""),"VF")</f>
        <v>VF</v>
      </c>
      <c r="F1347" s="1">
        <f>IFERROR(__xludf.DUMMYFUNCTION("""COMPUTED_VALUE"""),1.0)</f>
        <v>1</v>
      </c>
      <c r="G1347" s="1" t="str">
        <f>IFERROR(__xludf.DUMMYFUNCTION("""COMPUTED_VALUE"""),"PR023")</f>
        <v>PR023</v>
      </c>
      <c r="H1347" s="1" t="str">
        <f>IFERROR(__xludf.DUMMYFUNCTION("""COMPUTED_VALUE"""),"VD036")</f>
        <v>VD036</v>
      </c>
      <c r="I1347" s="1">
        <f>IFERROR(__xludf.DUMMYFUNCTION("""COMPUTED_VALUE"""),6.0)</f>
        <v>6</v>
      </c>
      <c r="J1347" s="1">
        <f>IFERROR(__xludf.DUMMYFUNCTION("""COMPUTED_VALUE"""),1514.39)</f>
        <v>1514.39</v>
      </c>
      <c r="K1347" s="1">
        <f>IFERROR(__xludf.DUMMYFUNCTION("""COMPUTED_VALUE"""),1514.39)</f>
        <v>1514.39</v>
      </c>
    </row>
    <row r="1348">
      <c r="A1348" s="1">
        <f>IFERROR(__xludf.DUMMYFUNCTION("""COMPUTED_VALUE"""),1000.0)</f>
        <v>1000</v>
      </c>
      <c r="B1348" s="1">
        <f>IFERROR(__xludf.DUMMYFUNCTION("""COMPUTED_VALUE"""),184437.0)</f>
        <v>184437</v>
      </c>
      <c r="C1348" s="1">
        <f>IFERROR(__xludf.DUMMYFUNCTION("""COMPUTED_VALUE"""),2026.0)</f>
        <v>2026</v>
      </c>
      <c r="D1348" s="1">
        <f>IFERROR(__xludf.DUMMYFUNCTION("""COMPUTED_VALUE"""),46108.0)</f>
        <v>46108</v>
      </c>
      <c r="E1348" s="1" t="str">
        <f>IFERROR(__xludf.DUMMYFUNCTION("""COMPUTED_VALUE"""),"VF")</f>
        <v>VF</v>
      </c>
      <c r="F1348" s="1">
        <f>IFERROR(__xludf.DUMMYFUNCTION("""COMPUTED_VALUE"""),1.0)</f>
        <v>1</v>
      </c>
      <c r="G1348" s="1" t="str">
        <f>IFERROR(__xludf.DUMMYFUNCTION("""COMPUTED_VALUE"""),"PR041")</f>
        <v>PR041</v>
      </c>
      <c r="H1348" s="1" t="str">
        <f>IFERROR(__xludf.DUMMYFUNCTION("""COMPUTED_VALUE"""),"VD013")</f>
        <v>VD013</v>
      </c>
      <c r="I1348" s="1">
        <f>IFERROR(__xludf.DUMMYFUNCTION("""COMPUTED_VALUE"""),9.0)</f>
        <v>9</v>
      </c>
      <c r="J1348" s="1">
        <f>IFERROR(__xludf.DUMMYFUNCTION("""COMPUTED_VALUE"""),503.98)</f>
        <v>503.98</v>
      </c>
      <c r="K1348" s="1">
        <f>IFERROR(__xludf.DUMMYFUNCTION("""COMPUTED_VALUE"""),503.98)</f>
        <v>503.98</v>
      </c>
    </row>
    <row r="1349">
      <c r="A1349" s="1">
        <f>IFERROR(__xludf.DUMMYFUNCTION("""COMPUTED_VALUE"""),2000.0)</f>
        <v>2000</v>
      </c>
      <c r="B1349" s="1">
        <f>IFERROR(__xludf.DUMMYFUNCTION("""COMPUTED_VALUE"""),184438.0)</f>
        <v>184438</v>
      </c>
      <c r="C1349" s="1">
        <f>IFERROR(__xludf.DUMMYFUNCTION("""COMPUTED_VALUE"""),2026.0)</f>
        <v>2026</v>
      </c>
      <c r="D1349" s="1">
        <f>IFERROR(__xludf.DUMMYFUNCTION("""COMPUTED_VALUE"""),46108.0)</f>
        <v>46108</v>
      </c>
      <c r="E1349" s="1" t="str">
        <f>IFERROR(__xludf.DUMMYFUNCTION("""COMPUTED_VALUE"""),"VF")</f>
        <v>VF</v>
      </c>
      <c r="F1349" s="1">
        <f>IFERROR(__xludf.DUMMYFUNCTION("""COMPUTED_VALUE"""),1.0)</f>
        <v>1</v>
      </c>
      <c r="G1349" s="1" t="str">
        <f>IFERROR(__xludf.DUMMYFUNCTION("""COMPUTED_VALUE"""),"PR012")</f>
        <v>PR012</v>
      </c>
      <c r="H1349" s="1" t="str">
        <f>IFERROR(__xludf.DUMMYFUNCTION("""COMPUTED_VALUE"""),"VD015")</f>
        <v>VD015</v>
      </c>
      <c r="I1349" s="1">
        <f>IFERROR(__xludf.DUMMYFUNCTION("""COMPUTED_VALUE"""),10.0)</f>
        <v>10</v>
      </c>
      <c r="J1349" s="1">
        <f>IFERROR(__xludf.DUMMYFUNCTION("""COMPUTED_VALUE"""),518.34)</f>
        <v>518.34</v>
      </c>
      <c r="K1349" s="1">
        <f>IFERROR(__xludf.DUMMYFUNCTION("""COMPUTED_VALUE"""),518.34)</f>
        <v>518.34</v>
      </c>
    </row>
    <row r="1350">
      <c r="A1350" s="1">
        <f>IFERROR(__xludf.DUMMYFUNCTION("""COMPUTED_VALUE"""),1000.0)</f>
        <v>1000</v>
      </c>
      <c r="B1350" s="1">
        <f>IFERROR(__xludf.DUMMYFUNCTION("""COMPUTED_VALUE"""),184439.0)</f>
        <v>184439</v>
      </c>
      <c r="C1350" s="1">
        <f>IFERROR(__xludf.DUMMYFUNCTION("""COMPUTED_VALUE"""),2026.0)</f>
        <v>2026</v>
      </c>
      <c r="D1350" s="1">
        <f>IFERROR(__xludf.DUMMYFUNCTION("""COMPUTED_VALUE"""),46108.0)</f>
        <v>46108</v>
      </c>
      <c r="E1350" s="1" t="str">
        <f>IFERROR(__xludf.DUMMYFUNCTION("""COMPUTED_VALUE"""),"VF")</f>
        <v>VF</v>
      </c>
      <c r="F1350" s="1">
        <f>IFERROR(__xludf.DUMMYFUNCTION("""COMPUTED_VALUE"""),1.0)</f>
        <v>1</v>
      </c>
      <c r="G1350" s="1" t="str">
        <f>IFERROR(__xludf.DUMMYFUNCTION("""COMPUTED_VALUE"""),"PR053")</f>
        <v>PR053</v>
      </c>
      <c r="H1350" s="1" t="str">
        <f>IFERROR(__xludf.DUMMYFUNCTION("""COMPUTED_VALUE"""),"VD021")</f>
        <v>VD021</v>
      </c>
      <c r="I1350" s="1">
        <f>IFERROR(__xludf.DUMMYFUNCTION("""COMPUTED_VALUE"""),18.0)</f>
        <v>18</v>
      </c>
      <c r="J1350" s="1">
        <f>IFERROR(__xludf.DUMMYFUNCTION("""COMPUTED_VALUE"""),898.2)</f>
        <v>898.2</v>
      </c>
      <c r="K1350" s="1">
        <f>IFERROR(__xludf.DUMMYFUNCTION("""COMPUTED_VALUE"""),898.2)</f>
        <v>898.2</v>
      </c>
    </row>
    <row r="1351">
      <c r="A1351" s="1">
        <f>IFERROR(__xludf.DUMMYFUNCTION("""COMPUTED_VALUE"""),1000.0)</f>
        <v>1000</v>
      </c>
      <c r="B1351" s="1">
        <f>IFERROR(__xludf.DUMMYFUNCTION("""COMPUTED_VALUE"""),184440.0)</f>
        <v>184440</v>
      </c>
      <c r="C1351" s="1">
        <f>IFERROR(__xludf.DUMMYFUNCTION("""COMPUTED_VALUE"""),2026.0)</f>
        <v>2026</v>
      </c>
      <c r="D1351" s="1">
        <f>IFERROR(__xludf.DUMMYFUNCTION("""COMPUTED_VALUE"""),46108.0)</f>
        <v>46108</v>
      </c>
      <c r="E1351" s="1" t="str">
        <f>IFERROR(__xludf.DUMMYFUNCTION("""COMPUTED_VALUE"""),"VF")</f>
        <v>VF</v>
      </c>
      <c r="F1351" s="1">
        <f>IFERROR(__xludf.DUMMYFUNCTION("""COMPUTED_VALUE"""),1.0)</f>
        <v>1</v>
      </c>
      <c r="G1351" s="1" t="str">
        <f>IFERROR(__xludf.DUMMYFUNCTION("""COMPUTED_VALUE"""),"PR038")</f>
        <v>PR038</v>
      </c>
      <c r="H1351" s="1" t="str">
        <f>IFERROR(__xludf.DUMMYFUNCTION("""COMPUTED_VALUE"""),"VD013")</f>
        <v>VD013</v>
      </c>
      <c r="I1351" s="1">
        <f>IFERROR(__xludf.DUMMYFUNCTION("""COMPUTED_VALUE"""),2.0)</f>
        <v>2</v>
      </c>
      <c r="J1351" s="1">
        <f>IFERROR(__xludf.DUMMYFUNCTION("""COMPUTED_VALUE"""),311.52)</f>
        <v>311.52</v>
      </c>
      <c r="K1351" s="1">
        <f>IFERROR(__xludf.DUMMYFUNCTION("""COMPUTED_VALUE"""),311.52)</f>
        <v>311.52</v>
      </c>
    </row>
    <row r="1352">
      <c r="A1352" s="1">
        <f>IFERROR(__xludf.DUMMYFUNCTION("""COMPUTED_VALUE"""),1000.0)</f>
        <v>1000</v>
      </c>
      <c r="B1352" s="1">
        <f>IFERROR(__xludf.DUMMYFUNCTION("""COMPUTED_VALUE"""),184440.0)</f>
        <v>184440</v>
      </c>
      <c r="C1352" s="1">
        <f>IFERROR(__xludf.DUMMYFUNCTION("""COMPUTED_VALUE"""),2026.0)</f>
        <v>2026</v>
      </c>
      <c r="D1352" s="1">
        <f>IFERROR(__xludf.DUMMYFUNCTION("""COMPUTED_VALUE"""),46107.0)</f>
        <v>46107</v>
      </c>
      <c r="E1352" s="1" t="str">
        <f>IFERROR(__xludf.DUMMYFUNCTION("""COMPUTED_VALUE"""),"VF")</f>
        <v>VF</v>
      </c>
      <c r="F1352" s="1">
        <f>IFERROR(__xludf.DUMMYFUNCTION("""COMPUTED_VALUE"""),2.0)</f>
        <v>2</v>
      </c>
      <c r="G1352" s="1" t="str">
        <f>IFERROR(__xludf.DUMMYFUNCTION("""COMPUTED_VALUE"""),"PR009")</f>
        <v>PR009</v>
      </c>
      <c r="H1352" s="1" t="str">
        <f>IFERROR(__xludf.DUMMYFUNCTION("""COMPUTED_VALUE"""),"VD022")</f>
        <v>VD022</v>
      </c>
      <c r="I1352" s="1">
        <f>IFERROR(__xludf.DUMMYFUNCTION("""COMPUTED_VALUE"""),12.0)</f>
        <v>12</v>
      </c>
      <c r="J1352" s="1">
        <f>IFERROR(__xludf.DUMMYFUNCTION("""COMPUTED_VALUE"""),1181.69)</f>
        <v>1181.69</v>
      </c>
      <c r="K1352" s="1">
        <f>IFERROR(__xludf.DUMMYFUNCTION("""COMPUTED_VALUE"""),1181.69)</f>
        <v>1181.69</v>
      </c>
    </row>
    <row r="1353">
      <c r="A1353" s="1">
        <f>IFERROR(__xludf.DUMMYFUNCTION("""COMPUTED_VALUE"""),1000.0)</f>
        <v>1000</v>
      </c>
      <c r="B1353" s="1">
        <f>IFERROR(__xludf.DUMMYFUNCTION("""COMPUTED_VALUE"""),184441.0)</f>
        <v>184441</v>
      </c>
      <c r="C1353" s="1">
        <f>IFERROR(__xludf.DUMMYFUNCTION("""COMPUTED_VALUE"""),2026.0)</f>
        <v>2026</v>
      </c>
      <c r="D1353" s="1">
        <f>IFERROR(__xludf.DUMMYFUNCTION("""COMPUTED_VALUE"""),46107.0)</f>
        <v>46107</v>
      </c>
      <c r="E1353" s="1" t="str">
        <f>IFERROR(__xludf.DUMMYFUNCTION("""COMPUTED_VALUE"""),"VF")</f>
        <v>VF</v>
      </c>
      <c r="F1353" s="1">
        <f>IFERROR(__xludf.DUMMYFUNCTION("""COMPUTED_VALUE"""),1.0)</f>
        <v>1</v>
      </c>
      <c r="G1353" s="1" t="str">
        <f>IFERROR(__xludf.DUMMYFUNCTION("""COMPUTED_VALUE"""),"PR019")</f>
        <v>PR019</v>
      </c>
      <c r="H1353" s="1" t="str">
        <f>IFERROR(__xludf.DUMMYFUNCTION("""COMPUTED_VALUE"""),"VD025")</f>
        <v>VD025</v>
      </c>
      <c r="I1353" s="1">
        <f>IFERROR(__xludf.DUMMYFUNCTION("""COMPUTED_VALUE"""),14.0)</f>
        <v>14</v>
      </c>
      <c r="J1353" s="1">
        <f>IFERROR(__xludf.DUMMYFUNCTION("""COMPUTED_VALUE"""),705.59)</f>
        <v>705.59</v>
      </c>
      <c r="K1353" s="1">
        <f>IFERROR(__xludf.DUMMYFUNCTION("""COMPUTED_VALUE"""),705.59)</f>
        <v>705.59</v>
      </c>
    </row>
    <row r="1354">
      <c r="A1354" s="1">
        <f>IFERROR(__xludf.DUMMYFUNCTION("""COMPUTED_VALUE"""),1000.0)</f>
        <v>1000</v>
      </c>
      <c r="B1354" s="1">
        <f>IFERROR(__xludf.DUMMYFUNCTION("""COMPUTED_VALUE"""),184442.0)</f>
        <v>184442</v>
      </c>
      <c r="C1354" s="1">
        <f>IFERROR(__xludf.DUMMYFUNCTION("""COMPUTED_VALUE"""),2026.0)</f>
        <v>2026</v>
      </c>
      <c r="D1354" s="1">
        <f>IFERROR(__xludf.DUMMYFUNCTION("""COMPUTED_VALUE"""),46106.0)</f>
        <v>46106</v>
      </c>
      <c r="E1354" s="1" t="str">
        <f>IFERROR(__xludf.DUMMYFUNCTION("""COMPUTED_VALUE"""),"VF")</f>
        <v>VF</v>
      </c>
      <c r="F1354" s="1">
        <f>IFERROR(__xludf.DUMMYFUNCTION("""COMPUTED_VALUE"""),1.0)</f>
        <v>1</v>
      </c>
      <c r="G1354" s="1" t="str">
        <f>IFERROR(__xludf.DUMMYFUNCTION("""COMPUTED_VALUE"""),"PR029")</f>
        <v>PR029</v>
      </c>
      <c r="H1354" s="1" t="str">
        <f>IFERROR(__xludf.DUMMYFUNCTION("""COMPUTED_VALUE"""),"VD018")</f>
        <v>VD018</v>
      </c>
      <c r="I1354" s="1">
        <f>IFERROR(__xludf.DUMMYFUNCTION("""COMPUTED_VALUE"""),1.0)</f>
        <v>1</v>
      </c>
      <c r="J1354" s="1">
        <f>IFERROR(__xludf.DUMMYFUNCTION("""COMPUTED_VALUE"""),257.55)</f>
        <v>257.55</v>
      </c>
      <c r="K1354" s="1">
        <f>IFERROR(__xludf.DUMMYFUNCTION("""COMPUTED_VALUE"""),257.55)</f>
        <v>257.55</v>
      </c>
    </row>
    <row r="1355">
      <c r="A1355" s="1">
        <f>IFERROR(__xludf.DUMMYFUNCTION("""COMPUTED_VALUE"""),1000.0)</f>
        <v>1000</v>
      </c>
      <c r="B1355" s="1">
        <f>IFERROR(__xludf.DUMMYFUNCTION("""COMPUTED_VALUE"""),184443.0)</f>
        <v>184443</v>
      </c>
      <c r="C1355" s="1">
        <f>IFERROR(__xludf.DUMMYFUNCTION("""COMPUTED_VALUE"""),2026.0)</f>
        <v>2026</v>
      </c>
      <c r="D1355" s="1">
        <f>IFERROR(__xludf.DUMMYFUNCTION("""COMPUTED_VALUE"""),46106.0)</f>
        <v>46106</v>
      </c>
      <c r="E1355" s="1" t="str">
        <f>IFERROR(__xludf.DUMMYFUNCTION("""COMPUTED_VALUE"""),"VF")</f>
        <v>VF</v>
      </c>
      <c r="F1355" s="1">
        <f>IFERROR(__xludf.DUMMYFUNCTION("""COMPUTED_VALUE"""),1.0)</f>
        <v>1</v>
      </c>
      <c r="G1355" s="1" t="str">
        <f>IFERROR(__xludf.DUMMYFUNCTION("""COMPUTED_VALUE"""),"PR032")</f>
        <v>PR032</v>
      </c>
      <c r="H1355" s="1" t="str">
        <f>IFERROR(__xludf.DUMMYFUNCTION("""COMPUTED_VALUE"""),"VD018")</f>
        <v>VD018</v>
      </c>
      <c r="I1355" s="1">
        <f>IFERROR(__xludf.DUMMYFUNCTION("""COMPUTED_VALUE"""),2.0)</f>
        <v>2</v>
      </c>
      <c r="J1355" s="1">
        <f>IFERROR(__xludf.DUMMYFUNCTION("""COMPUTED_VALUE"""),520.0)</f>
        <v>520</v>
      </c>
      <c r="K1355" s="1">
        <f>IFERROR(__xludf.DUMMYFUNCTION("""COMPUTED_VALUE"""),520.0)</f>
        <v>520</v>
      </c>
    </row>
    <row r="1356">
      <c r="A1356" s="1">
        <f>IFERROR(__xludf.DUMMYFUNCTION("""COMPUTED_VALUE"""),1000.0)</f>
        <v>1000</v>
      </c>
      <c r="B1356" s="1">
        <f>IFERROR(__xludf.DUMMYFUNCTION("""COMPUTED_VALUE"""),184443.0)</f>
        <v>184443</v>
      </c>
      <c r="C1356" s="1">
        <f>IFERROR(__xludf.DUMMYFUNCTION("""COMPUTED_VALUE"""),2026.0)</f>
        <v>2026</v>
      </c>
      <c r="D1356" s="1">
        <f>IFERROR(__xludf.DUMMYFUNCTION("""COMPUTED_VALUE"""),46106.0)</f>
        <v>46106</v>
      </c>
      <c r="E1356" s="1" t="str">
        <f>IFERROR(__xludf.DUMMYFUNCTION("""COMPUTED_VALUE"""),"VF")</f>
        <v>VF</v>
      </c>
      <c r="F1356" s="1">
        <f>IFERROR(__xludf.DUMMYFUNCTION("""COMPUTED_VALUE"""),2.0)</f>
        <v>2</v>
      </c>
      <c r="G1356" s="1" t="str">
        <f>IFERROR(__xludf.DUMMYFUNCTION("""COMPUTED_VALUE"""),"PR048")</f>
        <v>PR048</v>
      </c>
      <c r="H1356" s="1" t="str">
        <f>IFERROR(__xludf.DUMMYFUNCTION("""COMPUTED_VALUE"""),"VD042")</f>
        <v>VD042</v>
      </c>
      <c r="I1356" s="1">
        <f>IFERROR(__xludf.DUMMYFUNCTION("""COMPUTED_VALUE"""),2.0)</f>
        <v>2</v>
      </c>
      <c r="J1356" s="1">
        <f>IFERROR(__xludf.DUMMYFUNCTION("""COMPUTED_VALUE"""),585.6)</f>
        <v>585.6</v>
      </c>
      <c r="K1356" s="1">
        <f>IFERROR(__xludf.DUMMYFUNCTION("""COMPUTED_VALUE"""),585.6)</f>
        <v>585.6</v>
      </c>
    </row>
    <row r="1357">
      <c r="A1357" s="1">
        <f>IFERROR(__xludf.DUMMYFUNCTION("""COMPUTED_VALUE"""),2000.0)</f>
        <v>2000</v>
      </c>
      <c r="B1357" s="1">
        <f>IFERROR(__xludf.DUMMYFUNCTION("""COMPUTED_VALUE"""),184443.0)</f>
        <v>184443</v>
      </c>
      <c r="C1357" s="1">
        <f>IFERROR(__xludf.DUMMYFUNCTION("""COMPUTED_VALUE"""),2026.0)</f>
        <v>2026</v>
      </c>
      <c r="D1357" s="1">
        <f>IFERROR(__xludf.DUMMYFUNCTION("""COMPUTED_VALUE"""),46105.0)</f>
        <v>46105</v>
      </c>
      <c r="E1357" s="1" t="str">
        <f>IFERROR(__xludf.DUMMYFUNCTION("""COMPUTED_VALUE"""),"VF")</f>
        <v>VF</v>
      </c>
      <c r="F1357" s="1">
        <f>IFERROR(__xludf.DUMMYFUNCTION("""COMPUTED_VALUE"""),3.0)</f>
        <v>3</v>
      </c>
      <c r="G1357" s="1" t="str">
        <f>IFERROR(__xludf.DUMMYFUNCTION("""COMPUTED_VALUE"""),"PR044")</f>
        <v>PR044</v>
      </c>
      <c r="H1357" s="1" t="str">
        <f>IFERROR(__xludf.DUMMYFUNCTION("""COMPUTED_VALUE"""),"VD042")</f>
        <v>VD042</v>
      </c>
      <c r="I1357" s="1">
        <f>IFERROR(__xludf.DUMMYFUNCTION("""COMPUTED_VALUE"""),8.0)</f>
        <v>8</v>
      </c>
      <c r="J1357" s="1">
        <f>IFERROR(__xludf.DUMMYFUNCTION("""COMPUTED_VALUE"""),626.4)</f>
        <v>626.4</v>
      </c>
      <c r="K1357" s="1">
        <f>IFERROR(__xludf.DUMMYFUNCTION("""COMPUTED_VALUE"""),626.4)</f>
        <v>626.4</v>
      </c>
    </row>
    <row r="1358">
      <c r="A1358" s="1">
        <f>IFERROR(__xludf.DUMMYFUNCTION("""COMPUTED_VALUE"""),1000.0)</f>
        <v>1000</v>
      </c>
      <c r="B1358" s="1">
        <f>IFERROR(__xludf.DUMMYFUNCTION("""COMPUTED_VALUE"""),184444.0)</f>
        <v>184444</v>
      </c>
      <c r="C1358" s="1">
        <f>IFERROR(__xludf.DUMMYFUNCTION("""COMPUTED_VALUE"""),2026.0)</f>
        <v>2026</v>
      </c>
      <c r="D1358" s="1">
        <f>IFERROR(__xludf.DUMMYFUNCTION("""COMPUTED_VALUE"""),46105.0)</f>
        <v>46105</v>
      </c>
      <c r="E1358" s="1" t="str">
        <f>IFERROR(__xludf.DUMMYFUNCTION("""COMPUTED_VALUE"""),"VF")</f>
        <v>VF</v>
      </c>
      <c r="F1358" s="1">
        <f>IFERROR(__xludf.DUMMYFUNCTION("""COMPUTED_VALUE"""),1.0)</f>
        <v>1</v>
      </c>
      <c r="G1358" s="1" t="str">
        <f>IFERROR(__xludf.DUMMYFUNCTION("""COMPUTED_VALUE"""),"PR007")</f>
        <v>PR007</v>
      </c>
      <c r="H1358" s="1" t="str">
        <f>IFERROR(__xludf.DUMMYFUNCTION("""COMPUTED_VALUE"""),"VD019")</f>
        <v>VD019</v>
      </c>
      <c r="I1358" s="1">
        <f>IFERROR(__xludf.DUMMYFUNCTION("""COMPUTED_VALUE"""),3.0)</f>
        <v>3</v>
      </c>
      <c r="J1358" s="1">
        <f>IFERROR(__xludf.DUMMYFUNCTION("""COMPUTED_VALUE"""),280.89)</f>
        <v>280.89</v>
      </c>
      <c r="K1358" s="1">
        <f>IFERROR(__xludf.DUMMYFUNCTION("""COMPUTED_VALUE"""),280.89)</f>
        <v>280.89</v>
      </c>
    </row>
    <row r="1359">
      <c r="A1359" s="1">
        <f>IFERROR(__xludf.DUMMYFUNCTION("""COMPUTED_VALUE"""),1000.0)</f>
        <v>1000</v>
      </c>
      <c r="B1359" s="1">
        <f>IFERROR(__xludf.DUMMYFUNCTION("""COMPUTED_VALUE"""),184445.0)</f>
        <v>184445</v>
      </c>
      <c r="C1359" s="1">
        <f>IFERROR(__xludf.DUMMYFUNCTION("""COMPUTED_VALUE"""),2026.0)</f>
        <v>2026</v>
      </c>
      <c r="D1359" s="1">
        <f>IFERROR(__xludf.DUMMYFUNCTION("""COMPUTED_VALUE"""),46105.0)</f>
        <v>46105</v>
      </c>
      <c r="E1359" s="1" t="str">
        <f>IFERROR(__xludf.DUMMYFUNCTION("""COMPUTED_VALUE"""),"VF")</f>
        <v>VF</v>
      </c>
      <c r="F1359" s="1">
        <f>IFERROR(__xludf.DUMMYFUNCTION("""COMPUTED_VALUE"""),1.0)</f>
        <v>1</v>
      </c>
      <c r="G1359" s="1" t="str">
        <f>IFERROR(__xludf.DUMMYFUNCTION("""COMPUTED_VALUE"""),"PR018")</f>
        <v>PR018</v>
      </c>
      <c r="H1359" s="1" t="str">
        <f>IFERROR(__xludf.DUMMYFUNCTION("""COMPUTED_VALUE"""),"VD029")</f>
        <v>VD029</v>
      </c>
      <c r="I1359" s="1">
        <f>IFERROR(__xludf.DUMMYFUNCTION("""COMPUTED_VALUE"""),20.0)</f>
        <v>20</v>
      </c>
      <c r="J1359" s="1">
        <f>IFERROR(__xludf.DUMMYFUNCTION("""COMPUTED_VALUE"""),717.22)</f>
        <v>717.22</v>
      </c>
      <c r="K1359" s="1">
        <f>IFERROR(__xludf.DUMMYFUNCTION("""COMPUTED_VALUE"""),717.22)</f>
        <v>717.22</v>
      </c>
    </row>
    <row r="1360">
      <c r="A1360" s="1">
        <f>IFERROR(__xludf.DUMMYFUNCTION("""COMPUTED_VALUE"""),1000.0)</f>
        <v>1000</v>
      </c>
      <c r="B1360" s="1">
        <f>IFERROR(__xludf.DUMMYFUNCTION("""COMPUTED_VALUE"""),184446.0)</f>
        <v>184446</v>
      </c>
      <c r="C1360" s="1">
        <f>IFERROR(__xludf.DUMMYFUNCTION("""COMPUTED_VALUE"""),2026.0)</f>
        <v>2026</v>
      </c>
      <c r="D1360" s="1">
        <f>IFERROR(__xludf.DUMMYFUNCTION("""COMPUTED_VALUE"""),46104.0)</f>
        <v>46104</v>
      </c>
      <c r="E1360" s="1" t="str">
        <f>IFERROR(__xludf.DUMMYFUNCTION("""COMPUTED_VALUE"""),"VF")</f>
        <v>VF</v>
      </c>
      <c r="F1360" s="1">
        <f>IFERROR(__xludf.DUMMYFUNCTION("""COMPUTED_VALUE"""),1.0)</f>
        <v>1</v>
      </c>
      <c r="G1360" s="1" t="str">
        <f>IFERROR(__xludf.DUMMYFUNCTION("""COMPUTED_VALUE"""),"PR017")</f>
        <v>PR017</v>
      </c>
      <c r="H1360" s="1" t="str">
        <f>IFERROR(__xludf.DUMMYFUNCTION("""COMPUTED_VALUE"""),"VD028")</f>
        <v>VD028</v>
      </c>
      <c r="I1360" s="1">
        <f>IFERROR(__xludf.DUMMYFUNCTION("""COMPUTED_VALUE"""),9.0)</f>
        <v>9</v>
      </c>
      <c r="J1360" s="1">
        <f>IFERROR(__xludf.DUMMYFUNCTION("""COMPUTED_VALUE"""),279.86)</f>
        <v>279.86</v>
      </c>
      <c r="K1360" s="1">
        <f>IFERROR(__xludf.DUMMYFUNCTION("""COMPUTED_VALUE"""),279.86)</f>
        <v>279.86</v>
      </c>
    </row>
    <row r="1361">
      <c r="A1361" s="1">
        <f>IFERROR(__xludf.DUMMYFUNCTION("""COMPUTED_VALUE"""),1000.0)</f>
        <v>1000</v>
      </c>
      <c r="B1361" s="1">
        <f>IFERROR(__xludf.DUMMYFUNCTION("""COMPUTED_VALUE"""),184447.0)</f>
        <v>184447</v>
      </c>
      <c r="C1361" s="1">
        <f>IFERROR(__xludf.DUMMYFUNCTION("""COMPUTED_VALUE"""),2026.0)</f>
        <v>2026</v>
      </c>
      <c r="D1361" s="1">
        <f>IFERROR(__xludf.DUMMYFUNCTION("""COMPUTED_VALUE"""),46104.0)</f>
        <v>46104</v>
      </c>
      <c r="E1361" s="1" t="str">
        <f>IFERROR(__xludf.DUMMYFUNCTION("""COMPUTED_VALUE"""),"VF")</f>
        <v>VF</v>
      </c>
      <c r="F1361" s="1">
        <f>IFERROR(__xludf.DUMMYFUNCTION("""COMPUTED_VALUE"""),1.0)</f>
        <v>1</v>
      </c>
      <c r="G1361" s="1" t="str">
        <f>IFERROR(__xludf.DUMMYFUNCTION("""COMPUTED_VALUE"""),"PR053")</f>
        <v>PR053</v>
      </c>
      <c r="H1361" s="1" t="str">
        <f>IFERROR(__xludf.DUMMYFUNCTION("""COMPUTED_VALUE"""),"VD014")</f>
        <v>VD014</v>
      </c>
      <c r="I1361" s="1">
        <f>IFERROR(__xludf.DUMMYFUNCTION("""COMPUTED_VALUE"""),8.0)</f>
        <v>8</v>
      </c>
      <c r="J1361" s="1">
        <f>IFERROR(__xludf.DUMMYFUNCTION("""COMPUTED_VALUE"""),419.16)</f>
        <v>419.16</v>
      </c>
      <c r="K1361" s="1">
        <f>IFERROR(__xludf.DUMMYFUNCTION("""COMPUTED_VALUE"""),419.16)</f>
        <v>419.16</v>
      </c>
    </row>
    <row r="1362">
      <c r="A1362" s="1">
        <f>IFERROR(__xludf.DUMMYFUNCTION("""COMPUTED_VALUE"""),2000.0)</f>
        <v>2000</v>
      </c>
      <c r="B1362" s="1">
        <f>IFERROR(__xludf.DUMMYFUNCTION("""COMPUTED_VALUE"""),184448.0)</f>
        <v>184448</v>
      </c>
      <c r="C1362" s="1">
        <f>IFERROR(__xludf.DUMMYFUNCTION("""COMPUTED_VALUE"""),2026.0)</f>
        <v>2026</v>
      </c>
      <c r="D1362" s="1">
        <f>IFERROR(__xludf.DUMMYFUNCTION("""COMPUTED_VALUE"""),46104.0)</f>
        <v>46104</v>
      </c>
      <c r="E1362" s="1" t="str">
        <f>IFERROR(__xludf.DUMMYFUNCTION("""COMPUTED_VALUE"""),"VF")</f>
        <v>VF</v>
      </c>
      <c r="F1362" s="1">
        <f>IFERROR(__xludf.DUMMYFUNCTION("""COMPUTED_VALUE"""),1.0)</f>
        <v>1</v>
      </c>
      <c r="G1362" s="1" t="str">
        <f>IFERROR(__xludf.DUMMYFUNCTION("""COMPUTED_VALUE"""),"PR059")</f>
        <v>PR059</v>
      </c>
      <c r="H1362" s="1" t="str">
        <f>IFERROR(__xludf.DUMMYFUNCTION("""COMPUTED_VALUE"""),"VD015")</f>
        <v>VD015</v>
      </c>
      <c r="I1362" s="1">
        <f>IFERROR(__xludf.DUMMYFUNCTION("""COMPUTED_VALUE"""),1.0)</f>
        <v>1</v>
      </c>
      <c r="J1362" s="1">
        <f>IFERROR(__xludf.DUMMYFUNCTION("""COMPUTED_VALUE"""),181.8)</f>
        <v>181.8</v>
      </c>
      <c r="K1362" s="1">
        <f>IFERROR(__xludf.DUMMYFUNCTION("""COMPUTED_VALUE"""),181.8)</f>
        <v>181.8</v>
      </c>
    </row>
    <row r="1363">
      <c r="A1363" s="1">
        <f>IFERROR(__xludf.DUMMYFUNCTION("""COMPUTED_VALUE"""),2000.0)</f>
        <v>2000</v>
      </c>
      <c r="B1363" s="1">
        <f>IFERROR(__xludf.DUMMYFUNCTION("""COMPUTED_VALUE"""),184449.0)</f>
        <v>184449</v>
      </c>
      <c r="C1363" s="1">
        <f>IFERROR(__xludf.DUMMYFUNCTION("""COMPUTED_VALUE"""),2026.0)</f>
        <v>2026</v>
      </c>
      <c r="D1363" s="1">
        <f>IFERROR(__xludf.DUMMYFUNCTION("""COMPUTED_VALUE"""),46103.0)</f>
        <v>46103</v>
      </c>
      <c r="E1363" s="1" t="str">
        <f>IFERROR(__xludf.DUMMYFUNCTION("""COMPUTED_VALUE"""),"VF")</f>
        <v>VF</v>
      </c>
      <c r="F1363" s="1">
        <f>IFERROR(__xludf.DUMMYFUNCTION("""COMPUTED_VALUE"""),1.0)</f>
        <v>1</v>
      </c>
      <c r="G1363" s="1" t="str">
        <f>IFERROR(__xludf.DUMMYFUNCTION("""COMPUTED_VALUE"""),"PR014")</f>
        <v>PR014</v>
      </c>
      <c r="H1363" s="1" t="str">
        <f>IFERROR(__xludf.DUMMYFUNCTION("""COMPUTED_VALUE"""),"VD018")</f>
        <v>VD018</v>
      </c>
      <c r="I1363" s="1">
        <f>IFERROR(__xludf.DUMMYFUNCTION("""COMPUTED_VALUE"""),16.0)</f>
        <v>16</v>
      </c>
      <c r="J1363" s="1">
        <f>IFERROR(__xludf.DUMMYFUNCTION("""COMPUTED_VALUE"""),651.17)</f>
        <v>651.17</v>
      </c>
      <c r="K1363" s="1">
        <f>IFERROR(__xludf.DUMMYFUNCTION("""COMPUTED_VALUE"""),651.17)</f>
        <v>651.17</v>
      </c>
    </row>
    <row r="1364">
      <c r="A1364" s="1">
        <f>IFERROR(__xludf.DUMMYFUNCTION("""COMPUTED_VALUE"""),1000.0)</f>
        <v>1000</v>
      </c>
      <c r="B1364" s="1">
        <f>IFERROR(__xludf.DUMMYFUNCTION("""COMPUTED_VALUE"""),184449.0)</f>
        <v>184449</v>
      </c>
      <c r="C1364" s="1">
        <f>IFERROR(__xludf.DUMMYFUNCTION("""COMPUTED_VALUE"""),2026.0)</f>
        <v>2026</v>
      </c>
      <c r="D1364" s="1">
        <f>IFERROR(__xludf.DUMMYFUNCTION("""COMPUTED_VALUE"""),46103.0)</f>
        <v>46103</v>
      </c>
      <c r="E1364" s="1" t="str">
        <f>IFERROR(__xludf.DUMMYFUNCTION("""COMPUTED_VALUE"""),"VF")</f>
        <v>VF</v>
      </c>
      <c r="F1364" s="1">
        <f>IFERROR(__xludf.DUMMYFUNCTION("""COMPUTED_VALUE"""),2.0)</f>
        <v>2</v>
      </c>
      <c r="G1364" s="1" t="str">
        <f>IFERROR(__xludf.DUMMYFUNCTION("""COMPUTED_VALUE"""),"PR022")</f>
        <v>PR022</v>
      </c>
      <c r="H1364" s="1" t="str">
        <f>IFERROR(__xludf.DUMMYFUNCTION("""COMPUTED_VALUE"""),"VD032")</f>
        <v>VD032</v>
      </c>
      <c r="I1364" s="1">
        <f>IFERROR(__xludf.DUMMYFUNCTION("""COMPUTED_VALUE"""),10.0)</f>
        <v>10</v>
      </c>
      <c r="J1364" s="1">
        <f>IFERROR(__xludf.DUMMYFUNCTION("""COMPUTED_VALUE"""),3150.0)</f>
        <v>3150</v>
      </c>
      <c r="K1364" s="1">
        <f>IFERROR(__xludf.DUMMYFUNCTION("""COMPUTED_VALUE"""),3150.0)</f>
        <v>3150</v>
      </c>
    </row>
    <row r="1365">
      <c r="A1365" s="1">
        <f>IFERROR(__xludf.DUMMYFUNCTION("""COMPUTED_VALUE"""),2000.0)</f>
        <v>2000</v>
      </c>
      <c r="B1365" s="1">
        <f>IFERROR(__xludf.DUMMYFUNCTION("""COMPUTED_VALUE"""),184450.0)</f>
        <v>184450</v>
      </c>
      <c r="C1365" s="1">
        <f>IFERROR(__xludf.DUMMYFUNCTION("""COMPUTED_VALUE"""),2026.0)</f>
        <v>2026</v>
      </c>
      <c r="D1365" s="1">
        <f>IFERROR(__xludf.DUMMYFUNCTION("""COMPUTED_VALUE"""),46102.0)</f>
        <v>46102</v>
      </c>
      <c r="E1365" s="1" t="str">
        <f>IFERROR(__xludf.DUMMYFUNCTION("""COMPUTED_VALUE"""),"VF")</f>
        <v>VF</v>
      </c>
      <c r="F1365" s="1">
        <f>IFERROR(__xludf.DUMMYFUNCTION("""COMPUTED_VALUE"""),1.0)</f>
        <v>1</v>
      </c>
      <c r="G1365" s="1" t="str">
        <f>IFERROR(__xludf.DUMMYFUNCTION("""COMPUTED_VALUE"""),"PR007")</f>
        <v>PR007</v>
      </c>
      <c r="H1365" s="1" t="str">
        <f>IFERROR(__xludf.DUMMYFUNCTION("""COMPUTED_VALUE"""),"VD028")</f>
        <v>VD028</v>
      </c>
      <c r="I1365" s="1">
        <f>IFERROR(__xludf.DUMMYFUNCTION("""COMPUTED_VALUE"""),10.0)</f>
        <v>10</v>
      </c>
      <c r="J1365" s="1">
        <f>IFERROR(__xludf.DUMMYFUNCTION("""COMPUTED_VALUE"""),859.0)</f>
        <v>859</v>
      </c>
      <c r="K1365" s="1">
        <f>IFERROR(__xludf.DUMMYFUNCTION("""COMPUTED_VALUE"""),859.0)</f>
        <v>859</v>
      </c>
    </row>
    <row r="1366">
      <c r="A1366" s="1">
        <f>IFERROR(__xludf.DUMMYFUNCTION("""COMPUTED_VALUE"""),1000.0)</f>
        <v>1000</v>
      </c>
      <c r="B1366" s="1">
        <f>IFERROR(__xludf.DUMMYFUNCTION("""COMPUTED_VALUE"""),184451.0)</f>
        <v>184451</v>
      </c>
      <c r="C1366" s="1">
        <f>IFERROR(__xludf.DUMMYFUNCTION("""COMPUTED_VALUE"""),2026.0)</f>
        <v>2026</v>
      </c>
      <c r="D1366" s="1">
        <f>IFERROR(__xludf.DUMMYFUNCTION("""COMPUTED_VALUE"""),46102.0)</f>
        <v>46102</v>
      </c>
      <c r="E1366" s="1" t="str">
        <f>IFERROR(__xludf.DUMMYFUNCTION("""COMPUTED_VALUE"""),"VF")</f>
        <v>VF</v>
      </c>
      <c r="F1366" s="1">
        <f>IFERROR(__xludf.DUMMYFUNCTION("""COMPUTED_VALUE"""),1.0)</f>
        <v>1</v>
      </c>
      <c r="G1366" s="1" t="str">
        <f>IFERROR(__xludf.DUMMYFUNCTION("""COMPUTED_VALUE"""),"PR035")</f>
        <v>PR035</v>
      </c>
      <c r="H1366" s="1" t="str">
        <f>IFERROR(__xludf.DUMMYFUNCTION("""COMPUTED_VALUE"""),"VD049")</f>
        <v>VD049</v>
      </c>
      <c r="I1366" s="1">
        <f>IFERROR(__xludf.DUMMYFUNCTION("""COMPUTED_VALUE"""),8.0)</f>
        <v>8</v>
      </c>
      <c r="J1366" s="1">
        <f>IFERROR(__xludf.DUMMYFUNCTION("""COMPUTED_VALUE"""),775.07)</f>
        <v>775.07</v>
      </c>
      <c r="K1366" s="1">
        <f>IFERROR(__xludf.DUMMYFUNCTION("""COMPUTED_VALUE"""),775.07)</f>
        <v>775.07</v>
      </c>
    </row>
    <row r="1367">
      <c r="A1367" s="1">
        <f>IFERROR(__xludf.DUMMYFUNCTION("""COMPUTED_VALUE"""),2000.0)</f>
        <v>2000</v>
      </c>
      <c r="B1367" s="1">
        <f>IFERROR(__xludf.DUMMYFUNCTION("""COMPUTED_VALUE"""),184452.0)</f>
        <v>184452</v>
      </c>
      <c r="C1367" s="1">
        <f>IFERROR(__xludf.DUMMYFUNCTION("""COMPUTED_VALUE"""),2026.0)</f>
        <v>2026</v>
      </c>
      <c r="D1367" s="1">
        <f>IFERROR(__xludf.DUMMYFUNCTION("""COMPUTED_VALUE"""),46101.0)</f>
        <v>46101</v>
      </c>
      <c r="E1367" s="1" t="str">
        <f>IFERROR(__xludf.DUMMYFUNCTION("""COMPUTED_VALUE"""),"VF")</f>
        <v>VF</v>
      </c>
      <c r="F1367" s="1">
        <f>IFERROR(__xludf.DUMMYFUNCTION("""COMPUTED_VALUE"""),1.0)</f>
        <v>1</v>
      </c>
      <c r="G1367" s="1" t="str">
        <f>IFERROR(__xludf.DUMMYFUNCTION("""COMPUTED_VALUE"""),"PR024")</f>
        <v>PR024</v>
      </c>
      <c r="H1367" s="1" t="str">
        <f>IFERROR(__xludf.DUMMYFUNCTION("""COMPUTED_VALUE"""),"VD037")</f>
        <v>VD037</v>
      </c>
      <c r="I1367" s="1">
        <f>IFERROR(__xludf.DUMMYFUNCTION("""COMPUTED_VALUE"""),5.0)</f>
        <v>5</v>
      </c>
      <c r="J1367" s="1">
        <f>IFERROR(__xludf.DUMMYFUNCTION("""COMPUTED_VALUE"""),1299.5)</f>
        <v>1299.5</v>
      </c>
      <c r="K1367" s="1">
        <f>IFERROR(__xludf.DUMMYFUNCTION("""COMPUTED_VALUE"""),1299.5)</f>
        <v>1299.5</v>
      </c>
    </row>
    <row r="1368">
      <c r="A1368" s="1">
        <f>IFERROR(__xludf.DUMMYFUNCTION("""COMPUTED_VALUE"""),1000.0)</f>
        <v>1000</v>
      </c>
      <c r="B1368" s="1">
        <f>IFERROR(__xludf.DUMMYFUNCTION("""COMPUTED_VALUE"""),184453.0)</f>
        <v>184453</v>
      </c>
      <c r="C1368" s="1">
        <f>IFERROR(__xludf.DUMMYFUNCTION("""COMPUTED_VALUE"""),2026.0)</f>
        <v>2026</v>
      </c>
      <c r="D1368" s="1">
        <f>IFERROR(__xludf.DUMMYFUNCTION("""COMPUTED_VALUE"""),46101.0)</f>
        <v>46101</v>
      </c>
      <c r="E1368" s="1" t="str">
        <f>IFERROR(__xludf.DUMMYFUNCTION("""COMPUTED_VALUE"""),"VF")</f>
        <v>VF</v>
      </c>
      <c r="F1368" s="1">
        <f>IFERROR(__xludf.DUMMYFUNCTION("""COMPUTED_VALUE"""),1.0)</f>
        <v>1</v>
      </c>
      <c r="G1368" s="1" t="str">
        <f>IFERROR(__xludf.DUMMYFUNCTION("""COMPUTED_VALUE"""),"PR057")</f>
        <v>PR057</v>
      </c>
      <c r="H1368" s="1" t="str">
        <f>IFERROR(__xludf.DUMMYFUNCTION("""COMPUTED_VALUE"""),"VD033")</f>
        <v>VD033</v>
      </c>
      <c r="I1368" s="1">
        <f>IFERROR(__xludf.DUMMYFUNCTION("""COMPUTED_VALUE"""),14.0)</f>
        <v>14</v>
      </c>
      <c r="J1368" s="1">
        <f>IFERROR(__xludf.DUMMYFUNCTION("""COMPUTED_VALUE"""),1296.36)</f>
        <v>1296.36</v>
      </c>
      <c r="K1368" s="1">
        <f>IFERROR(__xludf.DUMMYFUNCTION("""COMPUTED_VALUE"""),1296.36)</f>
        <v>1296.36</v>
      </c>
    </row>
    <row r="1369">
      <c r="A1369" s="1">
        <f>IFERROR(__xludf.DUMMYFUNCTION("""COMPUTED_VALUE"""),1000.0)</f>
        <v>1000</v>
      </c>
      <c r="B1369" s="1">
        <f>IFERROR(__xludf.DUMMYFUNCTION("""COMPUTED_VALUE"""),184453.0)</f>
        <v>184453</v>
      </c>
      <c r="C1369" s="1">
        <f>IFERROR(__xludf.DUMMYFUNCTION("""COMPUTED_VALUE"""),2026.0)</f>
        <v>2026</v>
      </c>
      <c r="D1369" s="1">
        <f>IFERROR(__xludf.DUMMYFUNCTION("""COMPUTED_VALUE"""),46100.0)</f>
        <v>46100</v>
      </c>
      <c r="E1369" s="1" t="str">
        <f>IFERROR(__xludf.DUMMYFUNCTION("""COMPUTED_VALUE"""),"VF")</f>
        <v>VF</v>
      </c>
      <c r="F1369" s="1">
        <f>IFERROR(__xludf.DUMMYFUNCTION("""COMPUTED_VALUE"""),2.0)</f>
        <v>2</v>
      </c>
      <c r="G1369" s="1" t="str">
        <f>IFERROR(__xludf.DUMMYFUNCTION("""COMPUTED_VALUE"""),"PR047")</f>
        <v>PR047</v>
      </c>
      <c r="H1369" s="1" t="str">
        <f>IFERROR(__xludf.DUMMYFUNCTION("""COMPUTED_VALUE"""),"VD037")</f>
        <v>VD037</v>
      </c>
      <c r="I1369" s="1">
        <f>IFERROR(__xludf.DUMMYFUNCTION("""COMPUTED_VALUE"""),3.0)</f>
        <v>3</v>
      </c>
      <c r="J1369" s="1">
        <f>IFERROR(__xludf.DUMMYFUNCTION("""COMPUTED_VALUE"""),913.19)</f>
        <v>913.19</v>
      </c>
      <c r="K1369" s="1">
        <f>IFERROR(__xludf.DUMMYFUNCTION("""COMPUTED_VALUE"""),913.19)</f>
        <v>913.19</v>
      </c>
    </row>
    <row r="1370">
      <c r="A1370" s="1">
        <f>IFERROR(__xludf.DUMMYFUNCTION("""COMPUTED_VALUE"""),1000.0)</f>
        <v>1000</v>
      </c>
      <c r="B1370" s="1">
        <f>IFERROR(__xludf.DUMMYFUNCTION("""COMPUTED_VALUE"""),184453.0)</f>
        <v>184453</v>
      </c>
      <c r="C1370" s="1">
        <f>IFERROR(__xludf.DUMMYFUNCTION("""COMPUTED_VALUE"""),2026.0)</f>
        <v>2026</v>
      </c>
      <c r="D1370" s="1">
        <f>IFERROR(__xludf.DUMMYFUNCTION("""COMPUTED_VALUE"""),46100.0)</f>
        <v>46100</v>
      </c>
      <c r="E1370" s="1" t="str">
        <f>IFERROR(__xludf.DUMMYFUNCTION("""COMPUTED_VALUE"""),"VF")</f>
        <v>VF</v>
      </c>
      <c r="F1370" s="1">
        <f>IFERROR(__xludf.DUMMYFUNCTION("""COMPUTED_VALUE"""),3.0)</f>
        <v>3</v>
      </c>
      <c r="G1370" s="1" t="str">
        <f>IFERROR(__xludf.DUMMYFUNCTION("""COMPUTED_VALUE"""),"PR035")</f>
        <v>PR035</v>
      </c>
      <c r="H1370" s="1" t="str">
        <f>IFERROR(__xludf.DUMMYFUNCTION("""COMPUTED_VALUE"""),"VD042")</f>
        <v>VD042</v>
      </c>
      <c r="I1370" s="1">
        <f>IFERROR(__xludf.DUMMYFUNCTION("""COMPUTED_VALUE"""),20.0)</f>
        <v>20</v>
      </c>
      <c r="J1370" s="1">
        <f>IFERROR(__xludf.DUMMYFUNCTION("""COMPUTED_VALUE"""),1937.68)</f>
        <v>1937.68</v>
      </c>
      <c r="K1370" s="1">
        <f>IFERROR(__xludf.DUMMYFUNCTION("""COMPUTED_VALUE"""),1937.68)</f>
        <v>1937.68</v>
      </c>
    </row>
    <row r="1371">
      <c r="A1371" s="1">
        <f>IFERROR(__xludf.DUMMYFUNCTION("""COMPUTED_VALUE"""),1000.0)</f>
        <v>1000</v>
      </c>
      <c r="B1371" s="1">
        <f>IFERROR(__xludf.DUMMYFUNCTION("""COMPUTED_VALUE"""),184453.0)</f>
        <v>184453</v>
      </c>
      <c r="C1371" s="1">
        <f>IFERROR(__xludf.DUMMYFUNCTION("""COMPUTED_VALUE"""),2026.0)</f>
        <v>2026</v>
      </c>
      <c r="D1371" s="1">
        <f>IFERROR(__xludf.DUMMYFUNCTION("""COMPUTED_VALUE"""),46100.0)</f>
        <v>46100</v>
      </c>
      <c r="E1371" s="1" t="str">
        <f>IFERROR(__xludf.DUMMYFUNCTION("""COMPUTED_VALUE"""),"VF")</f>
        <v>VF</v>
      </c>
      <c r="F1371" s="1">
        <f>IFERROR(__xludf.DUMMYFUNCTION("""COMPUTED_VALUE"""),4.0)</f>
        <v>4</v>
      </c>
      <c r="G1371" s="1" t="str">
        <f>IFERROR(__xludf.DUMMYFUNCTION("""COMPUTED_VALUE"""),"PR007")</f>
        <v>PR007</v>
      </c>
      <c r="H1371" s="1" t="str">
        <f>IFERROR(__xludf.DUMMYFUNCTION("""COMPUTED_VALUE"""),"VD026")</f>
        <v>VD026</v>
      </c>
      <c r="I1371" s="1">
        <f>IFERROR(__xludf.DUMMYFUNCTION("""COMPUTED_VALUE"""),3.0)</f>
        <v>3</v>
      </c>
      <c r="J1371" s="1">
        <f>IFERROR(__xludf.DUMMYFUNCTION("""COMPUTED_VALUE"""),270.59)</f>
        <v>270.59</v>
      </c>
      <c r="K1371" s="1">
        <f>IFERROR(__xludf.DUMMYFUNCTION("""COMPUTED_VALUE"""),270.59)</f>
        <v>270.59</v>
      </c>
    </row>
    <row r="1372">
      <c r="A1372" s="1">
        <f>IFERROR(__xludf.DUMMYFUNCTION("""COMPUTED_VALUE"""),1000.0)</f>
        <v>1000</v>
      </c>
      <c r="B1372" s="1">
        <f>IFERROR(__xludf.DUMMYFUNCTION("""COMPUTED_VALUE"""),184454.0)</f>
        <v>184454</v>
      </c>
      <c r="C1372" s="1">
        <f>IFERROR(__xludf.DUMMYFUNCTION("""COMPUTED_VALUE"""),2026.0)</f>
        <v>2026</v>
      </c>
      <c r="D1372" s="1">
        <f>IFERROR(__xludf.DUMMYFUNCTION("""COMPUTED_VALUE"""),46100.0)</f>
        <v>46100</v>
      </c>
      <c r="E1372" s="1" t="str">
        <f>IFERROR(__xludf.DUMMYFUNCTION("""COMPUTED_VALUE"""),"VF")</f>
        <v>VF</v>
      </c>
      <c r="F1372" s="1">
        <f>IFERROR(__xludf.DUMMYFUNCTION("""COMPUTED_VALUE"""),1.0)</f>
        <v>1</v>
      </c>
      <c r="G1372" s="1" t="str">
        <f>IFERROR(__xludf.DUMMYFUNCTION("""COMPUTED_VALUE"""),"PR002")</f>
        <v>PR002</v>
      </c>
      <c r="H1372" s="1" t="str">
        <f>IFERROR(__xludf.DUMMYFUNCTION("""COMPUTED_VALUE"""),"VD013")</f>
        <v>VD013</v>
      </c>
      <c r="I1372" s="1">
        <f>IFERROR(__xludf.DUMMYFUNCTION("""COMPUTED_VALUE"""),5.0)</f>
        <v>5</v>
      </c>
      <c r="J1372" s="1">
        <f>IFERROR(__xludf.DUMMYFUNCTION("""COMPUTED_VALUE"""),373.97)</f>
        <v>373.97</v>
      </c>
      <c r="K1372" s="1">
        <f>IFERROR(__xludf.DUMMYFUNCTION("""COMPUTED_VALUE"""),373.97)</f>
        <v>373.97</v>
      </c>
    </row>
    <row r="1373">
      <c r="A1373" s="1">
        <f>IFERROR(__xludf.DUMMYFUNCTION("""COMPUTED_VALUE"""),1000.0)</f>
        <v>1000</v>
      </c>
      <c r="B1373" s="1">
        <f>IFERROR(__xludf.DUMMYFUNCTION("""COMPUTED_VALUE"""),184455.0)</f>
        <v>184455</v>
      </c>
      <c r="C1373" s="1">
        <f>IFERROR(__xludf.DUMMYFUNCTION("""COMPUTED_VALUE"""),2026.0)</f>
        <v>2026</v>
      </c>
      <c r="D1373" s="1">
        <f>IFERROR(__xludf.DUMMYFUNCTION("""COMPUTED_VALUE"""),46100.0)</f>
        <v>46100</v>
      </c>
      <c r="E1373" s="1" t="str">
        <f>IFERROR(__xludf.DUMMYFUNCTION("""COMPUTED_VALUE"""),"VF")</f>
        <v>VF</v>
      </c>
      <c r="F1373" s="1">
        <f>IFERROR(__xludf.DUMMYFUNCTION("""COMPUTED_VALUE"""),1.0)</f>
        <v>1</v>
      </c>
      <c r="G1373" s="1" t="str">
        <f>IFERROR(__xludf.DUMMYFUNCTION("""COMPUTED_VALUE"""),"PR035")</f>
        <v>PR035</v>
      </c>
      <c r="H1373" s="1" t="str">
        <f>IFERROR(__xludf.DUMMYFUNCTION("""COMPUTED_VALUE"""),"VD036")</f>
        <v>VD036</v>
      </c>
      <c r="I1373" s="1">
        <f>IFERROR(__xludf.DUMMYFUNCTION("""COMPUTED_VALUE"""),2.0)</f>
        <v>2</v>
      </c>
      <c r="J1373" s="1">
        <f>IFERROR(__xludf.DUMMYFUNCTION("""COMPUTED_VALUE"""),184.63)</f>
        <v>184.63</v>
      </c>
      <c r="K1373" s="1">
        <f>IFERROR(__xludf.DUMMYFUNCTION("""COMPUTED_VALUE"""),184.63)</f>
        <v>184.63</v>
      </c>
    </row>
    <row r="1374">
      <c r="A1374" s="1">
        <f>IFERROR(__xludf.DUMMYFUNCTION("""COMPUTED_VALUE"""),1000.0)</f>
        <v>1000</v>
      </c>
      <c r="B1374" s="1">
        <f>IFERROR(__xludf.DUMMYFUNCTION("""COMPUTED_VALUE"""),184456.0)</f>
        <v>184456</v>
      </c>
      <c r="C1374" s="1">
        <f>IFERROR(__xludf.DUMMYFUNCTION("""COMPUTED_VALUE"""),2026.0)</f>
        <v>2026</v>
      </c>
      <c r="D1374" s="1">
        <f>IFERROR(__xludf.DUMMYFUNCTION("""COMPUTED_VALUE"""),46100.0)</f>
        <v>46100</v>
      </c>
      <c r="E1374" s="1" t="str">
        <f>IFERROR(__xludf.DUMMYFUNCTION("""COMPUTED_VALUE"""),"VF")</f>
        <v>VF</v>
      </c>
      <c r="F1374" s="1">
        <f>IFERROR(__xludf.DUMMYFUNCTION("""COMPUTED_VALUE"""),1.0)</f>
        <v>1</v>
      </c>
      <c r="G1374" s="1" t="str">
        <f>IFERROR(__xludf.DUMMYFUNCTION("""COMPUTED_VALUE"""),"PR049")</f>
        <v>PR049</v>
      </c>
      <c r="H1374" s="1" t="str">
        <f>IFERROR(__xludf.DUMMYFUNCTION("""COMPUTED_VALUE"""),"VD026")</f>
        <v>VD026</v>
      </c>
      <c r="I1374" s="1">
        <f>IFERROR(__xludf.DUMMYFUNCTION("""COMPUTED_VALUE"""),10.0)</f>
        <v>10</v>
      </c>
      <c r="J1374" s="1">
        <f>IFERROR(__xludf.DUMMYFUNCTION("""COMPUTED_VALUE"""),348.74)</f>
        <v>348.74</v>
      </c>
      <c r="K1374" s="1">
        <f>IFERROR(__xludf.DUMMYFUNCTION("""COMPUTED_VALUE"""),348.74)</f>
        <v>348.74</v>
      </c>
    </row>
    <row r="1375">
      <c r="A1375" s="1">
        <f>IFERROR(__xludf.DUMMYFUNCTION("""COMPUTED_VALUE"""),1000.0)</f>
        <v>1000</v>
      </c>
      <c r="B1375" s="1">
        <f>IFERROR(__xludf.DUMMYFUNCTION("""COMPUTED_VALUE"""),184457.0)</f>
        <v>184457</v>
      </c>
      <c r="C1375" s="1">
        <f>IFERROR(__xludf.DUMMYFUNCTION("""COMPUTED_VALUE"""),2026.0)</f>
        <v>2026</v>
      </c>
      <c r="D1375" s="1">
        <f>IFERROR(__xludf.DUMMYFUNCTION("""COMPUTED_VALUE"""),46100.0)</f>
        <v>46100</v>
      </c>
      <c r="E1375" s="1" t="str">
        <f>IFERROR(__xludf.DUMMYFUNCTION("""COMPUTED_VALUE"""),"VF")</f>
        <v>VF</v>
      </c>
      <c r="F1375" s="1">
        <f>IFERROR(__xludf.DUMMYFUNCTION("""COMPUTED_VALUE"""),1.0)</f>
        <v>1</v>
      </c>
      <c r="G1375" s="1" t="str">
        <f>IFERROR(__xludf.DUMMYFUNCTION("""COMPUTED_VALUE"""),"PR048")</f>
        <v>PR048</v>
      </c>
      <c r="H1375" s="1" t="str">
        <f>IFERROR(__xludf.DUMMYFUNCTION("""COMPUTED_VALUE"""),"VD019")</f>
        <v>VD019</v>
      </c>
      <c r="I1375" s="1">
        <f>IFERROR(__xludf.DUMMYFUNCTION("""COMPUTED_VALUE"""),14.0)</f>
        <v>14</v>
      </c>
      <c r="J1375" s="1">
        <f>IFERROR(__xludf.DUMMYFUNCTION("""COMPUTED_VALUE"""),4139.77)</f>
        <v>4139.77</v>
      </c>
      <c r="K1375" s="1">
        <f>IFERROR(__xludf.DUMMYFUNCTION("""COMPUTED_VALUE"""),4139.77)</f>
        <v>4139.77</v>
      </c>
    </row>
    <row r="1376">
      <c r="A1376" s="1">
        <f>IFERROR(__xludf.DUMMYFUNCTION("""COMPUTED_VALUE"""),2000.0)</f>
        <v>2000</v>
      </c>
      <c r="B1376" s="1">
        <f>IFERROR(__xludf.DUMMYFUNCTION("""COMPUTED_VALUE"""),184458.0)</f>
        <v>184458</v>
      </c>
      <c r="C1376" s="1">
        <f>IFERROR(__xludf.DUMMYFUNCTION("""COMPUTED_VALUE"""),2026.0)</f>
        <v>2026</v>
      </c>
      <c r="D1376" s="1">
        <f>IFERROR(__xludf.DUMMYFUNCTION("""COMPUTED_VALUE"""),46100.0)</f>
        <v>46100</v>
      </c>
      <c r="E1376" s="1" t="str">
        <f>IFERROR(__xludf.DUMMYFUNCTION("""COMPUTED_VALUE"""),"VF")</f>
        <v>VF</v>
      </c>
      <c r="F1376" s="1">
        <f>IFERROR(__xludf.DUMMYFUNCTION("""COMPUTED_VALUE"""),1.0)</f>
        <v>1</v>
      </c>
      <c r="G1376" s="1" t="str">
        <f>IFERROR(__xludf.DUMMYFUNCTION("""COMPUTED_VALUE"""),"PR058")</f>
        <v>PR058</v>
      </c>
      <c r="H1376" s="1" t="str">
        <f>IFERROR(__xludf.DUMMYFUNCTION("""COMPUTED_VALUE"""),"VD029")</f>
        <v>VD029</v>
      </c>
      <c r="I1376" s="1">
        <f>IFERROR(__xludf.DUMMYFUNCTION("""COMPUTED_VALUE"""),5.0)</f>
        <v>5</v>
      </c>
      <c r="J1376" s="1">
        <f>IFERROR(__xludf.DUMMYFUNCTION("""COMPUTED_VALUE"""),918.0)</f>
        <v>918</v>
      </c>
      <c r="K1376" s="1">
        <f>IFERROR(__xludf.DUMMYFUNCTION("""COMPUTED_VALUE"""),918.0)</f>
        <v>918</v>
      </c>
    </row>
    <row r="1377">
      <c r="A1377" s="1">
        <f>IFERROR(__xludf.DUMMYFUNCTION("""COMPUTED_VALUE"""),1000.0)</f>
        <v>1000</v>
      </c>
      <c r="B1377" s="1">
        <f>IFERROR(__xludf.DUMMYFUNCTION("""COMPUTED_VALUE"""),184459.0)</f>
        <v>184459</v>
      </c>
      <c r="C1377" s="1">
        <f>IFERROR(__xludf.DUMMYFUNCTION("""COMPUTED_VALUE"""),2026.0)</f>
        <v>2026</v>
      </c>
      <c r="D1377" s="1">
        <f>IFERROR(__xludf.DUMMYFUNCTION("""COMPUTED_VALUE"""),46100.0)</f>
        <v>46100</v>
      </c>
      <c r="E1377" s="1" t="str">
        <f>IFERROR(__xludf.DUMMYFUNCTION("""COMPUTED_VALUE"""),"VF")</f>
        <v>VF</v>
      </c>
      <c r="F1377" s="1">
        <f>IFERROR(__xludf.DUMMYFUNCTION("""COMPUTED_VALUE"""),1.0)</f>
        <v>1</v>
      </c>
      <c r="G1377" s="1" t="str">
        <f>IFERROR(__xludf.DUMMYFUNCTION("""COMPUTED_VALUE"""),"PR032")</f>
        <v>PR032</v>
      </c>
      <c r="H1377" s="1" t="str">
        <f>IFERROR(__xludf.DUMMYFUNCTION("""COMPUTED_VALUE"""),"VD038")</f>
        <v>VD038</v>
      </c>
      <c r="I1377" s="1">
        <f>IFERROR(__xludf.DUMMYFUNCTION("""COMPUTED_VALUE"""),8.0)</f>
        <v>8</v>
      </c>
      <c r="J1377" s="1">
        <f>IFERROR(__xludf.DUMMYFUNCTION("""COMPUTED_VALUE"""),2080.0)</f>
        <v>2080</v>
      </c>
      <c r="K1377" s="1">
        <f>IFERROR(__xludf.DUMMYFUNCTION("""COMPUTED_VALUE"""),2080.0)</f>
        <v>2080</v>
      </c>
    </row>
    <row r="1378">
      <c r="A1378" s="1">
        <f>IFERROR(__xludf.DUMMYFUNCTION("""COMPUTED_VALUE"""),1000.0)</f>
        <v>1000</v>
      </c>
      <c r="B1378" s="1">
        <f>IFERROR(__xludf.DUMMYFUNCTION("""COMPUTED_VALUE"""),184459.0)</f>
        <v>184459</v>
      </c>
      <c r="C1378" s="1">
        <f>IFERROR(__xludf.DUMMYFUNCTION("""COMPUTED_VALUE"""),2026.0)</f>
        <v>2026</v>
      </c>
      <c r="D1378" s="1">
        <f>IFERROR(__xludf.DUMMYFUNCTION("""COMPUTED_VALUE"""),46100.0)</f>
        <v>46100</v>
      </c>
      <c r="E1378" s="1" t="str">
        <f>IFERROR(__xludf.DUMMYFUNCTION("""COMPUTED_VALUE"""),"VF")</f>
        <v>VF</v>
      </c>
      <c r="F1378" s="1">
        <f>IFERROR(__xludf.DUMMYFUNCTION("""COMPUTED_VALUE"""),2.0)</f>
        <v>2</v>
      </c>
      <c r="G1378" s="1" t="str">
        <f>IFERROR(__xludf.DUMMYFUNCTION("""COMPUTED_VALUE"""),"PR009")</f>
        <v>PR009</v>
      </c>
      <c r="H1378" s="1" t="str">
        <f>IFERROR(__xludf.DUMMYFUNCTION("""COMPUTED_VALUE"""),"VD032")</f>
        <v>VD032</v>
      </c>
      <c r="I1378" s="1">
        <f>IFERROR(__xludf.DUMMYFUNCTION("""COMPUTED_VALUE"""),20.0)</f>
        <v>20</v>
      </c>
      <c r="J1378" s="1">
        <f>IFERROR(__xludf.DUMMYFUNCTION("""COMPUTED_VALUE"""),1969.48)</f>
        <v>1969.48</v>
      </c>
      <c r="K1378" s="1">
        <f>IFERROR(__xludf.DUMMYFUNCTION("""COMPUTED_VALUE"""),1969.48)</f>
        <v>1969.48</v>
      </c>
    </row>
    <row r="1379">
      <c r="A1379" s="1">
        <f>IFERROR(__xludf.DUMMYFUNCTION("""COMPUTED_VALUE"""),1000.0)</f>
        <v>1000</v>
      </c>
      <c r="B1379" s="1">
        <f>IFERROR(__xludf.DUMMYFUNCTION("""COMPUTED_VALUE"""),184460.0)</f>
        <v>184460</v>
      </c>
      <c r="C1379" s="1">
        <f>IFERROR(__xludf.DUMMYFUNCTION("""COMPUTED_VALUE"""),2026.0)</f>
        <v>2026</v>
      </c>
      <c r="D1379" s="1">
        <f>IFERROR(__xludf.DUMMYFUNCTION("""COMPUTED_VALUE"""),46100.0)</f>
        <v>46100</v>
      </c>
      <c r="E1379" s="1" t="str">
        <f>IFERROR(__xludf.DUMMYFUNCTION("""COMPUTED_VALUE"""),"VF")</f>
        <v>VF</v>
      </c>
      <c r="F1379" s="1">
        <f>IFERROR(__xludf.DUMMYFUNCTION("""COMPUTED_VALUE"""),1.0)</f>
        <v>1</v>
      </c>
      <c r="G1379" s="1" t="str">
        <f>IFERROR(__xludf.DUMMYFUNCTION("""COMPUTED_VALUE"""),"PR060")</f>
        <v>PR060</v>
      </c>
      <c r="H1379" s="1" t="str">
        <f>IFERROR(__xludf.DUMMYFUNCTION("""COMPUTED_VALUE"""),"VD032")</f>
        <v>VD032</v>
      </c>
      <c r="I1379" s="1">
        <f>IFERROR(__xludf.DUMMYFUNCTION("""COMPUTED_VALUE"""),5.0)</f>
        <v>5</v>
      </c>
      <c r="J1379" s="1">
        <f>IFERROR(__xludf.DUMMYFUNCTION("""COMPUTED_VALUE"""),927.0)</f>
        <v>927</v>
      </c>
      <c r="K1379" s="1">
        <f>IFERROR(__xludf.DUMMYFUNCTION("""COMPUTED_VALUE"""),927.0)</f>
        <v>927</v>
      </c>
    </row>
    <row r="1380">
      <c r="A1380" s="1">
        <f>IFERROR(__xludf.DUMMYFUNCTION("""COMPUTED_VALUE"""),2000.0)</f>
        <v>2000</v>
      </c>
      <c r="B1380" s="1">
        <f>IFERROR(__xludf.DUMMYFUNCTION("""COMPUTED_VALUE"""),184460.0)</f>
        <v>184460</v>
      </c>
      <c r="C1380" s="1">
        <f>IFERROR(__xludf.DUMMYFUNCTION("""COMPUTED_VALUE"""),2026.0)</f>
        <v>2026</v>
      </c>
      <c r="D1380" s="1">
        <f>IFERROR(__xludf.DUMMYFUNCTION("""COMPUTED_VALUE"""),46100.0)</f>
        <v>46100</v>
      </c>
      <c r="E1380" s="1" t="str">
        <f>IFERROR(__xludf.DUMMYFUNCTION("""COMPUTED_VALUE"""),"VF")</f>
        <v>VF</v>
      </c>
      <c r="F1380" s="1">
        <f>IFERROR(__xludf.DUMMYFUNCTION("""COMPUTED_VALUE"""),2.0)</f>
        <v>2</v>
      </c>
      <c r="G1380" s="1" t="str">
        <f>IFERROR(__xludf.DUMMYFUNCTION("""COMPUTED_VALUE"""),"PR026")</f>
        <v>PR026</v>
      </c>
      <c r="H1380" s="1" t="str">
        <f>IFERROR(__xludf.DUMMYFUNCTION("""COMPUTED_VALUE"""),"VD026")</f>
        <v>VD026</v>
      </c>
      <c r="I1380" s="1">
        <f>IFERROR(__xludf.DUMMYFUNCTION("""COMPUTED_VALUE"""),14.0)</f>
        <v>14</v>
      </c>
      <c r="J1380" s="1">
        <f>IFERROR(__xludf.DUMMYFUNCTION("""COMPUTED_VALUE"""),5290.49)</f>
        <v>5290.49</v>
      </c>
      <c r="K1380" s="1">
        <f>IFERROR(__xludf.DUMMYFUNCTION("""COMPUTED_VALUE"""),5290.49)</f>
        <v>5290.49</v>
      </c>
    </row>
    <row r="1381">
      <c r="A1381" s="1">
        <f>IFERROR(__xludf.DUMMYFUNCTION("""COMPUTED_VALUE"""),1000.0)</f>
        <v>1000</v>
      </c>
      <c r="B1381" s="1">
        <f>IFERROR(__xludf.DUMMYFUNCTION("""COMPUTED_VALUE"""),184461.0)</f>
        <v>184461</v>
      </c>
      <c r="C1381" s="1">
        <f>IFERROR(__xludf.DUMMYFUNCTION("""COMPUTED_VALUE"""),2026.0)</f>
        <v>2026</v>
      </c>
      <c r="D1381" s="1">
        <f>IFERROR(__xludf.DUMMYFUNCTION("""COMPUTED_VALUE"""),46099.0)</f>
        <v>46099</v>
      </c>
      <c r="E1381" s="1" t="str">
        <f>IFERROR(__xludf.DUMMYFUNCTION("""COMPUTED_VALUE"""),"VF")</f>
        <v>VF</v>
      </c>
      <c r="F1381" s="1">
        <f>IFERROR(__xludf.DUMMYFUNCTION("""COMPUTED_VALUE"""),1.0)</f>
        <v>1</v>
      </c>
      <c r="G1381" s="1" t="str">
        <f>IFERROR(__xludf.DUMMYFUNCTION("""COMPUTED_VALUE"""),"PR012")</f>
        <v>PR012</v>
      </c>
      <c r="H1381" s="1" t="str">
        <f>IFERROR(__xludf.DUMMYFUNCTION("""COMPUTED_VALUE"""),"VD035")</f>
        <v>VD035</v>
      </c>
      <c r="I1381" s="1">
        <f>IFERROR(__xludf.DUMMYFUNCTION("""COMPUTED_VALUE"""),16.0)</f>
        <v>16</v>
      </c>
      <c r="J1381" s="1">
        <f>IFERROR(__xludf.DUMMYFUNCTION("""COMPUTED_VALUE"""),852.82)</f>
        <v>852.82</v>
      </c>
      <c r="K1381" s="1">
        <f>IFERROR(__xludf.DUMMYFUNCTION("""COMPUTED_VALUE"""),852.82)</f>
        <v>852.82</v>
      </c>
    </row>
    <row r="1382">
      <c r="A1382" s="1">
        <f>IFERROR(__xludf.DUMMYFUNCTION("""COMPUTED_VALUE"""),1000.0)</f>
        <v>1000</v>
      </c>
      <c r="B1382" s="1">
        <f>IFERROR(__xludf.DUMMYFUNCTION("""COMPUTED_VALUE"""),184461.0)</f>
        <v>184461</v>
      </c>
      <c r="C1382" s="1">
        <f>IFERROR(__xludf.DUMMYFUNCTION("""COMPUTED_VALUE"""),2026.0)</f>
        <v>2026</v>
      </c>
      <c r="D1382" s="1">
        <f>IFERROR(__xludf.DUMMYFUNCTION("""COMPUTED_VALUE"""),46099.0)</f>
        <v>46099</v>
      </c>
      <c r="E1382" s="1" t="str">
        <f>IFERROR(__xludf.DUMMYFUNCTION("""COMPUTED_VALUE"""),"VF")</f>
        <v>VF</v>
      </c>
      <c r="F1382" s="1">
        <f>IFERROR(__xludf.DUMMYFUNCTION("""COMPUTED_VALUE"""),2.0)</f>
        <v>2</v>
      </c>
      <c r="G1382" s="1" t="str">
        <f>IFERROR(__xludf.DUMMYFUNCTION("""COMPUTED_VALUE"""),"PR036")</f>
        <v>PR036</v>
      </c>
      <c r="H1382" s="1" t="str">
        <f>IFERROR(__xludf.DUMMYFUNCTION("""COMPUTED_VALUE"""),"VD046")</f>
        <v>VD046</v>
      </c>
      <c r="I1382" s="1">
        <f>IFERROR(__xludf.DUMMYFUNCTION("""COMPUTED_VALUE"""),5.0)</f>
        <v>5</v>
      </c>
      <c r="J1382" s="1">
        <f>IFERROR(__xludf.DUMMYFUNCTION("""COMPUTED_VALUE"""),514.25)</f>
        <v>514.25</v>
      </c>
      <c r="K1382" s="1">
        <f>IFERROR(__xludf.DUMMYFUNCTION("""COMPUTED_VALUE"""),514.25)</f>
        <v>514.25</v>
      </c>
    </row>
    <row r="1383">
      <c r="A1383" s="1">
        <f>IFERROR(__xludf.DUMMYFUNCTION("""COMPUTED_VALUE"""),1000.0)</f>
        <v>1000</v>
      </c>
      <c r="B1383" s="1">
        <f>IFERROR(__xludf.DUMMYFUNCTION("""COMPUTED_VALUE"""),184461.0)</f>
        <v>184461</v>
      </c>
      <c r="C1383" s="1">
        <f>IFERROR(__xludf.DUMMYFUNCTION("""COMPUTED_VALUE"""),2026.0)</f>
        <v>2026</v>
      </c>
      <c r="D1383" s="1">
        <f>IFERROR(__xludf.DUMMYFUNCTION("""COMPUTED_VALUE"""),46099.0)</f>
        <v>46099</v>
      </c>
      <c r="E1383" s="1" t="str">
        <f>IFERROR(__xludf.DUMMYFUNCTION("""COMPUTED_VALUE"""),"VF")</f>
        <v>VF</v>
      </c>
      <c r="F1383" s="1">
        <f>IFERROR(__xludf.DUMMYFUNCTION("""COMPUTED_VALUE"""),3.0)</f>
        <v>3</v>
      </c>
      <c r="G1383" s="1" t="str">
        <f>IFERROR(__xludf.DUMMYFUNCTION("""COMPUTED_VALUE"""),"PR022")</f>
        <v>PR022</v>
      </c>
      <c r="H1383" s="1" t="str">
        <f>IFERROR(__xludf.DUMMYFUNCTION("""COMPUTED_VALUE"""),"VD011")</f>
        <v>VD011</v>
      </c>
      <c r="I1383" s="1">
        <f>IFERROR(__xludf.DUMMYFUNCTION("""COMPUTED_VALUE"""),9.0)</f>
        <v>9</v>
      </c>
      <c r="J1383" s="1">
        <f>IFERROR(__xludf.DUMMYFUNCTION("""COMPUTED_VALUE"""),2835.0)</f>
        <v>2835</v>
      </c>
      <c r="K1383" s="1">
        <f>IFERROR(__xludf.DUMMYFUNCTION("""COMPUTED_VALUE"""),2835.0)</f>
        <v>2835</v>
      </c>
    </row>
    <row r="1384">
      <c r="A1384" s="1">
        <f>IFERROR(__xludf.DUMMYFUNCTION("""COMPUTED_VALUE"""),1000.0)</f>
        <v>1000</v>
      </c>
      <c r="B1384" s="1">
        <f>IFERROR(__xludf.DUMMYFUNCTION("""COMPUTED_VALUE"""),184462.0)</f>
        <v>184462</v>
      </c>
      <c r="C1384" s="1">
        <f>IFERROR(__xludf.DUMMYFUNCTION("""COMPUTED_VALUE"""),2026.0)</f>
        <v>2026</v>
      </c>
      <c r="D1384" s="1">
        <f>IFERROR(__xludf.DUMMYFUNCTION("""COMPUTED_VALUE"""),46099.0)</f>
        <v>46099</v>
      </c>
      <c r="E1384" s="1" t="str">
        <f>IFERROR(__xludf.DUMMYFUNCTION("""COMPUTED_VALUE"""),"VF")</f>
        <v>VF</v>
      </c>
      <c r="F1384" s="1">
        <f>IFERROR(__xludf.DUMMYFUNCTION("""COMPUTED_VALUE"""),1.0)</f>
        <v>1</v>
      </c>
      <c r="G1384" s="1" t="str">
        <f>IFERROR(__xludf.DUMMYFUNCTION("""COMPUTED_VALUE"""),"PR030")</f>
        <v>PR030</v>
      </c>
      <c r="H1384" s="1" t="str">
        <f>IFERROR(__xludf.DUMMYFUNCTION("""COMPUTED_VALUE"""),"VD023")</f>
        <v>VD023</v>
      </c>
      <c r="I1384" s="1">
        <f>IFERROR(__xludf.DUMMYFUNCTION("""COMPUTED_VALUE"""),8.0)</f>
        <v>8</v>
      </c>
      <c r="J1384" s="1">
        <f>IFERROR(__xludf.DUMMYFUNCTION("""COMPUTED_VALUE"""),2245.54)</f>
        <v>2245.54</v>
      </c>
      <c r="K1384" s="1">
        <f>IFERROR(__xludf.DUMMYFUNCTION("""COMPUTED_VALUE"""),2245.54)</f>
        <v>2245.54</v>
      </c>
    </row>
    <row r="1385">
      <c r="A1385" s="1">
        <f>IFERROR(__xludf.DUMMYFUNCTION("""COMPUTED_VALUE"""),1000.0)</f>
        <v>1000</v>
      </c>
      <c r="B1385" s="1">
        <f>IFERROR(__xludf.DUMMYFUNCTION("""COMPUTED_VALUE"""),184463.0)</f>
        <v>184463</v>
      </c>
      <c r="C1385" s="1">
        <f>IFERROR(__xludf.DUMMYFUNCTION("""COMPUTED_VALUE"""),2026.0)</f>
        <v>2026</v>
      </c>
      <c r="D1385" s="1">
        <f>IFERROR(__xludf.DUMMYFUNCTION("""COMPUTED_VALUE"""),46099.0)</f>
        <v>46099</v>
      </c>
      <c r="E1385" s="1" t="str">
        <f>IFERROR(__xludf.DUMMYFUNCTION("""COMPUTED_VALUE"""),"VF")</f>
        <v>VF</v>
      </c>
      <c r="F1385" s="1">
        <f>IFERROR(__xludf.DUMMYFUNCTION("""COMPUTED_VALUE"""),1.0)</f>
        <v>1</v>
      </c>
      <c r="G1385" s="1" t="str">
        <f>IFERROR(__xludf.DUMMYFUNCTION("""COMPUTED_VALUE"""),"PR019")</f>
        <v>PR019</v>
      </c>
      <c r="H1385" s="1" t="str">
        <f>IFERROR(__xludf.DUMMYFUNCTION("""COMPUTED_VALUE"""),"VD039")</f>
        <v>VD039</v>
      </c>
      <c r="I1385" s="1">
        <f>IFERROR(__xludf.DUMMYFUNCTION("""COMPUTED_VALUE"""),16.0)</f>
        <v>16</v>
      </c>
      <c r="J1385" s="1">
        <f>IFERROR(__xludf.DUMMYFUNCTION("""COMPUTED_VALUE"""),822.35)</f>
        <v>822.35</v>
      </c>
      <c r="K1385" s="1">
        <f>IFERROR(__xludf.DUMMYFUNCTION("""COMPUTED_VALUE"""),822.35)</f>
        <v>822.35</v>
      </c>
    </row>
    <row r="1386">
      <c r="A1386" s="1">
        <f>IFERROR(__xludf.DUMMYFUNCTION("""COMPUTED_VALUE"""),1000.0)</f>
        <v>1000</v>
      </c>
      <c r="B1386" s="1">
        <f>IFERROR(__xludf.DUMMYFUNCTION("""COMPUTED_VALUE"""),184464.0)</f>
        <v>184464</v>
      </c>
      <c r="C1386" s="1">
        <f>IFERROR(__xludf.DUMMYFUNCTION("""COMPUTED_VALUE"""),2026.0)</f>
        <v>2026</v>
      </c>
      <c r="D1386" s="1">
        <f>IFERROR(__xludf.DUMMYFUNCTION("""COMPUTED_VALUE"""),46099.0)</f>
        <v>46099</v>
      </c>
      <c r="E1386" s="1" t="str">
        <f>IFERROR(__xludf.DUMMYFUNCTION("""COMPUTED_VALUE"""),"VF")</f>
        <v>VF</v>
      </c>
      <c r="F1386" s="1">
        <f>IFERROR(__xludf.DUMMYFUNCTION("""COMPUTED_VALUE"""),1.0)</f>
        <v>1</v>
      </c>
      <c r="G1386" s="1" t="str">
        <f>IFERROR(__xludf.DUMMYFUNCTION("""COMPUTED_VALUE"""),"PR016")</f>
        <v>PR016</v>
      </c>
      <c r="H1386" s="1" t="str">
        <f>IFERROR(__xludf.DUMMYFUNCTION("""COMPUTED_VALUE"""),"VD018")</f>
        <v>VD018</v>
      </c>
      <c r="I1386" s="1">
        <f>IFERROR(__xludf.DUMMYFUNCTION("""COMPUTED_VALUE"""),9.0)</f>
        <v>9</v>
      </c>
      <c r="J1386" s="1">
        <f>IFERROR(__xludf.DUMMYFUNCTION("""COMPUTED_VALUE"""),244.76)</f>
        <v>244.76</v>
      </c>
      <c r="K1386" s="1">
        <f>IFERROR(__xludf.DUMMYFUNCTION("""COMPUTED_VALUE"""),244.76)</f>
        <v>244.76</v>
      </c>
    </row>
    <row r="1387">
      <c r="A1387" s="1">
        <f>IFERROR(__xludf.DUMMYFUNCTION("""COMPUTED_VALUE"""),1000.0)</f>
        <v>1000</v>
      </c>
      <c r="B1387" s="1">
        <f>IFERROR(__xludf.DUMMYFUNCTION("""COMPUTED_VALUE"""),184464.0)</f>
        <v>184464</v>
      </c>
      <c r="C1387" s="1">
        <f>IFERROR(__xludf.DUMMYFUNCTION("""COMPUTED_VALUE"""),2026.0)</f>
        <v>2026</v>
      </c>
      <c r="D1387" s="1">
        <f>IFERROR(__xludf.DUMMYFUNCTION("""COMPUTED_VALUE"""),46099.0)</f>
        <v>46099</v>
      </c>
      <c r="E1387" s="1" t="str">
        <f>IFERROR(__xludf.DUMMYFUNCTION("""COMPUTED_VALUE"""),"VF")</f>
        <v>VF</v>
      </c>
      <c r="F1387" s="1">
        <f>IFERROR(__xludf.DUMMYFUNCTION("""COMPUTED_VALUE"""),2.0)</f>
        <v>2</v>
      </c>
      <c r="G1387" s="1" t="str">
        <f>IFERROR(__xludf.DUMMYFUNCTION("""COMPUTED_VALUE"""),"PR014")</f>
        <v>PR014</v>
      </c>
      <c r="H1387" s="1" t="str">
        <f>IFERROR(__xludf.DUMMYFUNCTION("""COMPUTED_VALUE"""),"VD027")</f>
        <v>VD027</v>
      </c>
      <c r="I1387" s="1">
        <f>IFERROR(__xludf.DUMMYFUNCTION("""COMPUTED_VALUE"""),10.0)</f>
        <v>10</v>
      </c>
      <c r="J1387" s="1">
        <f>IFERROR(__xludf.DUMMYFUNCTION("""COMPUTED_VALUE"""),410.97)</f>
        <v>410.97</v>
      </c>
      <c r="K1387" s="1">
        <f>IFERROR(__xludf.DUMMYFUNCTION("""COMPUTED_VALUE"""),410.97)</f>
        <v>410.97</v>
      </c>
    </row>
    <row r="1388">
      <c r="A1388" s="1">
        <f>IFERROR(__xludf.DUMMYFUNCTION("""COMPUTED_VALUE"""),1000.0)</f>
        <v>1000</v>
      </c>
      <c r="B1388" s="1">
        <f>IFERROR(__xludf.DUMMYFUNCTION("""COMPUTED_VALUE"""),184465.0)</f>
        <v>184465</v>
      </c>
      <c r="C1388" s="1">
        <f>IFERROR(__xludf.DUMMYFUNCTION("""COMPUTED_VALUE"""),2026.0)</f>
        <v>2026</v>
      </c>
      <c r="D1388" s="1">
        <f>IFERROR(__xludf.DUMMYFUNCTION("""COMPUTED_VALUE"""),46099.0)</f>
        <v>46099</v>
      </c>
      <c r="E1388" s="1" t="str">
        <f>IFERROR(__xludf.DUMMYFUNCTION("""COMPUTED_VALUE"""),"VF")</f>
        <v>VF</v>
      </c>
      <c r="F1388" s="1">
        <f>IFERROR(__xludf.DUMMYFUNCTION("""COMPUTED_VALUE"""),1.0)</f>
        <v>1</v>
      </c>
      <c r="G1388" s="1" t="str">
        <f>IFERROR(__xludf.DUMMYFUNCTION("""COMPUTED_VALUE"""),"PR044")</f>
        <v>PR044</v>
      </c>
      <c r="H1388" s="1" t="str">
        <f>IFERROR(__xludf.DUMMYFUNCTION("""COMPUTED_VALUE"""),"VD025")</f>
        <v>VD025</v>
      </c>
      <c r="I1388" s="1">
        <f>IFERROR(__xludf.DUMMYFUNCTION("""COMPUTED_VALUE"""),14.0)</f>
        <v>14</v>
      </c>
      <c r="J1388" s="1">
        <f>IFERROR(__xludf.DUMMYFUNCTION("""COMPUTED_VALUE"""),1116.5)</f>
        <v>1116.5</v>
      </c>
      <c r="K1388" s="1">
        <f>IFERROR(__xludf.DUMMYFUNCTION("""COMPUTED_VALUE"""),1116.5)</f>
        <v>1116.5</v>
      </c>
    </row>
    <row r="1389">
      <c r="A1389" s="1">
        <f>IFERROR(__xludf.DUMMYFUNCTION("""COMPUTED_VALUE"""),1000.0)</f>
        <v>1000</v>
      </c>
      <c r="B1389" s="1">
        <f>IFERROR(__xludf.DUMMYFUNCTION("""COMPUTED_VALUE"""),184466.0)</f>
        <v>184466</v>
      </c>
      <c r="C1389" s="1">
        <f>IFERROR(__xludf.DUMMYFUNCTION("""COMPUTED_VALUE"""),2026.0)</f>
        <v>2026</v>
      </c>
      <c r="D1389" s="1">
        <f>IFERROR(__xludf.DUMMYFUNCTION("""COMPUTED_VALUE"""),46098.0)</f>
        <v>46098</v>
      </c>
      <c r="E1389" s="1" t="str">
        <f>IFERROR(__xludf.DUMMYFUNCTION("""COMPUTED_VALUE"""),"VF")</f>
        <v>VF</v>
      </c>
      <c r="F1389" s="1">
        <f>IFERROR(__xludf.DUMMYFUNCTION("""COMPUTED_VALUE"""),1.0)</f>
        <v>1</v>
      </c>
      <c r="G1389" s="1" t="str">
        <f>IFERROR(__xludf.DUMMYFUNCTION("""COMPUTED_VALUE"""),"PR014")</f>
        <v>PR014</v>
      </c>
      <c r="H1389" s="1" t="str">
        <f>IFERROR(__xludf.DUMMYFUNCTION("""COMPUTED_VALUE"""),"VD024")</f>
        <v>VD024</v>
      </c>
      <c r="I1389" s="1">
        <f>IFERROR(__xludf.DUMMYFUNCTION("""COMPUTED_VALUE"""),5.0)</f>
        <v>5</v>
      </c>
      <c r="J1389" s="1">
        <f>IFERROR(__xludf.DUMMYFUNCTION("""COMPUTED_VALUE"""),203.49)</f>
        <v>203.49</v>
      </c>
      <c r="K1389" s="1">
        <f>IFERROR(__xludf.DUMMYFUNCTION("""COMPUTED_VALUE"""),203.49)</f>
        <v>203.49</v>
      </c>
    </row>
    <row r="1390">
      <c r="A1390" s="1">
        <f>IFERROR(__xludf.DUMMYFUNCTION("""COMPUTED_VALUE"""),1000.0)</f>
        <v>1000</v>
      </c>
      <c r="B1390" s="1">
        <f>IFERROR(__xludf.DUMMYFUNCTION("""COMPUTED_VALUE"""),184467.0)</f>
        <v>184467</v>
      </c>
      <c r="C1390" s="1">
        <f>IFERROR(__xludf.DUMMYFUNCTION("""COMPUTED_VALUE"""),2026.0)</f>
        <v>2026</v>
      </c>
      <c r="D1390" s="1">
        <f>IFERROR(__xludf.DUMMYFUNCTION("""COMPUTED_VALUE"""),46098.0)</f>
        <v>46098</v>
      </c>
      <c r="E1390" s="1" t="str">
        <f>IFERROR(__xludf.DUMMYFUNCTION("""COMPUTED_VALUE"""),"VF")</f>
        <v>VF</v>
      </c>
      <c r="F1390" s="1">
        <f>IFERROR(__xludf.DUMMYFUNCTION("""COMPUTED_VALUE"""),1.0)</f>
        <v>1</v>
      </c>
      <c r="G1390" s="1" t="str">
        <f>IFERROR(__xludf.DUMMYFUNCTION("""COMPUTED_VALUE"""),"PR019")</f>
        <v>PR019</v>
      </c>
      <c r="H1390" s="1" t="str">
        <f>IFERROR(__xludf.DUMMYFUNCTION("""COMPUTED_VALUE"""),"VD043")</f>
        <v>VD043</v>
      </c>
      <c r="I1390" s="1">
        <f>IFERROR(__xludf.DUMMYFUNCTION("""COMPUTED_VALUE"""),12.0)</f>
        <v>12</v>
      </c>
      <c r="J1390" s="1">
        <f>IFERROR(__xludf.DUMMYFUNCTION("""COMPUTED_VALUE"""),604.79)</f>
        <v>604.79</v>
      </c>
      <c r="K1390" s="1">
        <f>IFERROR(__xludf.DUMMYFUNCTION("""COMPUTED_VALUE"""),604.79)</f>
        <v>604.79</v>
      </c>
    </row>
    <row r="1391">
      <c r="A1391" s="1">
        <f>IFERROR(__xludf.DUMMYFUNCTION("""COMPUTED_VALUE"""),2000.0)</f>
        <v>2000</v>
      </c>
      <c r="B1391" s="1">
        <f>IFERROR(__xludf.DUMMYFUNCTION("""COMPUTED_VALUE"""),184467.0)</f>
        <v>184467</v>
      </c>
      <c r="C1391" s="1">
        <f>IFERROR(__xludf.DUMMYFUNCTION("""COMPUTED_VALUE"""),2026.0)</f>
        <v>2026</v>
      </c>
      <c r="D1391" s="1">
        <f>IFERROR(__xludf.DUMMYFUNCTION("""COMPUTED_VALUE"""),46097.0)</f>
        <v>46097</v>
      </c>
      <c r="E1391" s="1" t="str">
        <f>IFERROR(__xludf.DUMMYFUNCTION("""COMPUTED_VALUE"""),"VF")</f>
        <v>VF</v>
      </c>
      <c r="F1391" s="1">
        <f>IFERROR(__xludf.DUMMYFUNCTION("""COMPUTED_VALUE"""),2.0)</f>
        <v>2</v>
      </c>
      <c r="G1391" s="1" t="str">
        <f>IFERROR(__xludf.DUMMYFUNCTION("""COMPUTED_VALUE"""),"PR003")</f>
        <v>PR003</v>
      </c>
      <c r="H1391" s="1" t="str">
        <f>IFERROR(__xludf.DUMMYFUNCTION("""COMPUTED_VALUE"""),"VD039")</f>
        <v>VD039</v>
      </c>
      <c r="I1391" s="1">
        <f>IFERROR(__xludf.DUMMYFUNCTION("""COMPUTED_VALUE"""),5.0)</f>
        <v>5</v>
      </c>
      <c r="J1391" s="1">
        <f>IFERROR(__xludf.DUMMYFUNCTION("""COMPUTED_VALUE"""),354.5)</f>
        <v>354.5</v>
      </c>
      <c r="K1391" s="1">
        <f>IFERROR(__xludf.DUMMYFUNCTION("""COMPUTED_VALUE"""),354.5)</f>
        <v>354.5</v>
      </c>
    </row>
    <row r="1392">
      <c r="A1392" s="1">
        <f>IFERROR(__xludf.DUMMYFUNCTION("""COMPUTED_VALUE"""),1000.0)</f>
        <v>1000</v>
      </c>
      <c r="B1392" s="1">
        <f>IFERROR(__xludf.DUMMYFUNCTION("""COMPUTED_VALUE"""),184467.0)</f>
        <v>184467</v>
      </c>
      <c r="C1392" s="1">
        <f>IFERROR(__xludf.DUMMYFUNCTION("""COMPUTED_VALUE"""),2026.0)</f>
        <v>2026</v>
      </c>
      <c r="D1392" s="1">
        <f>IFERROR(__xludf.DUMMYFUNCTION("""COMPUTED_VALUE"""),46097.0)</f>
        <v>46097</v>
      </c>
      <c r="E1392" s="1" t="str">
        <f>IFERROR(__xludf.DUMMYFUNCTION("""COMPUTED_VALUE"""),"VF")</f>
        <v>VF</v>
      </c>
      <c r="F1392" s="1">
        <f>IFERROR(__xludf.DUMMYFUNCTION("""COMPUTED_VALUE"""),3.0)</f>
        <v>3</v>
      </c>
      <c r="G1392" s="1" t="str">
        <f>IFERROR(__xludf.DUMMYFUNCTION("""COMPUTED_VALUE"""),"PR054")</f>
        <v>PR054</v>
      </c>
      <c r="H1392" s="1" t="str">
        <f>IFERROR(__xludf.DUMMYFUNCTION("""COMPUTED_VALUE"""),"VD019")</f>
        <v>VD019</v>
      </c>
      <c r="I1392" s="1">
        <f>IFERROR(__xludf.DUMMYFUNCTION("""COMPUTED_VALUE"""),4.0)</f>
        <v>4</v>
      </c>
      <c r="J1392" s="1">
        <f>IFERROR(__xludf.DUMMYFUNCTION("""COMPUTED_VALUE"""),217.56)</f>
        <v>217.56</v>
      </c>
      <c r="K1392" s="1">
        <f>IFERROR(__xludf.DUMMYFUNCTION("""COMPUTED_VALUE"""),217.56)</f>
        <v>217.56</v>
      </c>
    </row>
    <row r="1393">
      <c r="A1393" s="1">
        <f>IFERROR(__xludf.DUMMYFUNCTION("""COMPUTED_VALUE"""),1000.0)</f>
        <v>1000</v>
      </c>
      <c r="B1393" s="1">
        <f>IFERROR(__xludf.DUMMYFUNCTION("""COMPUTED_VALUE"""),184468.0)</f>
        <v>184468</v>
      </c>
      <c r="C1393" s="1">
        <f>IFERROR(__xludf.DUMMYFUNCTION("""COMPUTED_VALUE"""),2026.0)</f>
        <v>2026</v>
      </c>
      <c r="D1393" s="1">
        <f>IFERROR(__xludf.DUMMYFUNCTION("""COMPUTED_VALUE"""),46097.0)</f>
        <v>46097</v>
      </c>
      <c r="E1393" s="1" t="str">
        <f>IFERROR(__xludf.DUMMYFUNCTION("""COMPUTED_VALUE"""),"VF")</f>
        <v>VF</v>
      </c>
      <c r="F1393" s="1">
        <f>IFERROR(__xludf.DUMMYFUNCTION("""COMPUTED_VALUE"""),1.0)</f>
        <v>1</v>
      </c>
      <c r="G1393" s="1" t="str">
        <f>IFERROR(__xludf.DUMMYFUNCTION("""COMPUTED_VALUE"""),"PR003")</f>
        <v>PR003</v>
      </c>
      <c r="H1393" s="1" t="str">
        <f>IFERROR(__xludf.DUMMYFUNCTION("""COMPUTED_VALUE"""),"VD030")</f>
        <v>VD030</v>
      </c>
      <c r="I1393" s="1">
        <f>IFERROR(__xludf.DUMMYFUNCTION("""COMPUTED_VALUE"""),5.0)</f>
        <v>5</v>
      </c>
      <c r="J1393" s="1">
        <f>IFERROR(__xludf.DUMMYFUNCTION("""COMPUTED_VALUE"""),386.41)</f>
        <v>386.41</v>
      </c>
      <c r="K1393" s="1">
        <f>IFERROR(__xludf.DUMMYFUNCTION("""COMPUTED_VALUE"""),386.41)</f>
        <v>386.41</v>
      </c>
    </row>
    <row r="1394">
      <c r="A1394" s="1">
        <f>IFERROR(__xludf.DUMMYFUNCTION("""COMPUTED_VALUE"""),1000.0)</f>
        <v>1000</v>
      </c>
      <c r="B1394" s="1">
        <f>IFERROR(__xludf.DUMMYFUNCTION("""COMPUTED_VALUE"""),184469.0)</f>
        <v>184469</v>
      </c>
      <c r="C1394" s="1">
        <f>IFERROR(__xludf.DUMMYFUNCTION("""COMPUTED_VALUE"""),2026.0)</f>
        <v>2026</v>
      </c>
      <c r="D1394" s="1">
        <f>IFERROR(__xludf.DUMMYFUNCTION("""COMPUTED_VALUE"""),46096.0)</f>
        <v>46096</v>
      </c>
      <c r="E1394" s="1" t="str">
        <f>IFERROR(__xludf.DUMMYFUNCTION("""COMPUTED_VALUE"""),"VF")</f>
        <v>VF</v>
      </c>
      <c r="F1394" s="1">
        <f>IFERROR(__xludf.DUMMYFUNCTION("""COMPUTED_VALUE"""),1.0)</f>
        <v>1</v>
      </c>
      <c r="G1394" s="1" t="str">
        <f>IFERROR(__xludf.DUMMYFUNCTION("""COMPUTED_VALUE"""),"PR033")</f>
        <v>PR033</v>
      </c>
      <c r="H1394" s="1" t="str">
        <f>IFERROR(__xludf.DUMMYFUNCTION("""COMPUTED_VALUE"""),"VD025")</f>
        <v>VD025</v>
      </c>
      <c r="I1394" s="1">
        <f>IFERROR(__xludf.DUMMYFUNCTION("""COMPUTED_VALUE"""),2.0)</f>
        <v>2</v>
      </c>
      <c r="J1394" s="1">
        <f>IFERROR(__xludf.DUMMYFUNCTION("""COMPUTED_VALUE"""),550.99)</f>
        <v>550.99</v>
      </c>
      <c r="K1394" s="1">
        <f>IFERROR(__xludf.DUMMYFUNCTION("""COMPUTED_VALUE"""),550.99)</f>
        <v>550.99</v>
      </c>
    </row>
    <row r="1395">
      <c r="A1395" s="1">
        <f>IFERROR(__xludf.DUMMYFUNCTION("""COMPUTED_VALUE"""),1000.0)</f>
        <v>1000</v>
      </c>
      <c r="B1395" s="1">
        <f>IFERROR(__xludf.DUMMYFUNCTION("""COMPUTED_VALUE"""),184470.0)</f>
        <v>184470</v>
      </c>
      <c r="C1395" s="1">
        <f>IFERROR(__xludf.DUMMYFUNCTION("""COMPUTED_VALUE"""),2026.0)</f>
        <v>2026</v>
      </c>
      <c r="D1395" s="1">
        <f>IFERROR(__xludf.DUMMYFUNCTION("""COMPUTED_VALUE"""),46096.0)</f>
        <v>46096</v>
      </c>
      <c r="E1395" s="1" t="str">
        <f>IFERROR(__xludf.DUMMYFUNCTION("""COMPUTED_VALUE"""),"VF")</f>
        <v>VF</v>
      </c>
      <c r="F1395" s="1">
        <f>IFERROR(__xludf.DUMMYFUNCTION("""COMPUTED_VALUE"""),1.0)</f>
        <v>1</v>
      </c>
      <c r="G1395" s="1" t="str">
        <f>IFERROR(__xludf.DUMMYFUNCTION("""COMPUTED_VALUE"""),"PR054")</f>
        <v>PR054</v>
      </c>
      <c r="H1395" s="1" t="str">
        <f>IFERROR(__xludf.DUMMYFUNCTION("""COMPUTED_VALUE"""),"VD028")</f>
        <v>VD028</v>
      </c>
      <c r="I1395" s="1">
        <f>IFERROR(__xludf.DUMMYFUNCTION("""COMPUTED_VALUE"""),5.0)</f>
        <v>5</v>
      </c>
      <c r="J1395" s="1">
        <f>IFERROR(__xludf.DUMMYFUNCTION("""COMPUTED_VALUE"""),274.45)</f>
        <v>274.45</v>
      </c>
      <c r="K1395" s="1">
        <f>IFERROR(__xludf.DUMMYFUNCTION("""COMPUTED_VALUE"""),274.45)</f>
        <v>274.45</v>
      </c>
    </row>
    <row r="1396">
      <c r="A1396" s="1">
        <f>IFERROR(__xludf.DUMMYFUNCTION("""COMPUTED_VALUE"""),1000.0)</f>
        <v>1000</v>
      </c>
      <c r="B1396" s="1">
        <f>IFERROR(__xludf.DUMMYFUNCTION("""COMPUTED_VALUE"""),184471.0)</f>
        <v>184471</v>
      </c>
      <c r="C1396" s="1">
        <f>IFERROR(__xludf.DUMMYFUNCTION("""COMPUTED_VALUE"""),2026.0)</f>
        <v>2026</v>
      </c>
      <c r="D1396" s="1">
        <f>IFERROR(__xludf.DUMMYFUNCTION("""COMPUTED_VALUE"""),46095.0)</f>
        <v>46095</v>
      </c>
      <c r="E1396" s="1" t="str">
        <f>IFERROR(__xludf.DUMMYFUNCTION("""COMPUTED_VALUE"""),"VF")</f>
        <v>VF</v>
      </c>
      <c r="F1396" s="1">
        <f>IFERROR(__xludf.DUMMYFUNCTION("""COMPUTED_VALUE"""),1.0)</f>
        <v>1</v>
      </c>
      <c r="G1396" s="1" t="str">
        <f>IFERROR(__xludf.DUMMYFUNCTION("""COMPUTED_VALUE"""),"PR050")</f>
        <v>PR050</v>
      </c>
      <c r="H1396" s="1" t="str">
        <f>IFERROR(__xludf.DUMMYFUNCTION("""COMPUTED_VALUE"""),"VD043")</f>
        <v>VD043</v>
      </c>
      <c r="I1396" s="1">
        <f>IFERROR(__xludf.DUMMYFUNCTION("""COMPUTED_VALUE"""),4.0)</f>
        <v>4</v>
      </c>
      <c r="J1396" s="1">
        <f>IFERROR(__xludf.DUMMYFUNCTION("""COMPUTED_VALUE"""),132.92)</f>
        <v>132.92</v>
      </c>
      <c r="K1396" s="1">
        <f>IFERROR(__xludf.DUMMYFUNCTION("""COMPUTED_VALUE"""),132.92)</f>
        <v>132.92</v>
      </c>
    </row>
    <row r="1397">
      <c r="A1397" s="1">
        <f>IFERROR(__xludf.DUMMYFUNCTION("""COMPUTED_VALUE"""),1000.0)</f>
        <v>1000</v>
      </c>
      <c r="B1397" s="1">
        <f>IFERROR(__xludf.DUMMYFUNCTION("""COMPUTED_VALUE"""),184472.0)</f>
        <v>184472</v>
      </c>
      <c r="C1397" s="1">
        <f>IFERROR(__xludf.DUMMYFUNCTION("""COMPUTED_VALUE"""),2026.0)</f>
        <v>2026</v>
      </c>
      <c r="D1397" s="1">
        <f>IFERROR(__xludf.DUMMYFUNCTION("""COMPUTED_VALUE"""),46095.0)</f>
        <v>46095</v>
      </c>
      <c r="E1397" s="1" t="str">
        <f>IFERROR(__xludf.DUMMYFUNCTION("""COMPUTED_VALUE"""),"VF")</f>
        <v>VF</v>
      </c>
      <c r="F1397" s="1">
        <f>IFERROR(__xludf.DUMMYFUNCTION("""COMPUTED_VALUE"""),1.0)</f>
        <v>1</v>
      </c>
      <c r="G1397" s="1" t="str">
        <f>IFERROR(__xludf.DUMMYFUNCTION("""COMPUTED_VALUE"""),"PR029")</f>
        <v>PR029</v>
      </c>
      <c r="H1397" s="1" t="str">
        <f>IFERROR(__xludf.DUMMYFUNCTION("""COMPUTED_VALUE"""),"VD021")</f>
        <v>VD021</v>
      </c>
      <c r="I1397" s="1">
        <f>IFERROR(__xludf.DUMMYFUNCTION("""COMPUTED_VALUE"""),6.0)</f>
        <v>6</v>
      </c>
      <c r="J1397" s="1">
        <f>IFERROR(__xludf.DUMMYFUNCTION("""COMPUTED_VALUE"""),1683.0)</f>
        <v>1683</v>
      </c>
      <c r="K1397" s="1">
        <f>IFERROR(__xludf.DUMMYFUNCTION("""COMPUTED_VALUE"""),1683.0)</f>
        <v>1683</v>
      </c>
    </row>
    <row r="1398">
      <c r="A1398" s="1">
        <f>IFERROR(__xludf.DUMMYFUNCTION("""COMPUTED_VALUE"""),2000.0)</f>
        <v>2000</v>
      </c>
      <c r="B1398" s="1">
        <f>IFERROR(__xludf.DUMMYFUNCTION("""COMPUTED_VALUE"""),184473.0)</f>
        <v>184473</v>
      </c>
      <c r="C1398" s="1">
        <f>IFERROR(__xludf.DUMMYFUNCTION("""COMPUTED_VALUE"""),2026.0)</f>
        <v>2026</v>
      </c>
      <c r="D1398" s="1">
        <f>IFERROR(__xludf.DUMMYFUNCTION("""COMPUTED_VALUE"""),46095.0)</f>
        <v>46095</v>
      </c>
      <c r="E1398" s="1" t="str">
        <f>IFERROR(__xludf.DUMMYFUNCTION("""COMPUTED_VALUE"""),"VF")</f>
        <v>VF</v>
      </c>
      <c r="F1398" s="1">
        <f>IFERROR(__xludf.DUMMYFUNCTION("""COMPUTED_VALUE"""),1.0)</f>
        <v>1</v>
      </c>
      <c r="G1398" s="1" t="str">
        <f>IFERROR(__xludf.DUMMYFUNCTION("""COMPUTED_VALUE"""),"PR057")</f>
        <v>PR057</v>
      </c>
      <c r="H1398" s="1" t="str">
        <f>IFERROR(__xludf.DUMMYFUNCTION("""COMPUTED_VALUE"""),"VD033")</f>
        <v>VD033</v>
      </c>
      <c r="I1398" s="1">
        <f>IFERROR(__xludf.DUMMYFUNCTION("""COMPUTED_VALUE"""),6.0)</f>
        <v>6</v>
      </c>
      <c r="J1398" s="1">
        <f>IFERROR(__xludf.DUMMYFUNCTION("""COMPUTED_VALUE"""),566.37)</f>
        <v>566.37</v>
      </c>
      <c r="K1398" s="1">
        <f>IFERROR(__xludf.DUMMYFUNCTION("""COMPUTED_VALUE"""),566.37)</f>
        <v>566.37</v>
      </c>
    </row>
    <row r="1399">
      <c r="A1399" s="1">
        <f>IFERROR(__xludf.DUMMYFUNCTION("""COMPUTED_VALUE"""),1000.0)</f>
        <v>1000</v>
      </c>
      <c r="B1399" s="1">
        <f>IFERROR(__xludf.DUMMYFUNCTION("""COMPUTED_VALUE"""),184474.0)</f>
        <v>184474</v>
      </c>
      <c r="C1399" s="1">
        <f>IFERROR(__xludf.DUMMYFUNCTION("""COMPUTED_VALUE"""),2026.0)</f>
        <v>2026</v>
      </c>
      <c r="D1399" s="1">
        <f>IFERROR(__xludf.DUMMYFUNCTION("""COMPUTED_VALUE"""),46095.0)</f>
        <v>46095</v>
      </c>
      <c r="E1399" s="1" t="str">
        <f>IFERROR(__xludf.DUMMYFUNCTION("""COMPUTED_VALUE"""),"VF")</f>
        <v>VF</v>
      </c>
      <c r="F1399" s="1">
        <f>IFERROR(__xludf.DUMMYFUNCTION("""COMPUTED_VALUE"""),1.0)</f>
        <v>1</v>
      </c>
      <c r="G1399" s="1" t="str">
        <f>IFERROR(__xludf.DUMMYFUNCTION("""COMPUTED_VALUE"""),"PR006")</f>
        <v>PR006</v>
      </c>
      <c r="H1399" s="1" t="str">
        <f>IFERROR(__xludf.DUMMYFUNCTION("""COMPUTED_VALUE"""),"VD028")</f>
        <v>VD028</v>
      </c>
      <c r="I1399" s="1">
        <f>IFERROR(__xludf.DUMMYFUNCTION("""COMPUTED_VALUE"""),16.0)</f>
        <v>16</v>
      </c>
      <c r="J1399" s="1">
        <f>IFERROR(__xludf.DUMMYFUNCTION("""COMPUTED_VALUE"""),689.47)</f>
        <v>689.47</v>
      </c>
      <c r="K1399" s="1">
        <f>IFERROR(__xludf.DUMMYFUNCTION("""COMPUTED_VALUE"""),689.47)</f>
        <v>689.47</v>
      </c>
    </row>
    <row r="1400">
      <c r="A1400" s="1">
        <f>IFERROR(__xludf.DUMMYFUNCTION("""COMPUTED_VALUE"""),1000.0)</f>
        <v>1000</v>
      </c>
      <c r="B1400" s="1">
        <f>IFERROR(__xludf.DUMMYFUNCTION("""COMPUTED_VALUE"""),184474.0)</f>
        <v>184474</v>
      </c>
      <c r="C1400" s="1">
        <f>IFERROR(__xludf.DUMMYFUNCTION("""COMPUTED_VALUE"""),2026.0)</f>
        <v>2026</v>
      </c>
      <c r="D1400" s="1">
        <f>IFERROR(__xludf.DUMMYFUNCTION("""COMPUTED_VALUE"""),46095.0)</f>
        <v>46095</v>
      </c>
      <c r="E1400" s="1" t="str">
        <f>IFERROR(__xludf.DUMMYFUNCTION("""COMPUTED_VALUE"""),"VF")</f>
        <v>VF</v>
      </c>
      <c r="F1400" s="1">
        <f>IFERROR(__xludf.DUMMYFUNCTION("""COMPUTED_VALUE"""),2.0)</f>
        <v>2</v>
      </c>
      <c r="G1400" s="1" t="str">
        <f>IFERROR(__xludf.DUMMYFUNCTION("""COMPUTED_VALUE"""),"PR006")</f>
        <v>PR006</v>
      </c>
      <c r="H1400" s="1" t="str">
        <f>IFERROR(__xludf.DUMMYFUNCTION("""COMPUTED_VALUE"""),"VD032")</f>
        <v>VD032</v>
      </c>
      <c r="I1400" s="1">
        <f>IFERROR(__xludf.DUMMYFUNCTION("""COMPUTED_VALUE"""),8.0)</f>
        <v>8</v>
      </c>
      <c r="J1400" s="1">
        <f>IFERROR(__xludf.DUMMYFUNCTION("""COMPUTED_VALUE"""),347.93)</f>
        <v>347.93</v>
      </c>
      <c r="K1400" s="1">
        <f>IFERROR(__xludf.DUMMYFUNCTION("""COMPUTED_VALUE"""),347.93)</f>
        <v>347.93</v>
      </c>
    </row>
    <row r="1401">
      <c r="A1401" s="1">
        <f>IFERROR(__xludf.DUMMYFUNCTION("""COMPUTED_VALUE"""),1000.0)</f>
        <v>1000</v>
      </c>
      <c r="B1401" s="1">
        <f>IFERROR(__xludf.DUMMYFUNCTION("""COMPUTED_VALUE"""),184474.0)</f>
        <v>184474</v>
      </c>
      <c r="C1401" s="1">
        <f>IFERROR(__xludf.DUMMYFUNCTION("""COMPUTED_VALUE"""),2026.0)</f>
        <v>2026</v>
      </c>
      <c r="D1401" s="1">
        <f>IFERROR(__xludf.DUMMYFUNCTION("""COMPUTED_VALUE"""),46095.0)</f>
        <v>46095</v>
      </c>
      <c r="E1401" s="1" t="str">
        <f>IFERROR(__xludf.DUMMYFUNCTION("""COMPUTED_VALUE"""),"VF")</f>
        <v>VF</v>
      </c>
      <c r="F1401" s="1">
        <f>IFERROR(__xludf.DUMMYFUNCTION("""COMPUTED_VALUE"""),3.0)</f>
        <v>3</v>
      </c>
      <c r="G1401" s="1" t="str">
        <f>IFERROR(__xludf.DUMMYFUNCTION("""COMPUTED_VALUE"""),"PR014")</f>
        <v>PR014</v>
      </c>
      <c r="H1401" s="1" t="str">
        <f>IFERROR(__xludf.DUMMYFUNCTION("""COMPUTED_VALUE"""),"VD028")</f>
        <v>VD028</v>
      </c>
      <c r="I1401" s="1">
        <f>IFERROR(__xludf.DUMMYFUNCTION("""COMPUTED_VALUE"""),7.0)</f>
        <v>7</v>
      </c>
      <c r="J1401" s="1">
        <f>IFERROR(__xludf.DUMMYFUNCTION("""COMPUTED_VALUE"""),290.47)</f>
        <v>290.47</v>
      </c>
      <c r="K1401" s="1">
        <f>IFERROR(__xludf.DUMMYFUNCTION("""COMPUTED_VALUE"""),290.47)</f>
        <v>290.47</v>
      </c>
    </row>
    <row r="1402">
      <c r="A1402" s="1">
        <f>IFERROR(__xludf.DUMMYFUNCTION("""COMPUTED_VALUE"""),1000.0)</f>
        <v>1000</v>
      </c>
      <c r="B1402" s="1">
        <f>IFERROR(__xludf.DUMMYFUNCTION("""COMPUTED_VALUE"""),184474.0)</f>
        <v>184474</v>
      </c>
      <c r="C1402" s="1">
        <f>IFERROR(__xludf.DUMMYFUNCTION("""COMPUTED_VALUE"""),2026.0)</f>
        <v>2026</v>
      </c>
      <c r="D1402" s="1">
        <f>IFERROR(__xludf.DUMMYFUNCTION("""COMPUTED_VALUE"""),46094.0)</f>
        <v>46094</v>
      </c>
      <c r="E1402" s="1" t="str">
        <f>IFERROR(__xludf.DUMMYFUNCTION("""COMPUTED_VALUE"""),"VF")</f>
        <v>VF</v>
      </c>
      <c r="F1402" s="1">
        <f>IFERROR(__xludf.DUMMYFUNCTION("""COMPUTED_VALUE"""),4.0)</f>
        <v>4</v>
      </c>
      <c r="G1402" s="1" t="str">
        <f>IFERROR(__xludf.DUMMYFUNCTION("""COMPUTED_VALUE"""),"PR027")</f>
        <v>PR027</v>
      </c>
      <c r="H1402" s="1" t="str">
        <f>IFERROR(__xludf.DUMMYFUNCTION("""COMPUTED_VALUE"""),"VD042")</f>
        <v>VD042</v>
      </c>
      <c r="I1402" s="1">
        <f>IFERROR(__xludf.DUMMYFUNCTION("""COMPUTED_VALUE"""),8.0)</f>
        <v>8</v>
      </c>
      <c r="J1402" s="1">
        <f>IFERROR(__xludf.DUMMYFUNCTION("""COMPUTED_VALUE"""),960.0)</f>
        <v>960</v>
      </c>
      <c r="K1402" s="1">
        <f>IFERROR(__xludf.DUMMYFUNCTION("""COMPUTED_VALUE"""),960.0)</f>
        <v>960</v>
      </c>
    </row>
    <row r="1403">
      <c r="A1403" s="1">
        <f>IFERROR(__xludf.DUMMYFUNCTION("""COMPUTED_VALUE"""),1000.0)</f>
        <v>1000</v>
      </c>
      <c r="B1403" s="1">
        <f>IFERROR(__xludf.DUMMYFUNCTION("""COMPUTED_VALUE"""),184475.0)</f>
        <v>184475</v>
      </c>
      <c r="C1403" s="1">
        <f>IFERROR(__xludf.DUMMYFUNCTION("""COMPUTED_VALUE"""),2026.0)</f>
        <v>2026</v>
      </c>
      <c r="D1403" s="1">
        <f>IFERROR(__xludf.DUMMYFUNCTION("""COMPUTED_VALUE"""),46094.0)</f>
        <v>46094</v>
      </c>
      <c r="E1403" s="1" t="str">
        <f>IFERROR(__xludf.DUMMYFUNCTION("""COMPUTED_VALUE"""),"VF")</f>
        <v>VF</v>
      </c>
      <c r="F1403" s="1">
        <f>IFERROR(__xludf.DUMMYFUNCTION("""COMPUTED_VALUE"""),1.0)</f>
        <v>1</v>
      </c>
      <c r="G1403" s="1" t="str">
        <f>IFERROR(__xludf.DUMMYFUNCTION("""COMPUTED_VALUE"""),"PR004")</f>
        <v>PR004</v>
      </c>
      <c r="H1403" s="1" t="str">
        <f>IFERROR(__xludf.DUMMYFUNCTION("""COMPUTED_VALUE"""),"VD012")</f>
        <v>VD012</v>
      </c>
      <c r="I1403" s="1">
        <f>IFERROR(__xludf.DUMMYFUNCTION("""COMPUTED_VALUE"""),4.0)</f>
        <v>4</v>
      </c>
      <c r="J1403" s="1">
        <f>IFERROR(__xludf.DUMMYFUNCTION("""COMPUTED_VALUE"""),620.6)</f>
        <v>620.6</v>
      </c>
      <c r="K1403" s="1">
        <f>IFERROR(__xludf.DUMMYFUNCTION("""COMPUTED_VALUE"""),620.6)</f>
        <v>620.6</v>
      </c>
    </row>
    <row r="1404">
      <c r="A1404" s="1">
        <f>IFERROR(__xludf.DUMMYFUNCTION("""COMPUTED_VALUE"""),1000.0)</f>
        <v>1000</v>
      </c>
      <c r="B1404" s="1">
        <f>IFERROR(__xludf.DUMMYFUNCTION("""COMPUTED_VALUE"""),184476.0)</f>
        <v>184476</v>
      </c>
      <c r="C1404" s="1">
        <f>IFERROR(__xludf.DUMMYFUNCTION("""COMPUTED_VALUE"""),2026.0)</f>
        <v>2026</v>
      </c>
      <c r="D1404" s="1">
        <f>IFERROR(__xludf.DUMMYFUNCTION("""COMPUTED_VALUE"""),46093.0)</f>
        <v>46093</v>
      </c>
      <c r="E1404" s="1" t="str">
        <f>IFERROR(__xludf.DUMMYFUNCTION("""COMPUTED_VALUE"""),"VF")</f>
        <v>VF</v>
      </c>
      <c r="F1404" s="1">
        <f>IFERROR(__xludf.DUMMYFUNCTION("""COMPUTED_VALUE"""),1.0)</f>
        <v>1</v>
      </c>
      <c r="G1404" s="1" t="str">
        <f>IFERROR(__xludf.DUMMYFUNCTION("""COMPUTED_VALUE"""),"PR020")</f>
        <v>PR020</v>
      </c>
      <c r="H1404" s="1" t="str">
        <f>IFERROR(__xludf.DUMMYFUNCTION("""COMPUTED_VALUE"""),"VD018")</f>
        <v>VD018</v>
      </c>
      <c r="I1404" s="1">
        <f>IFERROR(__xludf.DUMMYFUNCTION("""COMPUTED_VALUE"""),10.0)</f>
        <v>10</v>
      </c>
      <c r="J1404" s="1">
        <f>IFERROR(__xludf.DUMMYFUNCTION("""COMPUTED_VALUE"""),3118.96)</f>
        <v>3118.96</v>
      </c>
      <c r="K1404" s="1">
        <f>IFERROR(__xludf.DUMMYFUNCTION("""COMPUTED_VALUE"""),3118.96)</f>
        <v>3118.96</v>
      </c>
    </row>
    <row r="1405">
      <c r="A1405" s="1">
        <f>IFERROR(__xludf.DUMMYFUNCTION("""COMPUTED_VALUE"""),1000.0)</f>
        <v>1000</v>
      </c>
      <c r="B1405" s="1">
        <f>IFERROR(__xludf.DUMMYFUNCTION("""COMPUTED_VALUE"""),184477.0)</f>
        <v>184477</v>
      </c>
      <c r="C1405" s="1">
        <f>IFERROR(__xludf.DUMMYFUNCTION("""COMPUTED_VALUE"""),2026.0)</f>
        <v>2026</v>
      </c>
      <c r="D1405" s="1">
        <f>IFERROR(__xludf.DUMMYFUNCTION("""COMPUTED_VALUE"""),46093.0)</f>
        <v>46093</v>
      </c>
      <c r="E1405" s="1" t="str">
        <f>IFERROR(__xludf.DUMMYFUNCTION("""COMPUTED_VALUE"""),"VF")</f>
        <v>VF</v>
      </c>
      <c r="F1405" s="1">
        <f>IFERROR(__xludf.DUMMYFUNCTION("""COMPUTED_VALUE"""),1.0)</f>
        <v>1</v>
      </c>
      <c r="G1405" s="1" t="str">
        <f>IFERROR(__xludf.DUMMYFUNCTION("""COMPUTED_VALUE"""),"PR004")</f>
        <v>PR004</v>
      </c>
      <c r="H1405" s="1" t="str">
        <f>IFERROR(__xludf.DUMMYFUNCTION("""COMPUTED_VALUE"""),"VD032")</f>
        <v>VD032</v>
      </c>
      <c r="I1405" s="1">
        <f>IFERROR(__xludf.DUMMYFUNCTION("""COMPUTED_VALUE"""),14.0)</f>
        <v>14</v>
      </c>
      <c r="J1405" s="1">
        <f>IFERROR(__xludf.DUMMYFUNCTION("""COMPUTED_VALUE"""),2172.1)</f>
        <v>2172.1</v>
      </c>
      <c r="K1405" s="1">
        <f>IFERROR(__xludf.DUMMYFUNCTION("""COMPUTED_VALUE"""),2172.1)</f>
        <v>2172.1</v>
      </c>
    </row>
    <row r="1406">
      <c r="A1406" s="1">
        <f>IFERROR(__xludf.DUMMYFUNCTION("""COMPUTED_VALUE"""),1000.0)</f>
        <v>1000</v>
      </c>
      <c r="B1406" s="1">
        <f>IFERROR(__xludf.DUMMYFUNCTION("""COMPUTED_VALUE"""),184478.0)</f>
        <v>184478</v>
      </c>
      <c r="C1406" s="1">
        <f>IFERROR(__xludf.DUMMYFUNCTION("""COMPUTED_VALUE"""),2026.0)</f>
        <v>2026</v>
      </c>
      <c r="D1406" s="1">
        <f>IFERROR(__xludf.DUMMYFUNCTION("""COMPUTED_VALUE"""),46093.0)</f>
        <v>46093</v>
      </c>
      <c r="E1406" s="1" t="str">
        <f>IFERROR(__xludf.DUMMYFUNCTION("""COMPUTED_VALUE"""),"VF")</f>
        <v>VF</v>
      </c>
      <c r="F1406" s="1">
        <f>IFERROR(__xludf.DUMMYFUNCTION("""COMPUTED_VALUE"""),1.0)</f>
        <v>1</v>
      </c>
      <c r="G1406" s="1" t="str">
        <f>IFERROR(__xludf.DUMMYFUNCTION("""COMPUTED_VALUE"""),"PR014")</f>
        <v>PR014</v>
      </c>
      <c r="H1406" s="1" t="str">
        <f>IFERROR(__xludf.DUMMYFUNCTION("""COMPUTED_VALUE"""),"VD036")</f>
        <v>VD036</v>
      </c>
      <c r="I1406" s="1">
        <f>IFERROR(__xludf.DUMMYFUNCTION("""COMPUTED_VALUE"""),3.0)</f>
        <v>3</v>
      </c>
      <c r="J1406" s="1">
        <f>IFERROR(__xludf.DUMMYFUNCTION("""COMPUTED_VALUE"""),124.49)</f>
        <v>124.49</v>
      </c>
      <c r="K1406" s="1">
        <f>IFERROR(__xludf.DUMMYFUNCTION("""COMPUTED_VALUE"""),124.49)</f>
        <v>124.49</v>
      </c>
    </row>
    <row r="1407">
      <c r="A1407" s="1">
        <f>IFERROR(__xludf.DUMMYFUNCTION("""COMPUTED_VALUE"""),1000.0)</f>
        <v>1000</v>
      </c>
      <c r="B1407" s="1">
        <f>IFERROR(__xludf.DUMMYFUNCTION("""COMPUTED_VALUE"""),184479.0)</f>
        <v>184479</v>
      </c>
      <c r="C1407" s="1">
        <f>IFERROR(__xludf.DUMMYFUNCTION("""COMPUTED_VALUE"""),2026.0)</f>
        <v>2026</v>
      </c>
      <c r="D1407" s="1">
        <f>IFERROR(__xludf.DUMMYFUNCTION("""COMPUTED_VALUE"""),46093.0)</f>
        <v>46093</v>
      </c>
      <c r="E1407" s="1" t="str">
        <f>IFERROR(__xludf.DUMMYFUNCTION("""COMPUTED_VALUE"""),"VF")</f>
        <v>VF</v>
      </c>
      <c r="F1407" s="1">
        <f>IFERROR(__xludf.DUMMYFUNCTION("""COMPUTED_VALUE"""),1.0)</f>
        <v>1</v>
      </c>
      <c r="G1407" s="1" t="str">
        <f>IFERROR(__xludf.DUMMYFUNCTION("""COMPUTED_VALUE"""),"PR033")</f>
        <v>PR033</v>
      </c>
      <c r="H1407" s="1" t="str">
        <f>IFERROR(__xludf.DUMMYFUNCTION("""COMPUTED_VALUE"""),"VD011")</f>
        <v>VD011</v>
      </c>
      <c r="I1407" s="1">
        <f>IFERROR(__xludf.DUMMYFUNCTION("""COMPUTED_VALUE"""),12.0)</f>
        <v>12</v>
      </c>
      <c r="J1407" s="1">
        <f>IFERROR(__xludf.DUMMYFUNCTION("""COMPUTED_VALUE"""),3149.99)</f>
        <v>3149.99</v>
      </c>
      <c r="K1407" s="1">
        <f>IFERROR(__xludf.DUMMYFUNCTION("""COMPUTED_VALUE"""),3149.99)</f>
        <v>3149.99</v>
      </c>
    </row>
    <row r="1408">
      <c r="A1408" s="1">
        <f>IFERROR(__xludf.DUMMYFUNCTION("""COMPUTED_VALUE"""),2000.0)</f>
        <v>2000</v>
      </c>
      <c r="B1408" s="1">
        <f>IFERROR(__xludf.DUMMYFUNCTION("""COMPUTED_VALUE"""),184480.0)</f>
        <v>184480</v>
      </c>
      <c r="C1408" s="1">
        <f>IFERROR(__xludf.DUMMYFUNCTION("""COMPUTED_VALUE"""),2026.0)</f>
        <v>2026</v>
      </c>
      <c r="D1408" s="1">
        <f>IFERROR(__xludf.DUMMYFUNCTION("""COMPUTED_VALUE"""),46093.0)</f>
        <v>46093</v>
      </c>
      <c r="E1408" s="1" t="str">
        <f>IFERROR(__xludf.DUMMYFUNCTION("""COMPUTED_VALUE"""),"VF")</f>
        <v>VF</v>
      </c>
      <c r="F1408" s="1">
        <f>IFERROR(__xludf.DUMMYFUNCTION("""COMPUTED_VALUE"""),1.0)</f>
        <v>1</v>
      </c>
      <c r="G1408" s="1" t="str">
        <f>IFERROR(__xludf.DUMMYFUNCTION("""COMPUTED_VALUE"""),"PR049")</f>
        <v>PR049</v>
      </c>
      <c r="H1408" s="1" t="str">
        <f>IFERROR(__xludf.DUMMYFUNCTION("""COMPUTED_VALUE"""),"VD021")</f>
        <v>VD021</v>
      </c>
      <c r="I1408" s="1">
        <f>IFERROR(__xludf.DUMMYFUNCTION("""COMPUTED_VALUE"""),5.0)</f>
        <v>5</v>
      </c>
      <c r="J1408" s="1">
        <f>IFERROR(__xludf.DUMMYFUNCTION("""COMPUTED_VALUE"""),164.5)</f>
        <v>164.5</v>
      </c>
      <c r="K1408" s="1">
        <f>IFERROR(__xludf.DUMMYFUNCTION("""COMPUTED_VALUE"""),164.5)</f>
        <v>164.5</v>
      </c>
    </row>
    <row r="1409">
      <c r="A1409" s="1">
        <f>IFERROR(__xludf.DUMMYFUNCTION("""COMPUTED_VALUE"""),1000.0)</f>
        <v>1000</v>
      </c>
      <c r="B1409" s="1">
        <f>IFERROR(__xludf.DUMMYFUNCTION("""COMPUTED_VALUE"""),184481.0)</f>
        <v>184481</v>
      </c>
      <c r="C1409" s="1">
        <f>IFERROR(__xludf.DUMMYFUNCTION("""COMPUTED_VALUE"""),2026.0)</f>
        <v>2026</v>
      </c>
      <c r="D1409" s="1">
        <f>IFERROR(__xludf.DUMMYFUNCTION("""COMPUTED_VALUE"""),46093.0)</f>
        <v>46093</v>
      </c>
      <c r="E1409" s="1" t="str">
        <f>IFERROR(__xludf.DUMMYFUNCTION("""COMPUTED_VALUE"""),"VF")</f>
        <v>VF</v>
      </c>
      <c r="F1409" s="1">
        <f>IFERROR(__xludf.DUMMYFUNCTION("""COMPUTED_VALUE"""),1.0)</f>
        <v>1</v>
      </c>
      <c r="G1409" s="1" t="str">
        <f>IFERROR(__xludf.DUMMYFUNCTION("""COMPUTED_VALUE"""),"PR021")</f>
        <v>PR021</v>
      </c>
      <c r="H1409" s="1" t="str">
        <f>IFERROR(__xludf.DUMMYFUNCTION("""COMPUTED_VALUE"""),"VD045")</f>
        <v>VD045</v>
      </c>
      <c r="I1409" s="1">
        <f>IFERROR(__xludf.DUMMYFUNCTION("""COMPUTED_VALUE"""),16.0)</f>
        <v>16</v>
      </c>
      <c r="J1409" s="1">
        <f>IFERROR(__xludf.DUMMYFUNCTION("""COMPUTED_VALUE"""),5088.72)</f>
        <v>5088.72</v>
      </c>
      <c r="K1409" s="1">
        <f>IFERROR(__xludf.DUMMYFUNCTION("""COMPUTED_VALUE"""),5088.72)</f>
        <v>5088.72</v>
      </c>
    </row>
    <row r="1410">
      <c r="A1410" s="1">
        <f>IFERROR(__xludf.DUMMYFUNCTION("""COMPUTED_VALUE"""),2000.0)</f>
        <v>2000</v>
      </c>
      <c r="B1410" s="1">
        <f>IFERROR(__xludf.DUMMYFUNCTION("""COMPUTED_VALUE"""),184481.0)</f>
        <v>184481</v>
      </c>
      <c r="C1410" s="1">
        <f>IFERROR(__xludf.DUMMYFUNCTION("""COMPUTED_VALUE"""),2026.0)</f>
        <v>2026</v>
      </c>
      <c r="D1410" s="1">
        <f>IFERROR(__xludf.DUMMYFUNCTION("""COMPUTED_VALUE"""),46093.0)</f>
        <v>46093</v>
      </c>
      <c r="E1410" s="1" t="str">
        <f>IFERROR(__xludf.DUMMYFUNCTION("""COMPUTED_VALUE"""),"VF")</f>
        <v>VF</v>
      </c>
      <c r="F1410" s="1">
        <f>IFERROR(__xludf.DUMMYFUNCTION("""COMPUTED_VALUE"""),2.0)</f>
        <v>2</v>
      </c>
      <c r="G1410" s="1" t="str">
        <f>IFERROR(__xludf.DUMMYFUNCTION("""COMPUTED_VALUE"""),"PR018")</f>
        <v>PR018</v>
      </c>
      <c r="H1410" s="1" t="str">
        <f>IFERROR(__xludf.DUMMYFUNCTION("""COMPUTED_VALUE"""),"VD017")</f>
        <v>VD017</v>
      </c>
      <c r="I1410" s="1">
        <f>IFERROR(__xludf.DUMMYFUNCTION("""COMPUTED_VALUE"""),8.0)</f>
        <v>8</v>
      </c>
      <c r="J1410" s="1">
        <f>IFERROR(__xludf.DUMMYFUNCTION("""COMPUTED_VALUE"""),268.46)</f>
        <v>268.46</v>
      </c>
      <c r="K1410" s="1">
        <f>IFERROR(__xludf.DUMMYFUNCTION("""COMPUTED_VALUE"""),268.46)</f>
        <v>268.46</v>
      </c>
    </row>
    <row r="1411">
      <c r="A1411" s="1">
        <f>IFERROR(__xludf.DUMMYFUNCTION("""COMPUTED_VALUE"""),1000.0)</f>
        <v>1000</v>
      </c>
      <c r="B1411" s="1">
        <f>IFERROR(__xludf.DUMMYFUNCTION("""COMPUTED_VALUE"""),184482.0)</f>
        <v>184482</v>
      </c>
      <c r="C1411" s="1">
        <f>IFERROR(__xludf.DUMMYFUNCTION("""COMPUTED_VALUE"""),2026.0)</f>
        <v>2026</v>
      </c>
      <c r="D1411" s="1">
        <f>IFERROR(__xludf.DUMMYFUNCTION("""COMPUTED_VALUE"""),46092.0)</f>
        <v>46092</v>
      </c>
      <c r="E1411" s="1" t="str">
        <f>IFERROR(__xludf.DUMMYFUNCTION("""COMPUTED_VALUE"""),"VF")</f>
        <v>VF</v>
      </c>
      <c r="F1411" s="1">
        <f>IFERROR(__xludf.DUMMYFUNCTION("""COMPUTED_VALUE"""),1.0)</f>
        <v>1</v>
      </c>
      <c r="G1411" s="1" t="str">
        <f>IFERROR(__xludf.DUMMYFUNCTION("""COMPUTED_VALUE"""),"PR038")</f>
        <v>PR038</v>
      </c>
      <c r="H1411" s="1" t="str">
        <f>IFERROR(__xludf.DUMMYFUNCTION("""COMPUTED_VALUE"""),"VD028")</f>
        <v>VD028</v>
      </c>
      <c r="I1411" s="1">
        <f>IFERROR(__xludf.DUMMYFUNCTION("""COMPUTED_VALUE"""),6.0)</f>
        <v>6</v>
      </c>
      <c r="J1411" s="1">
        <f>IFERROR(__xludf.DUMMYFUNCTION("""COMPUTED_VALUE"""),908.84)</f>
        <v>908.84</v>
      </c>
      <c r="K1411" s="1">
        <f>IFERROR(__xludf.DUMMYFUNCTION("""COMPUTED_VALUE"""),908.84)</f>
        <v>908.84</v>
      </c>
    </row>
    <row r="1412">
      <c r="A1412" s="1">
        <f>IFERROR(__xludf.DUMMYFUNCTION("""COMPUTED_VALUE"""),2000.0)</f>
        <v>2000</v>
      </c>
      <c r="B1412" s="1">
        <f>IFERROR(__xludf.DUMMYFUNCTION("""COMPUTED_VALUE"""),184482.0)</f>
        <v>184482</v>
      </c>
      <c r="C1412" s="1">
        <f>IFERROR(__xludf.DUMMYFUNCTION("""COMPUTED_VALUE"""),2026.0)</f>
        <v>2026</v>
      </c>
      <c r="D1412" s="1">
        <f>IFERROR(__xludf.DUMMYFUNCTION("""COMPUTED_VALUE"""),46092.0)</f>
        <v>46092</v>
      </c>
      <c r="E1412" s="1" t="str">
        <f>IFERROR(__xludf.DUMMYFUNCTION("""COMPUTED_VALUE"""),"VF")</f>
        <v>VF</v>
      </c>
      <c r="F1412" s="1">
        <f>IFERROR(__xludf.DUMMYFUNCTION("""COMPUTED_VALUE"""),2.0)</f>
        <v>2</v>
      </c>
      <c r="G1412" s="1" t="str">
        <f>IFERROR(__xludf.DUMMYFUNCTION("""COMPUTED_VALUE"""),"PR037")</f>
        <v>PR037</v>
      </c>
      <c r="H1412" s="1" t="str">
        <f>IFERROR(__xludf.DUMMYFUNCTION("""COMPUTED_VALUE"""),"VD019")</f>
        <v>VD019</v>
      </c>
      <c r="I1412" s="1">
        <f>IFERROR(__xludf.DUMMYFUNCTION("""COMPUTED_VALUE"""),5.0)</f>
        <v>5</v>
      </c>
      <c r="J1412" s="1">
        <f>IFERROR(__xludf.DUMMYFUNCTION("""COMPUTED_VALUE"""),707.0)</f>
        <v>707</v>
      </c>
      <c r="K1412" s="1">
        <f>IFERROR(__xludf.DUMMYFUNCTION("""COMPUTED_VALUE"""),707.0)</f>
        <v>707</v>
      </c>
    </row>
    <row r="1413">
      <c r="A1413" s="1">
        <f>IFERROR(__xludf.DUMMYFUNCTION("""COMPUTED_VALUE"""),1000.0)</f>
        <v>1000</v>
      </c>
      <c r="B1413" s="1">
        <f>IFERROR(__xludf.DUMMYFUNCTION("""COMPUTED_VALUE"""),184483.0)</f>
        <v>184483</v>
      </c>
      <c r="C1413" s="1">
        <f>IFERROR(__xludf.DUMMYFUNCTION("""COMPUTED_VALUE"""),2026.0)</f>
        <v>2026</v>
      </c>
      <c r="D1413" s="1">
        <f>IFERROR(__xludf.DUMMYFUNCTION("""COMPUTED_VALUE"""),46091.0)</f>
        <v>46091</v>
      </c>
      <c r="E1413" s="1" t="str">
        <f>IFERROR(__xludf.DUMMYFUNCTION("""COMPUTED_VALUE"""),"VF")</f>
        <v>VF</v>
      </c>
      <c r="F1413" s="1">
        <f>IFERROR(__xludf.DUMMYFUNCTION("""COMPUTED_VALUE"""),1.0)</f>
        <v>1</v>
      </c>
      <c r="G1413" s="1" t="str">
        <f>IFERROR(__xludf.DUMMYFUNCTION("""COMPUTED_VALUE"""),"PR041")</f>
        <v>PR041</v>
      </c>
      <c r="H1413" s="1" t="str">
        <f>IFERROR(__xludf.DUMMYFUNCTION("""COMPUTED_VALUE"""),"VD024")</f>
        <v>VD024</v>
      </c>
      <c r="I1413" s="1">
        <f>IFERROR(__xludf.DUMMYFUNCTION("""COMPUTED_VALUE"""),10.0)</f>
        <v>10</v>
      </c>
      <c r="J1413" s="1">
        <f>IFERROR(__xludf.DUMMYFUNCTION("""COMPUTED_VALUE"""),576.45)</f>
        <v>576.45</v>
      </c>
      <c r="K1413" s="1">
        <f>IFERROR(__xludf.DUMMYFUNCTION("""COMPUTED_VALUE"""),576.45)</f>
        <v>576.45</v>
      </c>
    </row>
    <row r="1414">
      <c r="A1414" s="1">
        <f>IFERROR(__xludf.DUMMYFUNCTION("""COMPUTED_VALUE"""),1000.0)</f>
        <v>1000</v>
      </c>
      <c r="B1414" s="1">
        <f>IFERROR(__xludf.DUMMYFUNCTION("""COMPUTED_VALUE"""),184484.0)</f>
        <v>184484</v>
      </c>
      <c r="C1414" s="1">
        <f>IFERROR(__xludf.DUMMYFUNCTION("""COMPUTED_VALUE"""),2026.0)</f>
        <v>2026</v>
      </c>
      <c r="D1414" s="1">
        <f>IFERROR(__xludf.DUMMYFUNCTION("""COMPUTED_VALUE"""),46091.0)</f>
        <v>46091</v>
      </c>
      <c r="E1414" s="1" t="str">
        <f>IFERROR(__xludf.DUMMYFUNCTION("""COMPUTED_VALUE"""),"VF")</f>
        <v>VF</v>
      </c>
      <c r="F1414" s="1">
        <f>IFERROR(__xludf.DUMMYFUNCTION("""COMPUTED_VALUE"""),1.0)</f>
        <v>1</v>
      </c>
      <c r="G1414" s="1" t="str">
        <f>IFERROR(__xludf.DUMMYFUNCTION("""COMPUTED_VALUE"""),"PR014")</f>
        <v>PR014</v>
      </c>
      <c r="H1414" s="1" t="str">
        <f>IFERROR(__xludf.DUMMYFUNCTION("""COMPUTED_VALUE"""),"VD034")</f>
        <v>VD034</v>
      </c>
      <c r="I1414" s="1">
        <f>IFERROR(__xludf.DUMMYFUNCTION("""COMPUTED_VALUE"""),6.0)</f>
        <v>6</v>
      </c>
      <c r="J1414" s="1">
        <f>IFERROR(__xludf.DUMMYFUNCTION("""COMPUTED_VALUE"""),260.95)</f>
        <v>260.95</v>
      </c>
      <c r="K1414" s="1">
        <f>IFERROR(__xludf.DUMMYFUNCTION("""COMPUTED_VALUE"""),260.95)</f>
        <v>260.95</v>
      </c>
    </row>
    <row r="1415">
      <c r="A1415" s="1">
        <f>IFERROR(__xludf.DUMMYFUNCTION("""COMPUTED_VALUE"""),1000.0)</f>
        <v>1000</v>
      </c>
      <c r="B1415" s="1">
        <f>IFERROR(__xludf.DUMMYFUNCTION("""COMPUTED_VALUE"""),184485.0)</f>
        <v>184485</v>
      </c>
      <c r="C1415" s="1">
        <f>IFERROR(__xludf.DUMMYFUNCTION("""COMPUTED_VALUE"""),2026.0)</f>
        <v>2026</v>
      </c>
      <c r="D1415" s="1">
        <f>IFERROR(__xludf.DUMMYFUNCTION("""COMPUTED_VALUE"""),46091.0)</f>
        <v>46091</v>
      </c>
      <c r="E1415" s="1" t="str">
        <f>IFERROR(__xludf.DUMMYFUNCTION("""COMPUTED_VALUE"""),"VF")</f>
        <v>VF</v>
      </c>
      <c r="F1415" s="1">
        <f>IFERROR(__xludf.DUMMYFUNCTION("""COMPUTED_VALUE"""),1.0)</f>
        <v>1</v>
      </c>
      <c r="G1415" s="1" t="str">
        <f>IFERROR(__xludf.DUMMYFUNCTION("""COMPUTED_VALUE"""),"PR002")</f>
        <v>PR002</v>
      </c>
      <c r="H1415" s="1" t="str">
        <f>IFERROR(__xludf.DUMMYFUNCTION("""COMPUTED_VALUE"""),"VD041")</f>
        <v>VD041</v>
      </c>
      <c r="I1415" s="1">
        <f>IFERROR(__xludf.DUMMYFUNCTION("""COMPUTED_VALUE"""),8.0)</f>
        <v>8</v>
      </c>
      <c r="J1415" s="1">
        <f>IFERROR(__xludf.DUMMYFUNCTION("""COMPUTED_VALUE"""),609.53)</f>
        <v>609.53</v>
      </c>
      <c r="K1415" s="1">
        <f>IFERROR(__xludf.DUMMYFUNCTION("""COMPUTED_VALUE"""),609.53)</f>
        <v>609.53</v>
      </c>
    </row>
    <row r="1416">
      <c r="A1416" s="1">
        <f>IFERROR(__xludf.DUMMYFUNCTION("""COMPUTED_VALUE"""),1000.0)</f>
        <v>1000</v>
      </c>
      <c r="B1416" s="1">
        <f>IFERROR(__xludf.DUMMYFUNCTION("""COMPUTED_VALUE"""),184486.0)</f>
        <v>184486</v>
      </c>
      <c r="C1416" s="1">
        <f>IFERROR(__xludf.DUMMYFUNCTION("""COMPUTED_VALUE"""),2026.0)</f>
        <v>2026</v>
      </c>
      <c r="D1416" s="1">
        <f>IFERROR(__xludf.DUMMYFUNCTION("""COMPUTED_VALUE"""),46091.0)</f>
        <v>46091</v>
      </c>
      <c r="E1416" s="1" t="str">
        <f>IFERROR(__xludf.DUMMYFUNCTION("""COMPUTED_VALUE"""),"VF")</f>
        <v>VF</v>
      </c>
      <c r="F1416" s="1">
        <f>IFERROR(__xludf.DUMMYFUNCTION("""COMPUTED_VALUE"""),1.0)</f>
        <v>1</v>
      </c>
      <c r="G1416" s="1" t="str">
        <f>IFERROR(__xludf.DUMMYFUNCTION("""COMPUTED_VALUE"""),"PR023")</f>
        <v>PR023</v>
      </c>
      <c r="H1416" s="1" t="str">
        <f>IFERROR(__xludf.DUMMYFUNCTION("""COMPUTED_VALUE"""),"VD035")</f>
        <v>VD035</v>
      </c>
      <c r="I1416" s="1">
        <f>IFERROR(__xludf.DUMMYFUNCTION("""COMPUTED_VALUE"""),6.0)</f>
        <v>6</v>
      </c>
      <c r="J1416" s="1">
        <f>IFERROR(__xludf.DUMMYFUNCTION("""COMPUTED_VALUE"""),1604.36)</f>
        <v>1604.36</v>
      </c>
      <c r="K1416" s="1">
        <f>IFERROR(__xludf.DUMMYFUNCTION("""COMPUTED_VALUE"""),1604.36)</f>
        <v>1604.36</v>
      </c>
    </row>
    <row r="1417">
      <c r="A1417" s="1">
        <f>IFERROR(__xludf.DUMMYFUNCTION("""COMPUTED_VALUE"""),1000.0)</f>
        <v>1000</v>
      </c>
      <c r="B1417" s="1">
        <f>IFERROR(__xludf.DUMMYFUNCTION("""COMPUTED_VALUE"""),184487.0)</f>
        <v>184487</v>
      </c>
      <c r="C1417" s="1">
        <f>IFERROR(__xludf.DUMMYFUNCTION("""COMPUTED_VALUE"""),2026.0)</f>
        <v>2026</v>
      </c>
      <c r="D1417" s="1">
        <f>IFERROR(__xludf.DUMMYFUNCTION("""COMPUTED_VALUE"""),46091.0)</f>
        <v>46091</v>
      </c>
      <c r="E1417" s="1" t="str">
        <f>IFERROR(__xludf.DUMMYFUNCTION("""COMPUTED_VALUE"""),"VF")</f>
        <v>VF</v>
      </c>
      <c r="F1417" s="1">
        <f>IFERROR(__xludf.DUMMYFUNCTION("""COMPUTED_VALUE"""),1.0)</f>
        <v>1</v>
      </c>
      <c r="G1417" s="1" t="str">
        <f>IFERROR(__xludf.DUMMYFUNCTION("""COMPUTED_VALUE"""),"PR008")</f>
        <v>PR008</v>
      </c>
      <c r="H1417" s="1" t="str">
        <f>IFERROR(__xludf.DUMMYFUNCTION("""COMPUTED_VALUE"""),"VD043")</f>
        <v>VD043</v>
      </c>
      <c r="I1417" s="1">
        <f>IFERROR(__xludf.DUMMYFUNCTION("""COMPUTED_VALUE"""),8.0)</f>
        <v>8</v>
      </c>
      <c r="J1417" s="1">
        <f>IFERROR(__xludf.DUMMYFUNCTION("""COMPUTED_VALUE"""),726.39)</f>
        <v>726.39</v>
      </c>
      <c r="K1417" s="1">
        <f>IFERROR(__xludf.DUMMYFUNCTION("""COMPUTED_VALUE"""),726.39)</f>
        <v>726.39</v>
      </c>
    </row>
    <row r="1418">
      <c r="A1418" s="1">
        <f>IFERROR(__xludf.DUMMYFUNCTION("""COMPUTED_VALUE"""),2000.0)</f>
        <v>2000</v>
      </c>
      <c r="B1418" s="1">
        <f>IFERROR(__xludf.DUMMYFUNCTION("""COMPUTED_VALUE"""),184488.0)</f>
        <v>184488</v>
      </c>
      <c r="C1418" s="1">
        <f>IFERROR(__xludf.DUMMYFUNCTION("""COMPUTED_VALUE"""),2026.0)</f>
        <v>2026</v>
      </c>
      <c r="D1418" s="1">
        <f>IFERROR(__xludf.DUMMYFUNCTION("""COMPUTED_VALUE"""),46091.0)</f>
        <v>46091</v>
      </c>
      <c r="E1418" s="1" t="str">
        <f>IFERROR(__xludf.DUMMYFUNCTION("""COMPUTED_VALUE"""),"VF")</f>
        <v>VF</v>
      </c>
      <c r="F1418" s="1">
        <f>IFERROR(__xludf.DUMMYFUNCTION("""COMPUTED_VALUE"""),1.0)</f>
        <v>1</v>
      </c>
      <c r="G1418" s="1" t="str">
        <f>IFERROR(__xludf.DUMMYFUNCTION("""COMPUTED_VALUE"""),"PR053")</f>
        <v>PR053</v>
      </c>
      <c r="H1418" s="1" t="str">
        <f>IFERROR(__xludf.DUMMYFUNCTION("""COMPUTED_VALUE"""),"VD037")</f>
        <v>VD037</v>
      </c>
      <c r="I1418" s="1">
        <f>IFERROR(__xludf.DUMMYFUNCTION("""COMPUTED_VALUE"""),8.0)</f>
        <v>8</v>
      </c>
      <c r="J1418" s="1">
        <f>IFERROR(__xludf.DUMMYFUNCTION("""COMPUTED_VALUE"""),415.17)</f>
        <v>415.17</v>
      </c>
      <c r="K1418" s="1">
        <f>IFERROR(__xludf.DUMMYFUNCTION("""COMPUTED_VALUE"""),415.17)</f>
        <v>415.17</v>
      </c>
    </row>
    <row r="1419">
      <c r="A1419" s="1">
        <f>IFERROR(__xludf.DUMMYFUNCTION("""COMPUTED_VALUE"""),2000.0)</f>
        <v>2000</v>
      </c>
      <c r="B1419" s="1">
        <f>IFERROR(__xludf.DUMMYFUNCTION("""COMPUTED_VALUE"""),184489.0)</f>
        <v>184489</v>
      </c>
      <c r="C1419" s="1">
        <f>IFERROR(__xludf.DUMMYFUNCTION("""COMPUTED_VALUE"""),2026.0)</f>
        <v>2026</v>
      </c>
      <c r="D1419" s="1">
        <f>IFERROR(__xludf.DUMMYFUNCTION("""COMPUTED_VALUE"""),46091.0)</f>
        <v>46091</v>
      </c>
      <c r="E1419" s="1" t="str">
        <f>IFERROR(__xludf.DUMMYFUNCTION("""COMPUTED_VALUE"""),"VF")</f>
        <v>VF</v>
      </c>
      <c r="F1419" s="1">
        <f>IFERROR(__xludf.DUMMYFUNCTION("""COMPUTED_VALUE"""),1.0)</f>
        <v>1</v>
      </c>
      <c r="G1419" s="1" t="str">
        <f>IFERROR(__xludf.DUMMYFUNCTION("""COMPUTED_VALUE"""),"PR014")</f>
        <v>PR014</v>
      </c>
      <c r="H1419" s="1" t="str">
        <f>IFERROR(__xludf.DUMMYFUNCTION("""COMPUTED_VALUE"""),"VD026")</f>
        <v>VD026</v>
      </c>
      <c r="I1419" s="1">
        <f>IFERROR(__xludf.DUMMYFUNCTION("""COMPUTED_VALUE"""),3.0)</f>
        <v>3</v>
      </c>
      <c r="J1419" s="1">
        <f>IFERROR(__xludf.DUMMYFUNCTION("""COMPUTED_VALUE"""),129.28)</f>
        <v>129.28</v>
      </c>
      <c r="K1419" s="1">
        <f>IFERROR(__xludf.DUMMYFUNCTION("""COMPUTED_VALUE"""),129.28)</f>
        <v>129.28</v>
      </c>
    </row>
    <row r="1420">
      <c r="A1420" s="1">
        <f>IFERROR(__xludf.DUMMYFUNCTION("""COMPUTED_VALUE"""),1000.0)</f>
        <v>1000</v>
      </c>
      <c r="B1420" s="1">
        <f>IFERROR(__xludf.DUMMYFUNCTION("""COMPUTED_VALUE"""),184490.0)</f>
        <v>184490</v>
      </c>
      <c r="C1420" s="1">
        <f>IFERROR(__xludf.DUMMYFUNCTION("""COMPUTED_VALUE"""),2026.0)</f>
        <v>2026</v>
      </c>
      <c r="D1420" s="1">
        <f>IFERROR(__xludf.DUMMYFUNCTION("""COMPUTED_VALUE"""),46091.0)</f>
        <v>46091</v>
      </c>
      <c r="E1420" s="1" t="str">
        <f>IFERROR(__xludf.DUMMYFUNCTION("""COMPUTED_VALUE"""),"VF")</f>
        <v>VF</v>
      </c>
      <c r="F1420" s="1">
        <f>IFERROR(__xludf.DUMMYFUNCTION("""COMPUTED_VALUE"""),1.0)</f>
        <v>1</v>
      </c>
      <c r="G1420" s="1" t="str">
        <f>IFERROR(__xludf.DUMMYFUNCTION("""COMPUTED_VALUE"""),"PR028")</f>
        <v>PR028</v>
      </c>
      <c r="H1420" s="1" t="str">
        <f>IFERROR(__xludf.DUMMYFUNCTION("""COMPUTED_VALUE"""),"VD015")</f>
        <v>VD015</v>
      </c>
      <c r="I1420" s="1">
        <f>IFERROR(__xludf.DUMMYFUNCTION("""COMPUTED_VALUE"""),2.0)</f>
        <v>2</v>
      </c>
      <c r="J1420" s="1">
        <f>IFERROR(__xludf.DUMMYFUNCTION("""COMPUTED_VALUE"""),544.78)</f>
        <v>544.78</v>
      </c>
      <c r="K1420" s="1">
        <f>IFERROR(__xludf.DUMMYFUNCTION("""COMPUTED_VALUE"""),544.78)</f>
        <v>544.78</v>
      </c>
    </row>
    <row r="1421">
      <c r="A1421" s="1">
        <f>IFERROR(__xludf.DUMMYFUNCTION("""COMPUTED_VALUE"""),2000.0)</f>
        <v>2000</v>
      </c>
      <c r="B1421" s="1">
        <f>IFERROR(__xludf.DUMMYFUNCTION("""COMPUTED_VALUE"""),184491.0)</f>
        <v>184491</v>
      </c>
      <c r="C1421" s="1">
        <f>IFERROR(__xludf.DUMMYFUNCTION("""COMPUTED_VALUE"""),2026.0)</f>
        <v>2026</v>
      </c>
      <c r="D1421" s="1">
        <f>IFERROR(__xludf.DUMMYFUNCTION("""COMPUTED_VALUE"""),46091.0)</f>
        <v>46091</v>
      </c>
      <c r="E1421" s="1" t="str">
        <f>IFERROR(__xludf.DUMMYFUNCTION("""COMPUTED_VALUE"""),"VF")</f>
        <v>VF</v>
      </c>
      <c r="F1421" s="1">
        <f>IFERROR(__xludf.DUMMYFUNCTION("""COMPUTED_VALUE"""),1.0)</f>
        <v>1</v>
      </c>
      <c r="G1421" s="1" t="str">
        <f>IFERROR(__xludf.DUMMYFUNCTION("""COMPUTED_VALUE"""),"PR059")</f>
        <v>PR059</v>
      </c>
      <c r="H1421" s="1" t="str">
        <f>IFERROR(__xludf.DUMMYFUNCTION("""COMPUTED_VALUE"""),"VD028")</f>
        <v>VD028</v>
      </c>
      <c r="I1421" s="1">
        <f>IFERROR(__xludf.DUMMYFUNCTION("""COMPUTED_VALUE"""),8.0)</f>
        <v>8</v>
      </c>
      <c r="J1421" s="1">
        <f>IFERROR(__xludf.DUMMYFUNCTION("""COMPUTED_VALUE"""),1440.0)</f>
        <v>1440</v>
      </c>
      <c r="K1421" s="1">
        <f>IFERROR(__xludf.DUMMYFUNCTION("""COMPUTED_VALUE"""),1440.0)</f>
        <v>1440</v>
      </c>
    </row>
    <row r="1422">
      <c r="A1422" s="1">
        <f>IFERROR(__xludf.DUMMYFUNCTION("""COMPUTED_VALUE"""),1000.0)</f>
        <v>1000</v>
      </c>
      <c r="B1422" s="1">
        <f>IFERROR(__xludf.DUMMYFUNCTION("""COMPUTED_VALUE"""),184492.0)</f>
        <v>184492</v>
      </c>
      <c r="C1422" s="1">
        <f>IFERROR(__xludf.DUMMYFUNCTION("""COMPUTED_VALUE"""),2026.0)</f>
        <v>2026</v>
      </c>
      <c r="D1422" s="1">
        <f>IFERROR(__xludf.DUMMYFUNCTION("""COMPUTED_VALUE"""),46090.0)</f>
        <v>46090</v>
      </c>
      <c r="E1422" s="1" t="str">
        <f>IFERROR(__xludf.DUMMYFUNCTION("""COMPUTED_VALUE"""),"VF")</f>
        <v>VF</v>
      </c>
      <c r="F1422" s="1">
        <f>IFERROR(__xludf.DUMMYFUNCTION("""COMPUTED_VALUE"""),1.0)</f>
        <v>1</v>
      </c>
      <c r="G1422" s="1" t="str">
        <f>IFERROR(__xludf.DUMMYFUNCTION("""COMPUTED_VALUE"""),"PR053")</f>
        <v>PR053</v>
      </c>
      <c r="H1422" s="1" t="str">
        <f>IFERROR(__xludf.DUMMYFUNCTION("""COMPUTED_VALUE"""),"VD031")</f>
        <v>VD031</v>
      </c>
      <c r="I1422" s="1">
        <f>IFERROR(__xludf.DUMMYFUNCTION("""COMPUTED_VALUE"""),6.0)</f>
        <v>6</v>
      </c>
      <c r="J1422" s="1">
        <f>IFERROR(__xludf.DUMMYFUNCTION("""COMPUTED_VALUE"""),329.34)</f>
        <v>329.34</v>
      </c>
      <c r="K1422" s="1">
        <f>IFERROR(__xludf.DUMMYFUNCTION("""COMPUTED_VALUE"""),329.34)</f>
        <v>329.34</v>
      </c>
    </row>
    <row r="1423">
      <c r="A1423" s="1">
        <f>IFERROR(__xludf.DUMMYFUNCTION("""COMPUTED_VALUE"""),2000.0)</f>
        <v>2000</v>
      </c>
      <c r="B1423" s="1">
        <f>IFERROR(__xludf.DUMMYFUNCTION("""COMPUTED_VALUE"""),184493.0)</f>
        <v>184493</v>
      </c>
      <c r="C1423" s="1">
        <f>IFERROR(__xludf.DUMMYFUNCTION("""COMPUTED_VALUE"""),2026.0)</f>
        <v>2026</v>
      </c>
      <c r="D1423" s="1">
        <f>IFERROR(__xludf.DUMMYFUNCTION("""COMPUTED_VALUE"""),46090.0)</f>
        <v>46090</v>
      </c>
      <c r="E1423" s="1" t="str">
        <f>IFERROR(__xludf.DUMMYFUNCTION("""COMPUTED_VALUE"""),"VF")</f>
        <v>VF</v>
      </c>
      <c r="F1423" s="1">
        <f>IFERROR(__xludf.DUMMYFUNCTION("""COMPUTED_VALUE"""),1.0)</f>
        <v>1</v>
      </c>
      <c r="G1423" s="1" t="str">
        <f>IFERROR(__xludf.DUMMYFUNCTION("""COMPUTED_VALUE"""),"PR005")</f>
        <v>PR005</v>
      </c>
      <c r="H1423" s="1" t="str">
        <f>IFERROR(__xludf.DUMMYFUNCTION("""COMPUTED_VALUE"""),"VD046")</f>
        <v>VD046</v>
      </c>
      <c r="I1423" s="1">
        <f>IFERROR(__xludf.DUMMYFUNCTION("""COMPUTED_VALUE"""),14.0)</f>
        <v>14</v>
      </c>
      <c r="J1423" s="1">
        <f>IFERROR(__xludf.DUMMYFUNCTION("""COMPUTED_VALUE"""),3674.99)</f>
        <v>3674.99</v>
      </c>
      <c r="K1423" s="1">
        <f>IFERROR(__xludf.DUMMYFUNCTION("""COMPUTED_VALUE"""),3674.99)</f>
        <v>3674.99</v>
      </c>
    </row>
    <row r="1424">
      <c r="A1424" s="1">
        <f>IFERROR(__xludf.DUMMYFUNCTION("""COMPUTED_VALUE"""),1000.0)</f>
        <v>1000</v>
      </c>
      <c r="B1424" s="1">
        <f>IFERROR(__xludf.DUMMYFUNCTION("""COMPUTED_VALUE"""),184494.0)</f>
        <v>184494</v>
      </c>
      <c r="C1424" s="1">
        <f>IFERROR(__xludf.DUMMYFUNCTION("""COMPUTED_VALUE"""),2026.0)</f>
        <v>2026</v>
      </c>
      <c r="D1424" s="1">
        <f>IFERROR(__xludf.DUMMYFUNCTION("""COMPUTED_VALUE"""),46090.0)</f>
        <v>46090</v>
      </c>
      <c r="E1424" s="1" t="str">
        <f>IFERROR(__xludf.DUMMYFUNCTION("""COMPUTED_VALUE"""),"VF")</f>
        <v>VF</v>
      </c>
      <c r="F1424" s="1">
        <f>IFERROR(__xludf.DUMMYFUNCTION("""COMPUTED_VALUE"""),1.0)</f>
        <v>1</v>
      </c>
      <c r="G1424" s="1" t="str">
        <f>IFERROR(__xludf.DUMMYFUNCTION("""COMPUTED_VALUE"""),"PR016")</f>
        <v>PR016</v>
      </c>
      <c r="H1424" s="1" t="str">
        <f>IFERROR(__xludf.DUMMYFUNCTION("""COMPUTED_VALUE"""),"VD047")</f>
        <v>VD047</v>
      </c>
      <c r="I1424" s="1">
        <f>IFERROR(__xludf.DUMMYFUNCTION("""COMPUTED_VALUE"""),6.0)</f>
        <v>6</v>
      </c>
      <c r="J1424" s="1">
        <f>IFERROR(__xludf.DUMMYFUNCTION("""COMPUTED_VALUE"""),158.51)</f>
        <v>158.51</v>
      </c>
      <c r="K1424" s="1">
        <f>IFERROR(__xludf.DUMMYFUNCTION("""COMPUTED_VALUE"""),158.51)</f>
        <v>158.51</v>
      </c>
    </row>
    <row r="1425">
      <c r="A1425" s="1">
        <f>IFERROR(__xludf.DUMMYFUNCTION("""COMPUTED_VALUE"""),1000.0)</f>
        <v>1000</v>
      </c>
      <c r="B1425" s="1">
        <f>IFERROR(__xludf.DUMMYFUNCTION("""COMPUTED_VALUE"""),184495.0)</f>
        <v>184495</v>
      </c>
      <c r="C1425" s="1">
        <f>IFERROR(__xludf.DUMMYFUNCTION("""COMPUTED_VALUE"""),2026.0)</f>
        <v>2026</v>
      </c>
      <c r="D1425" s="1">
        <f>IFERROR(__xludf.DUMMYFUNCTION("""COMPUTED_VALUE"""),46090.0)</f>
        <v>46090</v>
      </c>
      <c r="E1425" s="1" t="str">
        <f>IFERROR(__xludf.DUMMYFUNCTION("""COMPUTED_VALUE"""),"VF")</f>
        <v>VF</v>
      </c>
      <c r="F1425" s="1">
        <f>IFERROR(__xludf.DUMMYFUNCTION("""COMPUTED_VALUE"""),1.0)</f>
        <v>1</v>
      </c>
      <c r="G1425" s="1" t="str">
        <f>IFERROR(__xludf.DUMMYFUNCTION("""COMPUTED_VALUE"""),"PR019")</f>
        <v>PR019</v>
      </c>
      <c r="H1425" s="1" t="str">
        <f>IFERROR(__xludf.DUMMYFUNCTION("""COMPUTED_VALUE"""),"VD023")</f>
        <v>VD023</v>
      </c>
      <c r="I1425" s="1">
        <f>IFERROR(__xludf.DUMMYFUNCTION("""COMPUTED_VALUE"""),8.0)</f>
        <v>8</v>
      </c>
      <c r="J1425" s="1">
        <f>IFERROR(__xludf.DUMMYFUNCTION("""COMPUTED_VALUE"""),407.18)</f>
        <v>407.18</v>
      </c>
      <c r="K1425" s="1">
        <f>IFERROR(__xludf.DUMMYFUNCTION("""COMPUTED_VALUE"""),407.18)</f>
        <v>407.18</v>
      </c>
    </row>
    <row r="1426">
      <c r="A1426" s="1">
        <f>IFERROR(__xludf.DUMMYFUNCTION("""COMPUTED_VALUE"""),1000.0)</f>
        <v>1000</v>
      </c>
      <c r="B1426" s="1">
        <f>IFERROR(__xludf.DUMMYFUNCTION("""COMPUTED_VALUE"""),184496.0)</f>
        <v>184496</v>
      </c>
      <c r="C1426" s="1">
        <f>IFERROR(__xludf.DUMMYFUNCTION("""COMPUTED_VALUE"""),2026.0)</f>
        <v>2026</v>
      </c>
      <c r="D1426" s="1">
        <f>IFERROR(__xludf.DUMMYFUNCTION("""COMPUTED_VALUE"""),46089.0)</f>
        <v>46089</v>
      </c>
      <c r="E1426" s="1" t="str">
        <f>IFERROR(__xludf.DUMMYFUNCTION("""COMPUTED_VALUE"""),"VF")</f>
        <v>VF</v>
      </c>
      <c r="F1426" s="1">
        <f>IFERROR(__xludf.DUMMYFUNCTION("""COMPUTED_VALUE"""),1.0)</f>
        <v>1</v>
      </c>
      <c r="G1426" s="1" t="str">
        <f>IFERROR(__xludf.DUMMYFUNCTION("""COMPUTED_VALUE"""),"PR049")</f>
        <v>PR049</v>
      </c>
      <c r="H1426" s="1" t="str">
        <f>IFERROR(__xludf.DUMMYFUNCTION("""COMPUTED_VALUE"""),"VD028")</f>
        <v>VD028</v>
      </c>
      <c r="I1426" s="1">
        <f>IFERROR(__xludf.DUMMYFUNCTION("""COMPUTED_VALUE"""),2.0)</f>
        <v>2</v>
      </c>
      <c r="J1426" s="1">
        <f>IFERROR(__xludf.DUMMYFUNCTION("""COMPUTED_VALUE"""),69.75)</f>
        <v>69.75</v>
      </c>
      <c r="K1426" s="1">
        <f>IFERROR(__xludf.DUMMYFUNCTION("""COMPUTED_VALUE"""),69.75)</f>
        <v>69.75</v>
      </c>
    </row>
    <row r="1427">
      <c r="A1427" s="1">
        <f>IFERROR(__xludf.DUMMYFUNCTION("""COMPUTED_VALUE"""),1000.0)</f>
        <v>1000</v>
      </c>
      <c r="B1427" s="1">
        <f>IFERROR(__xludf.DUMMYFUNCTION("""COMPUTED_VALUE"""),184496.0)</f>
        <v>184496</v>
      </c>
      <c r="C1427" s="1">
        <f>IFERROR(__xludf.DUMMYFUNCTION("""COMPUTED_VALUE"""),2026.0)</f>
        <v>2026</v>
      </c>
      <c r="D1427" s="1">
        <f>IFERROR(__xludf.DUMMYFUNCTION("""COMPUTED_VALUE"""),46089.0)</f>
        <v>46089</v>
      </c>
      <c r="E1427" s="1" t="str">
        <f>IFERROR(__xludf.DUMMYFUNCTION("""COMPUTED_VALUE"""),"VF")</f>
        <v>VF</v>
      </c>
      <c r="F1427" s="1">
        <f>IFERROR(__xludf.DUMMYFUNCTION("""COMPUTED_VALUE"""),2.0)</f>
        <v>2</v>
      </c>
      <c r="G1427" s="1" t="str">
        <f>IFERROR(__xludf.DUMMYFUNCTION("""COMPUTED_VALUE"""),"PR036")</f>
        <v>PR036</v>
      </c>
      <c r="H1427" s="1" t="str">
        <f>IFERROR(__xludf.DUMMYFUNCTION("""COMPUTED_VALUE"""),"VD043")</f>
        <v>VD043</v>
      </c>
      <c r="I1427" s="1">
        <f>IFERROR(__xludf.DUMMYFUNCTION("""COMPUTED_VALUE"""),4.0)</f>
        <v>4</v>
      </c>
      <c r="J1427" s="1">
        <f>IFERROR(__xludf.DUMMYFUNCTION("""COMPUTED_VALUE"""),381.48)</f>
        <v>381.48</v>
      </c>
      <c r="K1427" s="1">
        <f>IFERROR(__xludf.DUMMYFUNCTION("""COMPUTED_VALUE"""),381.48)</f>
        <v>381.48</v>
      </c>
    </row>
    <row r="1428">
      <c r="A1428" s="1">
        <f>IFERROR(__xludf.DUMMYFUNCTION("""COMPUTED_VALUE"""),1000.0)</f>
        <v>1000</v>
      </c>
      <c r="B1428" s="1">
        <f>IFERROR(__xludf.DUMMYFUNCTION("""COMPUTED_VALUE"""),184497.0)</f>
        <v>184497</v>
      </c>
      <c r="C1428" s="1">
        <f>IFERROR(__xludf.DUMMYFUNCTION("""COMPUTED_VALUE"""),2026.0)</f>
        <v>2026</v>
      </c>
      <c r="D1428" s="1">
        <f>IFERROR(__xludf.DUMMYFUNCTION("""COMPUTED_VALUE"""),46088.0)</f>
        <v>46088</v>
      </c>
      <c r="E1428" s="1" t="str">
        <f>IFERROR(__xludf.DUMMYFUNCTION("""COMPUTED_VALUE"""),"VF")</f>
        <v>VF</v>
      </c>
      <c r="F1428" s="1">
        <f>IFERROR(__xludf.DUMMYFUNCTION("""COMPUTED_VALUE"""),1.0)</f>
        <v>1</v>
      </c>
      <c r="G1428" s="1" t="str">
        <f>IFERROR(__xludf.DUMMYFUNCTION("""COMPUTED_VALUE"""),"PR027")</f>
        <v>PR027</v>
      </c>
      <c r="H1428" s="1" t="str">
        <f>IFERROR(__xludf.DUMMYFUNCTION("""COMPUTED_VALUE"""),"VD019")</f>
        <v>VD019</v>
      </c>
      <c r="I1428" s="1">
        <f>IFERROR(__xludf.DUMMYFUNCTION("""COMPUTED_VALUE"""),1.0)</f>
        <v>1</v>
      </c>
      <c r="J1428" s="1">
        <f>IFERROR(__xludf.DUMMYFUNCTION("""COMPUTED_VALUE"""),122.4)</f>
        <v>122.4</v>
      </c>
      <c r="K1428" s="1">
        <f>IFERROR(__xludf.DUMMYFUNCTION("""COMPUTED_VALUE"""),122.4)</f>
        <v>122.4</v>
      </c>
    </row>
    <row r="1429">
      <c r="A1429" s="1">
        <f>IFERROR(__xludf.DUMMYFUNCTION("""COMPUTED_VALUE"""),1000.0)</f>
        <v>1000</v>
      </c>
      <c r="B1429" s="1">
        <f>IFERROR(__xludf.DUMMYFUNCTION("""COMPUTED_VALUE"""),184498.0)</f>
        <v>184498</v>
      </c>
      <c r="C1429" s="1">
        <f>IFERROR(__xludf.DUMMYFUNCTION("""COMPUTED_VALUE"""),2026.0)</f>
        <v>2026</v>
      </c>
      <c r="D1429" s="1">
        <f>IFERROR(__xludf.DUMMYFUNCTION("""COMPUTED_VALUE"""),46088.0)</f>
        <v>46088</v>
      </c>
      <c r="E1429" s="1" t="str">
        <f>IFERROR(__xludf.DUMMYFUNCTION("""COMPUTED_VALUE"""),"VF")</f>
        <v>VF</v>
      </c>
      <c r="F1429" s="1">
        <f>IFERROR(__xludf.DUMMYFUNCTION("""COMPUTED_VALUE"""),1.0)</f>
        <v>1</v>
      </c>
      <c r="G1429" s="1" t="str">
        <f>IFERROR(__xludf.DUMMYFUNCTION("""COMPUTED_VALUE"""),"PR028")</f>
        <v>PR028</v>
      </c>
      <c r="H1429" s="1" t="str">
        <f>IFERROR(__xludf.DUMMYFUNCTION("""COMPUTED_VALUE"""),"VD020")</f>
        <v>VD020</v>
      </c>
      <c r="I1429" s="1">
        <f>IFERROR(__xludf.DUMMYFUNCTION("""COMPUTED_VALUE"""),14.0)</f>
        <v>14</v>
      </c>
      <c r="J1429" s="1">
        <f>IFERROR(__xludf.DUMMYFUNCTION("""COMPUTED_VALUE"""),3533.59)</f>
        <v>3533.59</v>
      </c>
      <c r="K1429" s="1">
        <f>IFERROR(__xludf.DUMMYFUNCTION("""COMPUTED_VALUE"""),3533.59)</f>
        <v>3533.59</v>
      </c>
    </row>
    <row r="1430">
      <c r="A1430" s="1">
        <f>IFERROR(__xludf.DUMMYFUNCTION("""COMPUTED_VALUE"""),1000.0)</f>
        <v>1000</v>
      </c>
      <c r="B1430" s="1">
        <f>IFERROR(__xludf.DUMMYFUNCTION("""COMPUTED_VALUE"""),184499.0)</f>
        <v>184499</v>
      </c>
      <c r="C1430" s="1">
        <f>IFERROR(__xludf.DUMMYFUNCTION("""COMPUTED_VALUE"""),2026.0)</f>
        <v>2026</v>
      </c>
      <c r="D1430" s="1">
        <f>IFERROR(__xludf.DUMMYFUNCTION("""COMPUTED_VALUE"""),46088.0)</f>
        <v>46088</v>
      </c>
      <c r="E1430" s="1" t="str">
        <f>IFERROR(__xludf.DUMMYFUNCTION("""COMPUTED_VALUE"""),"VF")</f>
        <v>VF</v>
      </c>
      <c r="F1430" s="1">
        <f>IFERROR(__xludf.DUMMYFUNCTION("""COMPUTED_VALUE"""),1.0)</f>
        <v>1</v>
      </c>
      <c r="G1430" s="1" t="str">
        <f>IFERROR(__xludf.DUMMYFUNCTION("""COMPUTED_VALUE"""),"PR022")</f>
        <v>PR022</v>
      </c>
      <c r="H1430" s="1" t="str">
        <f>IFERROR(__xludf.DUMMYFUNCTION("""COMPUTED_VALUE"""),"VD010")</f>
        <v>VD010</v>
      </c>
      <c r="I1430" s="1">
        <f>IFERROR(__xludf.DUMMYFUNCTION("""COMPUTED_VALUE"""),20.0)</f>
        <v>20</v>
      </c>
      <c r="J1430" s="1">
        <f>IFERROR(__xludf.DUMMYFUNCTION("""COMPUTED_VALUE"""),6060.0)</f>
        <v>6060</v>
      </c>
      <c r="K1430" s="1">
        <f>IFERROR(__xludf.DUMMYFUNCTION("""COMPUTED_VALUE"""),6060.0)</f>
        <v>6060</v>
      </c>
    </row>
    <row r="1431">
      <c r="A1431" s="1">
        <f>IFERROR(__xludf.DUMMYFUNCTION("""COMPUTED_VALUE"""),2000.0)</f>
        <v>2000</v>
      </c>
      <c r="B1431" s="1">
        <f>IFERROR(__xludf.DUMMYFUNCTION("""COMPUTED_VALUE"""),184500.0)</f>
        <v>184500</v>
      </c>
      <c r="C1431" s="1">
        <f>IFERROR(__xludf.DUMMYFUNCTION("""COMPUTED_VALUE"""),2026.0)</f>
        <v>2026</v>
      </c>
      <c r="D1431" s="1">
        <f>IFERROR(__xludf.DUMMYFUNCTION("""COMPUTED_VALUE"""),46088.0)</f>
        <v>46088</v>
      </c>
      <c r="E1431" s="1" t="str">
        <f>IFERROR(__xludf.DUMMYFUNCTION("""COMPUTED_VALUE"""),"VF")</f>
        <v>VF</v>
      </c>
      <c r="F1431" s="1">
        <f>IFERROR(__xludf.DUMMYFUNCTION("""COMPUTED_VALUE"""),1.0)</f>
        <v>1</v>
      </c>
      <c r="G1431" s="1" t="str">
        <f>IFERROR(__xludf.DUMMYFUNCTION("""COMPUTED_VALUE"""),"PR059")</f>
        <v>PR059</v>
      </c>
      <c r="H1431" s="1" t="str">
        <f>IFERROR(__xludf.DUMMYFUNCTION("""COMPUTED_VALUE"""),"VD010")</f>
        <v>VD010</v>
      </c>
      <c r="I1431" s="1">
        <f>IFERROR(__xludf.DUMMYFUNCTION("""COMPUTED_VALUE"""),8.0)</f>
        <v>8</v>
      </c>
      <c r="J1431" s="1">
        <f>IFERROR(__xludf.DUMMYFUNCTION("""COMPUTED_VALUE"""),1584.0)</f>
        <v>1584</v>
      </c>
      <c r="K1431" s="1">
        <f>IFERROR(__xludf.DUMMYFUNCTION("""COMPUTED_VALUE"""),1584.0)</f>
        <v>1584</v>
      </c>
    </row>
    <row r="1432">
      <c r="A1432" s="1">
        <f>IFERROR(__xludf.DUMMYFUNCTION("""COMPUTED_VALUE"""),1000.0)</f>
        <v>1000</v>
      </c>
      <c r="B1432" s="1">
        <f>IFERROR(__xludf.DUMMYFUNCTION("""COMPUTED_VALUE"""),184501.0)</f>
        <v>184501</v>
      </c>
      <c r="C1432" s="1">
        <f>IFERROR(__xludf.DUMMYFUNCTION("""COMPUTED_VALUE"""),2026.0)</f>
        <v>2026</v>
      </c>
      <c r="D1432" s="1">
        <f>IFERROR(__xludf.DUMMYFUNCTION("""COMPUTED_VALUE"""),46087.0)</f>
        <v>46087</v>
      </c>
      <c r="E1432" s="1" t="str">
        <f>IFERROR(__xludf.DUMMYFUNCTION("""COMPUTED_VALUE"""),"VF")</f>
        <v>VF</v>
      </c>
      <c r="F1432" s="1">
        <f>IFERROR(__xludf.DUMMYFUNCTION("""COMPUTED_VALUE"""),1.0)</f>
        <v>1</v>
      </c>
      <c r="G1432" s="1" t="str">
        <f>IFERROR(__xludf.DUMMYFUNCTION("""COMPUTED_VALUE"""),"PR059")</f>
        <v>PR059</v>
      </c>
      <c r="H1432" s="1" t="str">
        <f>IFERROR(__xludf.DUMMYFUNCTION("""COMPUTED_VALUE"""),"VD029")</f>
        <v>VD029</v>
      </c>
      <c r="I1432" s="1">
        <f>IFERROR(__xludf.DUMMYFUNCTION("""COMPUTED_VALUE"""),18.0)</f>
        <v>18</v>
      </c>
      <c r="J1432" s="1">
        <f>IFERROR(__xludf.DUMMYFUNCTION("""COMPUTED_VALUE"""),3564.0)</f>
        <v>3564</v>
      </c>
      <c r="K1432" s="1">
        <f>IFERROR(__xludf.DUMMYFUNCTION("""COMPUTED_VALUE"""),3564.0)</f>
        <v>3564</v>
      </c>
    </row>
    <row r="1433">
      <c r="A1433" s="1">
        <f>IFERROR(__xludf.DUMMYFUNCTION("""COMPUTED_VALUE"""),1000.0)</f>
        <v>1000</v>
      </c>
      <c r="B1433" s="1">
        <f>IFERROR(__xludf.DUMMYFUNCTION("""COMPUTED_VALUE"""),184501.0)</f>
        <v>184501</v>
      </c>
      <c r="C1433" s="1">
        <f>IFERROR(__xludf.DUMMYFUNCTION("""COMPUTED_VALUE"""),2026.0)</f>
        <v>2026</v>
      </c>
      <c r="D1433" s="1">
        <f>IFERROR(__xludf.DUMMYFUNCTION("""COMPUTED_VALUE"""),46087.0)</f>
        <v>46087</v>
      </c>
      <c r="E1433" s="1" t="str">
        <f>IFERROR(__xludf.DUMMYFUNCTION("""COMPUTED_VALUE"""),"VF")</f>
        <v>VF</v>
      </c>
      <c r="F1433" s="1">
        <f>IFERROR(__xludf.DUMMYFUNCTION("""COMPUTED_VALUE"""),2.0)</f>
        <v>2</v>
      </c>
      <c r="G1433" s="1" t="str">
        <f>IFERROR(__xludf.DUMMYFUNCTION("""COMPUTED_VALUE"""),"PR056")</f>
        <v>PR056</v>
      </c>
      <c r="H1433" s="1" t="str">
        <f>IFERROR(__xludf.DUMMYFUNCTION("""COMPUTED_VALUE"""),"VD011")</f>
        <v>VD011</v>
      </c>
      <c r="I1433" s="1">
        <f>IFERROR(__xludf.DUMMYFUNCTION("""COMPUTED_VALUE"""),12.0)</f>
        <v>12</v>
      </c>
      <c r="J1433" s="1">
        <f>IFERROR(__xludf.DUMMYFUNCTION("""COMPUTED_VALUE"""),1121.95)</f>
        <v>1121.95</v>
      </c>
      <c r="K1433" s="1">
        <f>IFERROR(__xludf.DUMMYFUNCTION("""COMPUTED_VALUE"""),1121.95)</f>
        <v>1121.95</v>
      </c>
    </row>
    <row r="1434">
      <c r="A1434" s="1">
        <f>IFERROR(__xludf.DUMMYFUNCTION("""COMPUTED_VALUE"""),1000.0)</f>
        <v>1000</v>
      </c>
      <c r="B1434" s="1">
        <f>IFERROR(__xludf.DUMMYFUNCTION("""COMPUTED_VALUE"""),184502.0)</f>
        <v>184502</v>
      </c>
      <c r="C1434" s="1">
        <f>IFERROR(__xludf.DUMMYFUNCTION("""COMPUTED_VALUE"""),2026.0)</f>
        <v>2026</v>
      </c>
      <c r="D1434" s="1">
        <f>IFERROR(__xludf.DUMMYFUNCTION("""COMPUTED_VALUE"""),46087.0)</f>
        <v>46087</v>
      </c>
      <c r="E1434" s="1" t="str">
        <f>IFERROR(__xludf.DUMMYFUNCTION("""COMPUTED_VALUE"""),"VF")</f>
        <v>VF</v>
      </c>
      <c r="F1434" s="1">
        <f>IFERROR(__xludf.DUMMYFUNCTION("""COMPUTED_VALUE"""),1.0)</f>
        <v>1</v>
      </c>
      <c r="G1434" s="1" t="str">
        <f>IFERROR(__xludf.DUMMYFUNCTION("""COMPUTED_VALUE"""),"PR033")</f>
        <v>PR033</v>
      </c>
      <c r="H1434" s="1" t="str">
        <f>IFERROR(__xludf.DUMMYFUNCTION("""COMPUTED_VALUE"""),"VD027")</f>
        <v>VD027</v>
      </c>
      <c r="I1434" s="1">
        <f>IFERROR(__xludf.DUMMYFUNCTION("""COMPUTED_VALUE"""),6.0)</f>
        <v>6</v>
      </c>
      <c r="J1434" s="1">
        <f>IFERROR(__xludf.DUMMYFUNCTION("""COMPUTED_VALUE"""),1699.75)</f>
        <v>1699.75</v>
      </c>
      <c r="K1434" s="1">
        <f>IFERROR(__xludf.DUMMYFUNCTION("""COMPUTED_VALUE"""),1699.75)</f>
        <v>1699.75</v>
      </c>
    </row>
    <row r="1435">
      <c r="A1435" s="1">
        <f>IFERROR(__xludf.DUMMYFUNCTION("""COMPUTED_VALUE"""),1000.0)</f>
        <v>1000</v>
      </c>
      <c r="B1435" s="1">
        <f>IFERROR(__xludf.DUMMYFUNCTION("""COMPUTED_VALUE"""),184502.0)</f>
        <v>184502</v>
      </c>
      <c r="C1435" s="1">
        <f>IFERROR(__xludf.DUMMYFUNCTION("""COMPUTED_VALUE"""),2026.0)</f>
        <v>2026</v>
      </c>
      <c r="D1435" s="1">
        <f>IFERROR(__xludf.DUMMYFUNCTION("""COMPUTED_VALUE"""),46086.0)</f>
        <v>46086</v>
      </c>
      <c r="E1435" s="1" t="str">
        <f>IFERROR(__xludf.DUMMYFUNCTION("""COMPUTED_VALUE"""),"VF")</f>
        <v>VF</v>
      </c>
      <c r="F1435" s="1">
        <f>IFERROR(__xludf.DUMMYFUNCTION("""COMPUTED_VALUE"""),2.0)</f>
        <v>2</v>
      </c>
      <c r="G1435" s="1" t="str">
        <f>IFERROR(__xludf.DUMMYFUNCTION("""COMPUTED_VALUE"""),"PR021")</f>
        <v>PR021</v>
      </c>
      <c r="H1435" s="1" t="str">
        <f>IFERROR(__xludf.DUMMYFUNCTION("""COMPUTED_VALUE"""),"VD038")</f>
        <v>VD038</v>
      </c>
      <c r="I1435" s="1">
        <f>IFERROR(__xludf.DUMMYFUNCTION("""COMPUTED_VALUE"""),2.0)</f>
        <v>2</v>
      </c>
      <c r="J1435" s="1">
        <f>IFERROR(__xludf.DUMMYFUNCTION("""COMPUTED_VALUE"""),605.8)</f>
        <v>605.8</v>
      </c>
      <c r="K1435" s="1">
        <f>IFERROR(__xludf.DUMMYFUNCTION("""COMPUTED_VALUE"""),605.8)</f>
        <v>605.8</v>
      </c>
    </row>
    <row r="1436">
      <c r="A1436" s="1">
        <f>IFERROR(__xludf.DUMMYFUNCTION("""COMPUTED_VALUE"""),1000.0)</f>
        <v>1000</v>
      </c>
      <c r="B1436" s="1">
        <f>IFERROR(__xludf.DUMMYFUNCTION("""COMPUTED_VALUE"""),184503.0)</f>
        <v>184503</v>
      </c>
      <c r="C1436" s="1">
        <f>IFERROR(__xludf.DUMMYFUNCTION("""COMPUTED_VALUE"""),2026.0)</f>
        <v>2026</v>
      </c>
      <c r="D1436" s="1">
        <f>IFERROR(__xludf.DUMMYFUNCTION("""COMPUTED_VALUE"""),46086.0)</f>
        <v>46086</v>
      </c>
      <c r="E1436" s="1" t="str">
        <f>IFERROR(__xludf.DUMMYFUNCTION("""COMPUTED_VALUE"""),"VF")</f>
        <v>VF</v>
      </c>
      <c r="F1436" s="1">
        <f>IFERROR(__xludf.DUMMYFUNCTION("""COMPUTED_VALUE"""),1.0)</f>
        <v>1</v>
      </c>
      <c r="G1436" s="1" t="str">
        <f>IFERROR(__xludf.DUMMYFUNCTION("""COMPUTED_VALUE"""),"PR045")</f>
        <v>PR045</v>
      </c>
      <c r="H1436" s="1" t="str">
        <f>IFERROR(__xludf.DUMMYFUNCTION("""COMPUTED_VALUE"""),"VD018")</f>
        <v>VD018</v>
      </c>
      <c r="I1436" s="1">
        <f>IFERROR(__xludf.DUMMYFUNCTION("""COMPUTED_VALUE"""),6.0)</f>
        <v>6</v>
      </c>
      <c r="J1436" s="1">
        <f>IFERROR(__xludf.DUMMYFUNCTION("""COMPUTED_VALUE"""),443.7)</f>
        <v>443.7</v>
      </c>
      <c r="K1436" s="1">
        <f>IFERROR(__xludf.DUMMYFUNCTION("""COMPUTED_VALUE"""),443.7)</f>
        <v>443.7</v>
      </c>
    </row>
    <row r="1437">
      <c r="A1437" s="1">
        <f>IFERROR(__xludf.DUMMYFUNCTION("""COMPUTED_VALUE"""),1000.0)</f>
        <v>1000</v>
      </c>
      <c r="B1437" s="1">
        <f>IFERROR(__xludf.DUMMYFUNCTION("""COMPUTED_VALUE"""),184504.0)</f>
        <v>184504</v>
      </c>
      <c r="C1437" s="1">
        <f>IFERROR(__xludf.DUMMYFUNCTION("""COMPUTED_VALUE"""),2026.0)</f>
        <v>2026</v>
      </c>
      <c r="D1437" s="1">
        <f>IFERROR(__xludf.DUMMYFUNCTION("""COMPUTED_VALUE"""),46086.0)</f>
        <v>46086</v>
      </c>
      <c r="E1437" s="1" t="str">
        <f>IFERROR(__xludf.DUMMYFUNCTION("""COMPUTED_VALUE"""),"VF")</f>
        <v>VF</v>
      </c>
      <c r="F1437" s="1">
        <f>IFERROR(__xludf.DUMMYFUNCTION("""COMPUTED_VALUE"""),1.0)</f>
        <v>1</v>
      </c>
      <c r="G1437" s="1" t="str">
        <f>IFERROR(__xludf.DUMMYFUNCTION("""COMPUTED_VALUE"""),"PR055")</f>
        <v>PR055</v>
      </c>
      <c r="H1437" s="1" t="str">
        <f>IFERROR(__xludf.DUMMYFUNCTION("""COMPUTED_VALUE"""),"VD019")</f>
        <v>VD019</v>
      </c>
      <c r="I1437" s="1">
        <f>IFERROR(__xludf.DUMMYFUNCTION("""COMPUTED_VALUE"""),6.0)</f>
        <v>6</v>
      </c>
      <c r="J1437" s="1">
        <f>IFERROR(__xludf.DUMMYFUNCTION("""COMPUTED_VALUE"""),560.98)</f>
        <v>560.98</v>
      </c>
      <c r="K1437" s="1">
        <f>IFERROR(__xludf.DUMMYFUNCTION("""COMPUTED_VALUE"""),560.98)</f>
        <v>560.98</v>
      </c>
    </row>
    <row r="1438">
      <c r="A1438" s="1">
        <f>IFERROR(__xludf.DUMMYFUNCTION("""COMPUTED_VALUE"""),1000.0)</f>
        <v>1000</v>
      </c>
      <c r="B1438" s="1">
        <f>IFERROR(__xludf.DUMMYFUNCTION("""COMPUTED_VALUE"""),184504.0)</f>
        <v>184504</v>
      </c>
      <c r="C1438" s="1">
        <f>IFERROR(__xludf.DUMMYFUNCTION("""COMPUTED_VALUE"""),2026.0)</f>
        <v>2026</v>
      </c>
      <c r="D1438" s="1">
        <f>IFERROR(__xludf.DUMMYFUNCTION("""COMPUTED_VALUE"""),46086.0)</f>
        <v>46086</v>
      </c>
      <c r="E1438" s="1" t="str">
        <f>IFERROR(__xludf.DUMMYFUNCTION("""COMPUTED_VALUE"""),"VF")</f>
        <v>VF</v>
      </c>
      <c r="F1438" s="1">
        <f>IFERROR(__xludf.DUMMYFUNCTION("""COMPUTED_VALUE"""),2.0)</f>
        <v>2</v>
      </c>
      <c r="G1438" s="1" t="str">
        <f>IFERROR(__xludf.DUMMYFUNCTION("""COMPUTED_VALUE"""),"PR017")</f>
        <v>PR017</v>
      </c>
      <c r="H1438" s="1" t="str">
        <f>IFERROR(__xludf.DUMMYFUNCTION("""COMPUTED_VALUE"""),"VD013")</f>
        <v>VD013</v>
      </c>
      <c r="I1438" s="1">
        <f>IFERROR(__xludf.DUMMYFUNCTION("""COMPUTED_VALUE"""),9.0)</f>
        <v>9</v>
      </c>
      <c r="J1438" s="1">
        <f>IFERROR(__xludf.DUMMYFUNCTION("""COMPUTED_VALUE"""),282.56)</f>
        <v>282.56</v>
      </c>
      <c r="K1438" s="1">
        <f>IFERROR(__xludf.DUMMYFUNCTION("""COMPUTED_VALUE"""),282.56)</f>
        <v>282.56</v>
      </c>
    </row>
    <row r="1439">
      <c r="A1439" s="1">
        <f>IFERROR(__xludf.DUMMYFUNCTION("""COMPUTED_VALUE"""),1000.0)</f>
        <v>1000</v>
      </c>
      <c r="B1439" s="1">
        <f>IFERROR(__xludf.DUMMYFUNCTION("""COMPUTED_VALUE"""),184504.0)</f>
        <v>184504</v>
      </c>
      <c r="C1439" s="1">
        <f>IFERROR(__xludf.DUMMYFUNCTION("""COMPUTED_VALUE"""),2026.0)</f>
        <v>2026</v>
      </c>
      <c r="D1439" s="1">
        <f>IFERROR(__xludf.DUMMYFUNCTION("""COMPUTED_VALUE"""),46085.0)</f>
        <v>46085</v>
      </c>
      <c r="E1439" s="1" t="str">
        <f>IFERROR(__xludf.DUMMYFUNCTION("""COMPUTED_VALUE"""),"VF")</f>
        <v>VF</v>
      </c>
      <c r="F1439" s="1">
        <f>IFERROR(__xludf.DUMMYFUNCTION("""COMPUTED_VALUE"""),3.0)</f>
        <v>3</v>
      </c>
      <c r="G1439" s="1" t="str">
        <f>IFERROR(__xludf.DUMMYFUNCTION("""COMPUTED_VALUE"""),"PR039")</f>
        <v>PR039</v>
      </c>
      <c r="H1439" s="1" t="str">
        <f>IFERROR(__xludf.DUMMYFUNCTION("""COMPUTED_VALUE"""),"VD040")</f>
        <v>VD040</v>
      </c>
      <c r="I1439" s="1">
        <f>IFERROR(__xludf.DUMMYFUNCTION("""COMPUTED_VALUE"""),4.0)</f>
        <v>4</v>
      </c>
      <c r="J1439" s="1">
        <f>IFERROR(__xludf.DUMMYFUNCTION("""COMPUTED_VALUE"""),601.52)</f>
        <v>601.52</v>
      </c>
      <c r="K1439" s="1">
        <f>IFERROR(__xludf.DUMMYFUNCTION("""COMPUTED_VALUE"""),601.52)</f>
        <v>601.52</v>
      </c>
    </row>
    <row r="1440">
      <c r="A1440" s="1">
        <f>IFERROR(__xludf.DUMMYFUNCTION("""COMPUTED_VALUE"""),2000.0)</f>
        <v>2000</v>
      </c>
      <c r="B1440" s="1">
        <f>IFERROR(__xludf.DUMMYFUNCTION("""COMPUTED_VALUE"""),184505.0)</f>
        <v>184505</v>
      </c>
      <c r="C1440" s="1">
        <f>IFERROR(__xludf.DUMMYFUNCTION("""COMPUTED_VALUE"""),2026.0)</f>
        <v>2026</v>
      </c>
      <c r="D1440" s="1">
        <f>IFERROR(__xludf.DUMMYFUNCTION("""COMPUTED_VALUE"""),46085.0)</f>
        <v>46085</v>
      </c>
      <c r="E1440" s="1" t="str">
        <f>IFERROR(__xludf.DUMMYFUNCTION("""COMPUTED_VALUE"""),"VF")</f>
        <v>VF</v>
      </c>
      <c r="F1440" s="1">
        <f>IFERROR(__xludf.DUMMYFUNCTION("""COMPUTED_VALUE"""),1.0)</f>
        <v>1</v>
      </c>
      <c r="G1440" s="1" t="str">
        <f>IFERROR(__xludf.DUMMYFUNCTION("""COMPUTED_VALUE"""),"PR060")</f>
        <v>PR060</v>
      </c>
      <c r="H1440" s="1" t="str">
        <f>IFERROR(__xludf.DUMMYFUNCTION("""COMPUTED_VALUE"""),"VD037")</f>
        <v>VD037</v>
      </c>
      <c r="I1440" s="1">
        <f>IFERROR(__xludf.DUMMYFUNCTION("""COMPUTED_VALUE"""),10.0)</f>
        <v>10</v>
      </c>
      <c r="J1440" s="1">
        <f>IFERROR(__xludf.DUMMYFUNCTION("""COMPUTED_VALUE"""),1818.0)</f>
        <v>1818</v>
      </c>
      <c r="K1440" s="1">
        <f>IFERROR(__xludf.DUMMYFUNCTION("""COMPUTED_VALUE"""),1818.0)</f>
        <v>1818</v>
      </c>
    </row>
    <row r="1441">
      <c r="A1441" s="1">
        <f>IFERROR(__xludf.DUMMYFUNCTION("""COMPUTED_VALUE"""),1000.0)</f>
        <v>1000</v>
      </c>
      <c r="B1441" s="1">
        <f>IFERROR(__xludf.DUMMYFUNCTION("""COMPUTED_VALUE"""),184506.0)</f>
        <v>184506</v>
      </c>
      <c r="C1441" s="1">
        <f>IFERROR(__xludf.DUMMYFUNCTION("""COMPUTED_VALUE"""),2026.0)</f>
        <v>2026</v>
      </c>
      <c r="D1441" s="1">
        <f>IFERROR(__xludf.DUMMYFUNCTION("""COMPUTED_VALUE"""),46084.0)</f>
        <v>46084</v>
      </c>
      <c r="E1441" s="1" t="str">
        <f>IFERROR(__xludf.DUMMYFUNCTION("""COMPUTED_VALUE"""),"VF")</f>
        <v>VF</v>
      </c>
      <c r="F1441" s="1">
        <f>IFERROR(__xludf.DUMMYFUNCTION("""COMPUTED_VALUE"""),1.0)</f>
        <v>1</v>
      </c>
      <c r="G1441" s="1" t="str">
        <f>IFERROR(__xludf.DUMMYFUNCTION("""COMPUTED_VALUE"""),"PR029")</f>
        <v>PR029</v>
      </c>
      <c r="H1441" s="1" t="str">
        <f>IFERROR(__xludf.DUMMYFUNCTION("""COMPUTED_VALUE"""),"VD013")</f>
        <v>VD013</v>
      </c>
      <c r="I1441" s="1">
        <f>IFERROR(__xludf.DUMMYFUNCTION("""COMPUTED_VALUE"""),7.0)</f>
        <v>7</v>
      </c>
      <c r="J1441" s="1">
        <f>IFERROR(__xludf.DUMMYFUNCTION("""COMPUTED_VALUE"""),1963.5)</f>
        <v>1963.5</v>
      </c>
      <c r="K1441" s="1">
        <f>IFERROR(__xludf.DUMMYFUNCTION("""COMPUTED_VALUE"""),1963.5)</f>
        <v>1963.5</v>
      </c>
    </row>
    <row r="1442">
      <c r="A1442" s="1">
        <f>IFERROR(__xludf.DUMMYFUNCTION("""COMPUTED_VALUE"""),2000.0)</f>
        <v>2000</v>
      </c>
      <c r="B1442" s="1">
        <f>IFERROR(__xludf.DUMMYFUNCTION("""COMPUTED_VALUE"""),184507.0)</f>
        <v>184507</v>
      </c>
      <c r="C1442" s="1">
        <f>IFERROR(__xludf.DUMMYFUNCTION("""COMPUTED_VALUE"""),2026.0)</f>
        <v>2026</v>
      </c>
      <c r="D1442" s="1">
        <f>IFERROR(__xludf.DUMMYFUNCTION("""COMPUTED_VALUE"""),46084.0)</f>
        <v>46084</v>
      </c>
      <c r="E1442" s="1" t="str">
        <f>IFERROR(__xludf.DUMMYFUNCTION("""COMPUTED_VALUE"""),"VF")</f>
        <v>VF</v>
      </c>
      <c r="F1442" s="1">
        <f>IFERROR(__xludf.DUMMYFUNCTION("""COMPUTED_VALUE"""),1.0)</f>
        <v>1</v>
      </c>
      <c r="G1442" s="1" t="str">
        <f>IFERROR(__xludf.DUMMYFUNCTION("""COMPUTED_VALUE"""),"PR009")</f>
        <v>PR009</v>
      </c>
      <c r="H1442" s="1" t="str">
        <f>IFERROR(__xludf.DUMMYFUNCTION("""COMPUTED_VALUE"""),"VD011")</f>
        <v>VD011</v>
      </c>
      <c r="I1442" s="1">
        <f>IFERROR(__xludf.DUMMYFUNCTION("""COMPUTED_VALUE"""),14.0)</f>
        <v>14</v>
      </c>
      <c r="J1442" s="1">
        <f>IFERROR(__xludf.DUMMYFUNCTION("""COMPUTED_VALUE"""),1365.63)</f>
        <v>1365.63</v>
      </c>
      <c r="K1442" s="1">
        <f>IFERROR(__xludf.DUMMYFUNCTION("""COMPUTED_VALUE"""),1365.63)</f>
        <v>1365.63</v>
      </c>
    </row>
    <row r="1443">
      <c r="A1443" s="1">
        <f>IFERROR(__xludf.DUMMYFUNCTION("""COMPUTED_VALUE"""),1000.0)</f>
        <v>1000</v>
      </c>
      <c r="B1443" s="1">
        <f>IFERROR(__xludf.DUMMYFUNCTION("""COMPUTED_VALUE"""),184507.0)</f>
        <v>184507</v>
      </c>
      <c r="C1443" s="1">
        <f>IFERROR(__xludf.DUMMYFUNCTION("""COMPUTED_VALUE"""),2026.0)</f>
        <v>2026</v>
      </c>
      <c r="D1443" s="1">
        <f>IFERROR(__xludf.DUMMYFUNCTION("""COMPUTED_VALUE"""),46084.0)</f>
        <v>46084</v>
      </c>
      <c r="E1443" s="1" t="str">
        <f>IFERROR(__xludf.DUMMYFUNCTION("""COMPUTED_VALUE"""),"VF")</f>
        <v>VF</v>
      </c>
      <c r="F1443" s="1">
        <f>IFERROR(__xludf.DUMMYFUNCTION("""COMPUTED_VALUE"""),2.0)</f>
        <v>2</v>
      </c>
      <c r="G1443" s="1" t="str">
        <f>IFERROR(__xludf.DUMMYFUNCTION("""COMPUTED_VALUE"""),"PR050")</f>
        <v>PR050</v>
      </c>
      <c r="H1443" s="1" t="str">
        <f>IFERROR(__xludf.DUMMYFUNCTION("""COMPUTED_VALUE"""),"VD033")</f>
        <v>VD033</v>
      </c>
      <c r="I1443" s="1">
        <f>IFERROR(__xludf.DUMMYFUNCTION("""COMPUTED_VALUE"""),6.0)</f>
        <v>6</v>
      </c>
      <c r="J1443" s="1">
        <f>IFERROR(__xludf.DUMMYFUNCTION("""COMPUTED_VALUE"""),205.3)</f>
        <v>205.3</v>
      </c>
      <c r="K1443" s="1">
        <f>IFERROR(__xludf.DUMMYFUNCTION("""COMPUTED_VALUE"""),205.3)</f>
        <v>205.3</v>
      </c>
    </row>
    <row r="1444">
      <c r="A1444" s="1">
        <f>IFERROR(__xludf.DUMMYFUNCTION("""COMPUTED_VALUE"""),1000.0)</f>
        <v>1000</v>
      </c>
      <c r="B1444" s="1">
        <f>IFERROR(__xludf.DUMMYFUNCTION("""COMPUTED_VALUE"""),184508.0)</f>
        <v>184508</v>
      </c>
      <c r="C1444" s="1">
        <f>IFERROR(__xludf.DUMMYFUNCTION("""COMPUTED_VALUE"""),2026.0)</f>
        <v>2026</v>
      </c>
      <c r="D1444" s="1">
        <f>IFERROR(__xludf.DUMMYFUNCTION("""COMPUTED_VALUE"""),46084.0)</f>
        <v>46084</v>
      </c>
      <c r="E1444" s="1" t="str">
        <f>IFERROR(__xludf.DUMMYFUNCTION("""COMPUTED_VALUE"""),"VF")</f>
        <v>VF</v>
      </c>
      <c r="F1444" s="1">
        <f>IFERROR(__xludf.DUMMYFUNCTION("""COMPUTED_VALUE"""),1.0)</f>
        <v>1</v>
      </c>
      <c r="G1444" s="1" t="str">
        <f>IFERROR(__xludf.DUMMYFUNCTION("""COMPUTED_VALUE"""),"PR004")</f>
        <v>PR004</v>
      </c>
      <c r="H1444" s="1" t="str">
        <f>IFERROR(__xludf.DUMMYFUNCTION("""COMPUTED_VALUE"""),"VD021")</f>
        <v>VD021</v>
      </c>
      <c r="I1444" s="1">
        <f>IFERROR(__xludf.DUMMYFUNCTION("""COMPUTED_VALUE"""),8.0)</f>
        <v>8</v>
      </c>
      <c r="J1444" s="1">
        <f>IFERROR(__xludf.DUMMYFUNCTION("""COMPUTED_VALUE"""),1264.4)</f>
        <v>1264.4</v>
      </c>
      <c r="K1444" s="1">
        <f>IFERROR(__xludf.DUMMYFUNCTION("""COMPUTED_VALUE"""),1264.4)</f>
        <v>1264.4</v>
      </c>
    </row>
    <row r="1445">
      <c r="A1445" s="1">
        <f>IFERROR(__xludf.DUMMYFUNCTION("""COMPUTED_VALUE"""),1000.0)</f>
        <v>1000</v>
      </c>
      <c r="B1445" s="1">
        <f>IFERROR(__xludf.DUMMYFUNCTION("""COMPUTED_VALUE"""),184508.0)</f>
        <v>184508</v>
      </c>
      <c r="C1445" s="1">
        <f>IFERROR(__xludf.DUMMYFUNCTION("""COMPUTED_VALUE"""),2026.0)</f>
        <v>2026</v>
      </c>
      <c r="D1445" s="1">
        <f>IFERROR(__xludf.DUMMYFUNCTION("""COMPUTED_VALUE"""),46084.0)</f>
        <v>46084</v>
      </c>
      <c r="E1445" s="1" t="str">
        <f>IFERROR(__xludf.DUMMYFUNCTION("""COMPUTED_VALUE"""),"VF")</f>
        <v>VF</v>
      </c>
      <c r="F1445" s="1">
        <f>IFERROR(__xludf.DUMMYFUNCTION("""COMPUTED_VALUE"""),2.0)</f>
        <v>2</v>
      </c>
      <c r="G1445" s="1" t="str">
        <f>IFERROR(__xludf.DUMMYFUNCTION("""COMPUTED_VALUE"""),"PR017")</f>
        <v>PR017</v>
      </c>
      <c r="H1445" s="1" t="str">
        <f>IFERROR(__xludf.DUMMYFUNCTION("""COMPUTED_VALUE"""),"VD045")</f>
        <v>VD045</v>
      </c>
      <c r="I1445" s="1">
        <f>IFERROR(__xludf.DUMMYFUNCTION("""COMPUTED_VALUE"""),9.0)</f>
        <v>9</v>
      </c>
      <c r="J1445" s="1">
        <f>IFERROR(__xludf.DUMMYFUNCTION("""COMPUTED_VALUE"""),269.1)</f>
        <v>269.1</v>
      </c>
      <c r="K1445" s="1">
        <f>IFERROR(__xludf.DUMMYFUNCTION("""COMPUTED_VALUE"""),269.1)</f>
        <v>269.1</v>
      </c>
    </row>
    <row r="1446">
      <c r="A1446" s="1">
        <f>IFERROR(__xludf.DUMMYFUNCTION("""COMPUTED_VALUE"""),2000.0)</f>
        <v>2000</v>
      </c>
      <c r="B1446" s="1">
        <f>IFERROR(__xludf.DUMMYFUNCTION("""COMPUTED_VALUE"""),184508.0)</f>
        <v>184508</v>
      </c>
      <c r="C1446" s="1">
        <f>IFERROR(__xludf.DUMMYFUNCTION("""COMPUTED_VALUE"""),2026.0)</f>
        <v>2026</v>
      </c>
      <c r="D1446" s="1">
        <f>IFERROR(__xludf.DUMMYFUNCTION("""COMPUTED_VALUE"""),46083.0)</f>
        <v>46083</v>
      </c>
      <c r="E1446" s="1" t="str">
        <f>IFERROR(__xludf.DUMMYFUNCTION("""COMPUTED_VALUE"""),"VF")</f>
        <v>VF</v>
      </c>
      <c r="F1446" s="1">
        <f>IFERROR(__xludf.DUMMYFUNCTION("""COMPUTED_VALUE"""),3.0)</f>
        <v>3</v>
      </c>
      <c r="G1446" s="1" t="str">
        <f>IFERROR(__xludf.DUMMYFUNCTION("""COMPUTED_VALUE"""),"PR054")</f>
        <v>PR054</v>
      </c>
      <c r="H1446" s="1" t="str">
        <f>IFERROR(__xludf.DUMMYFUNCTION("""COMPUTED_VALUE"""),"VD049")</f>
        <v>VD049</v>
      </c>
      <c r="I1446" s="1">
        <f>IFERROR(__xludf.DUMMYFUNCTION("""COMPUTED_VALUE"""),8.0)</f>
        <v>8</v>
      </c>
      <c r="J1446" s="1">
        <f>IFERROR(__xludf.DUMMYFUNCTION("""COMPUTED_VALUE"""),403.19)</f>
        <v>403.19</v>
      </c>
      <c r="K1446" s="1">
        <f>IFERROR(__xludf.DUMMYFUNCTION("""COMPUTED_VALUE"""),403.19)</f>
        <v>403.19</v>
      </c>
    </row>
    <row r="1447">
      <c r="A1447" s="1">
        <f>IFERROR(__xludf.DUMMYFUNCTION("""COMPUTED_VALUE"""),1000.0)</f>
        <v>1000</v>
      </c>
      <c r="B1447" s="1">
        <f>IFERROR(__xludf.DUMMYFUNCTION("""COMPUTED_VALUE"""),184509.0)</f>
        <v>184509</v>
      </c>
      <c r="C1447" s="1">
        <f>IFERROR(__xludf.DUMMYFUNCTION("""COMPUTED_VALUE"""),2026.0)</f>
        <v>2026</v>
      </c>
      <c r="D1447" s="1">
        <f>IFERROR(__xludf.DUMMYFUNCTION("""COMPUTED_VALUE"""),46083.0)</f>
        <v>46083</v>
      </c>
      <c r="E1447" s="1" t="str">
        <f>IFERROR(__xludf.DUMMYFUNCTION("""COMPUTED_VALUE"""),"VF")</f>
        <v>VF</v>
      </c>
      <c r="F1447" s="1">
        <f>IFERROR(__xludf.DUMMYFUNCTION("""COMPUTED_VALUE"""),1.0)</f>
        <v>1</v>
      </c>
      <c r="G1447" s="1" t="str">
        <f>IFERROR(__xludf.DUMMYFUNCTION("""COMPUTED_VALUE"""),"PR028")</f>
        <v>PR028</v>
      </c>
      <c r="H1447" s="1" t="str">
        <f>IFERROR(__xludf.DUMMYFUNCTION("""COMPUTED_VALUE"""),"VD033")</f>
        <v>VD033</v>
      </c>
      <c r="I1447" s="1">
        <f>IFERROR(__xludf.DUMMYFUNCTION("""COMPUTED_VALUE"""),8.0)</f>
        <v>8</v>
      </c>
      <c r="J1447" s="1">
        <f>IFERROR(__xludf.DUMMYFUNCTION("""COMPUTED_VALUE"""),2119.15)</f>
        <v>2119.15</v>
      </c>
      <c r="K1447" s="1">
        <f>IFERROR(__xludf.DUMMYFUNCTION("""COMPUTED_VALUE"""),2119.15)</f>
        <v>2119.15</v>
      </c>
    </row>
    <row r="1448">
      <c r="A1448" s="1">
        <f>IFERROR(__xludf.DUMMYFUNCTION("""COMPUTED_VALUE"""),1000.0)</f>
        <v>1000</v>
      </c>
      <c r="B1448" s="1">
        <f>IFERROR(__xludf.DUMMYFUNCTION("""COMPUTED_VALUE"""),184510.0)</f>
        <v>184510</v>
      </c>
      <c r="C1448" s="1">
        <f>IFERROR(__xludf.DUMMYFUNCTION("""COMPUTED_VALUE"""),2026.0)</f>
        <v>2026</v>
      </c>
      <c r="D1448" s="1">
        <f>IFERROR(__xludf.DUMMYFUNCTION("""COMPUTED_VALUE"""),46082.0)</f>
        <v>46082</v>
      </c>
      <c r="E1448" s="1" t="str">
        <f>IFERROR(__xludf.DUMMYFUNCTION("""COMPUTED_VALUE"""),"VF")</f>
        <v>VF</v>
      </c>
      <c r="F1448" s="1">
        <f>IFERROR(__xludf.DUMMYFUNCTION("""COMPUTED_VALUE"""),1.0)</f>
        <v>1</v>
      </c>
      <c r="G1448" s="1" t="str">
        <f>IFERROR(__xludf.DUMMYFUNCTION("""COMPUTED_VALUE"""),"PR037")</f>
        <v>PR037</v>
      </c>
      <c r="H1448" s="1" t="str">
        <f>IFERROR(__xludf.DUMMYFUNCTION("""COMPUTED_VALUE"""),"VD024")</f>
        <v>VD024</v>
      </c>
      <c r="I1448" s="1">
        <f>IFERROR(__xludf.DUMMYFUNCTION("""COMPUTED_VALUE"""),6.0)</f>
        <v>6</v>
      </c>
      <c r="J1448" s="1">
        <f>IFERROR(__xludf.DUMMYFUNCTION("""COMPUTED_VALUE"""),924.0)</f>
        <v>924</v>
      </c>
      <c r="K1448" s="1">
        <f>IFERROR(__xludf.DUMMYFUNCTION("""COMPUTED_VALUE"""),924.0)</f>
        <v>924</v>
      </c>
    </row>
    <row r="1449">
      <c r="A1449" s="1">
        <f>IFERROR(__xludf.DUMMYFUNCTION("""COMPUTED_VALUE"""),1000.0)</f>
        <v>1000</v>
      </c>
      <c r="B1449" s="1">
        <f>IFERROR(__xludf.DUMMYFUNCTION("""COMPUTED_VALUE"""),184511.0)</f>
        <v>184511</v>
      </c>
      <c r="C1449" s="1">
        <f>IFERROR(__xludf.DUMMYFUNCTION("""COMPUTED_VALUE"""),2026.0)</f>
        <v>2026</v>
      </c>
      <c r="D1449" s="1">
        <f>IFERROR(__xludf.DUMMYFUNCTION("""COMPUTED_VALUE"""),46082.0)</f>
        <v>46082</v>
      </c>
      <c r="E1449" s="1" t="str">
        <f>IFERROR(__xludf.DUMMYFUNCTION("""COMPUTED_VALUE"""),"VF")</f>
        <v>VF</v>
      </c>
      <c r="F1449" s="1">
        <f>IFERROR(__xludf.DUMMYFUNCTION("""COMPUTED_VALUE"""),1.0)</f>
        <v>1</v>
      </c>
      <c r="G1449" s="1" t="str">
        <f>IFERROR(__xludf.DUMMYFUNCTION("""COMPUTED_VALUE"""),"PR011")</f>
        <v>PR011</v>
      </c>
      <c r="H1449" s="1" t="str">
        <f>IFERROR(__xludf.DUMMYFUNCTION("""COMPUTED_VALUE"""),"VD012")</f>
        <v>VD012</v>
      </c>
      <c r="I1449" s="1">
        <f>IFERROR(__xludf.DUMMYFUNCTION("""COMPUTED_VALUE"""),3.0)</f>
        <v>3</v>
      </c>
      <c r="J1449" s="1">
        <f>IFERROR(__xludf.DUMMYFUNCTION("""COMPUTED_VALUE"""),143.51)</f>
        <v>143.51</v>
      </c>
      <c r="K1449" s="1">
        <f>IFERROR(__xludf.DUMMYFUNCTION("""COMPUTED_VALUE"""),143.51)</f>
        <v>143.51</v>
      </c>
    </row>
    <row r="1450">
      <c r="A1450" s="1">
        <f>IFERROR(__xludf.DUMMYFUNCTION("""COMPUTED_VALUE"""),2000.0)</f>
        <v>2000</v>
      </c>
      <c r="B1450" s="1">
        <f>IFERROR(__xludf.DUMMYFUNCTION("""COMPUTED_VALUE"""),184511.0)</f>
        <v>184511</v>
      </c>
      <c r="C1450" s="1">
        <f>IFERROR(__xludf.DUMMYFUNCTION("""COMPUTED_VALUE"""),2026.0)</f>
        <v>2026</v>
      </c>
      <c r="D1450" s="1">
        <f>IFERROR(__xludf.DUMMYFUNCTION("""COMPUTED_VALUE"""),46082.0)</f>
        <v>46082</v>
      </c>
      <c r="E1450" s="1" t="str">
        <f>IFERROR(__xludf.DUMMYFUNCTION("""COMPUTED_VALUE"""),"VF")</f>
        <v>VF</v>
      </c>
      <c r="F1450" s="1">
        <f>IFERROR(__xludf.DUMMYFUNCTION("""COMPUTED_VALUE"""),2.0)</f>
        <v>2</v>
      </c>
      <c r="G1450" s="1" t="str">
        <f>IFERROR(__xludf.DUMMYFUNCTION("""COMPUTED_VALUE"""),"PR047")</f>
        <v>PR047</v>
      </c>
      <c r="H1450" s="1" t="str">
        <f>IFERROR(__xludf.DUMMYFUNCTION("""COMPUTED_VALUE"""),"VD037")</f>
        <v>VD037</v>
      </c>
      <c r="I1450" s="1">
        <f>IFERROR(__xludf.DUMMYFUNCTION("""COMPUTED_VALUE"""),6.0)</f>
        <v>6</v>
      </c>
      <c r="J1450" s="1">
        <f>IFERROR(__xludf.DUMMYFUNCTION("""COMPUTED_VALUE"""),1808.98)</f>
        <v>1808.98</v>
      </c>
      <c r="K1450" s="1">
        <f>IFERROR(__xludf.DUMMYFUNCTION("""COMPUTED_VALUE"""),1808.98)</f>
        <v>1808.98</v>
      </c>
    </row>
    <row r="1451">
      <c r="A1451" s="1">
        <f>IFERROR(__xludf.DUMMYFUNCTION("""COMPUTED_VALUE"""),1000.0)</f>
        <v>1000</v>
      </c>
      <c r="B1451" s="1">
        <f>IFERROR(__xludf.DUMMYFUNCTION("""COMPUTED_VALUE"""),184512.0)</f>
        <v>184512</v>
      </c>
      <c r="C1451" s="1">
        <f>IFERROR(__xludf.DUMMYFUNCTION("""COMPUTED_VALUE"""),2026.0)</f>
        <v>2026</v>
      </c>
      <c r="D1451" s="1">
        <f>IFERROR(__xludf.DUMMYFUNCTION("""COMPUTED_VALUE"""),46081.0)</f>
        <v>46081</v>
      </c>
      <c r="E1451" s="1" t="str">
        <f>IFERROR(__xludf.DUMMYFUNCTION("""COMPUTED_VALUE"""),"VF")</f>
        <v>VF</v>
      </c>
      <c r="F1451" s="1">
        <f>IFERROR(__xludf.DUMMYFUNCTION("""COMPUTED_VALUE"""),1.0)</f>
        <v>1</v>
      </c>
      <c r="G1451" s="1" t="str">
        <f>IFERROR(__xludf.DUMMYFUNCTION("""COMPUTED_VALUE"""),"PR036")</f>
        <v>PR036</v>
      </c>
      <c r="H1451" s="1" t="str">
        <f>IFERROR(__xludf.DUMMYFUNCTION("""COMPUTED_VALUE"""),"VD027")</f>
        <v>VD027</v>
      </c>
      <c r="I1451" s="1">
        <f>IFERROR(__xludf.DUMMYFUNCTION("""COMPUTED_VALUE"""),7.0)</f>
        <v>7</v>
      </c>
      <c r="J1451" s="1">
        <f>IFERROR(__xludf.DUMMYFUNCTION("""COMPUTED_VALUE"""),693.77)</f>
        <v>693.77</v>
      </c>
      <c r="K1451" s="1">
        <f>IFERROR(__xludf.DUMMYFUNCTION("""COMPUTED_VALUE"""),693.77)</f>
        <v>693.77</v>
      </c>
    </row>
    <row r="1452">
      <c r="A1452" s="1">
        <f>IFERROR(__xludf.DUMMYFUNCTION("""COMPUTED_VALUE"""),1000.0)</f>
        <v>1000</v>
      </c>
      <c r="B1452" s="1">
        <f>IFERROR(__xludf.DUMMYFUNCTION("""COMPUTED_VALUE"""),184513.0)</f>
        <v>184513</v>
      </c>
      <c r="C1452" s="1">
        <f>IFERROR(__xludf.DUMMYFUNCTION("""COMPUTED_VALUE"""),2026.0)</f>
        <v>2026</v>
      </c>
      <c r="D1452" s="1">
        <f>IFERROR(__xludf.DUMMYFUNCTION("""COMPUTED_VALUE"""),46081.0)</f>
        <v>46081</v>
      </c>
      <c r="E1452" s="1" t="str">
        <f>IFERROR(__xludf.DUMMYFUNCTION("""COMPUTED_VALUE"""),"VF")</f>
        <v>VF</v>
      </c>
      <c r="F1452" s="1">
        <f>IFERROR(__xludf.DUMMYFUNCTION("""COMPUTED_VALUE"""),1.0)</f>
        <v>1</v>
      </c>
      <c r="G1452" s="1" t="str">
        <f>IFERROR(__xludf.DUMMYFUNCTION("""COMPUTED_VALUE"""),"PR027")</f>
        <v>PR027</v>
      </c>
      <c r="H1452" s="1" t="str">
        <f>IFERROR(__xludf.DUMMYFUNCTION("""COMPUTED_VALUE"""),"VD034")</f>
        <v>VD034</v>
      </c>
      <c r="I1452" s="1">
        <f>IFERROR(__xludf.DUMMYFUNCTION("""COMPUTED_VALUE"""),6.0)</f>
        <v>6</v>
      </c>
      <c r="J1452" s="1">
        <f>IFERROR(__xludf.DUMMYFUNCTION("""COMPUTED_VALUE"""),720.0)</f>
        <v>720</v>
      </c>
      <c r="K1452" s="1">
        <f>IFERROR(__xludf.DUMMYFUNCTION("""COMPUTED_VALUE"""),720.0)</f>
        <v>720</v>
      </c>
    </row>
    <row r="1453">
      <c r="A1453" s="1">
        <f>IFERROR(__xludf.DUMMYFUNCTION("""COMPUTED_VALUE"""),1000.0)</f>
        <v>1000</v>
      </c>
      <c r="B1453" s="1">
        <f>IFERROR(__xludf.DUMMYFUNCTION("""COMPUTED_VALUE"""),184514.0)</f>
        <v>184514</v>
      </c>
      <c r="C1453" s="1">
        <f>IFERROR(__xludf.DUMMYFUNCTION("""COMPUTED_VALUE"""),2026.0)</f>
        <v>2026</v>
      </c>
      <c r="D1453" s="1">
        <f>IFERROR(__xludf.DUMMYFUNCTION("""COMPUTED_VALUE"""),46080.0)</f>
        <v>46080</v>
      </c>
      <c r="E1453" s="1" t="str">
        <f>IFERROR(__xludf.DUMMYFUNCTION("""COMPUTED_VALUE"""),"VF")</f>
        <v>VF</v>
      </c>
      <c r="F1453" s="1">
        <f>IFERROR(__xludf.DUMMYFUNCTION("""COMPUTED_VALUE"""),1.0)</f>
        <v>1</v>
      </c>
      <c r="G1453" s="1" t="str">
        <f>IFERROR(__xludf.DUMMYFUNCTION("""COMPUTED_VALUE"""),"PR018")</f>
        <v>PR018</v>
      </c>
      <c r="H1453" s="1" t="str">
        <f>IFERROR(__xludf.DUMMYFUNCTION("""COMPUTED_VALUE"""),"VD017")</f>
        <v>VD017</v>
      </c>
      <c r="I1453" s="1">
        <f>IFERROR(__xludf.DUMMYFUNCTION("""COMPUTED_VALUE"""),8.0)</f>
        <v>8</v>
      </c>
      <c r="J1453" s="1">
        <f>IFERROR(__xludf.DUMMYFUNCTION("""COMPUTED_VALUE"""),268.46)</f>
        <v>268.46</v>
      </c>
      <c r="K1453" s="1">
        <f>IFERROR(__xludf.DUMMYFUNCTION("""COMPUTED_VALUE"""),268.46)</f>
        <v>268.46</v>
      </c>
    </row>
    <row r="1454">
      <c r="A1454" s="1">
        <f>IFERROR(__xludf.DUMMYFUNCTION("""COMPUTED_VALUE"""),1000.0)</f>
        <v>1000</v>
      </c>
      <c r="B1454" s="1">
        <f>IFERROR(__xludf.DUMMYFUNCTION("""COMPUTED_VALUE"""),184514.0)</f>
        <v>184514</v>
      </c>
      <c r="C1454" s="1">
        <f>IFERROR(__xludf.DUMMYFUNCTION("""COMPUTED_VALUE"""),2026.0)</f>
        <v>2026</v>
      </c>
      <c r="D1454" s="1">
        <f>IFERROR(__xludf.DUMMYFUNCTION("""COMPUTED_VALUE"""),46080.0)</f>
        <v>46080</v>
      </c>
      <c r="E1454" s="1" t="str">
        <f>IFERROR(__xludf.DUMMYFUNCTION("""COMPUTED_VALUE"""),"VF")</f>
        <v>VF</v>
      </c>
      <c r="F1454" s="1">
        <f>IFERROR(__xludf.DUMMYFUNCTION("""COMPUTED_VALUE"""),2.0)</f>
        <v>2</v>
      </c>
      <c r="G1454" s="1" t="str">
        <f>IFERROR(__xludf.DUMMYFUNCTION("""COMPUTED_VALUE"""),"PR043")</f>
        <v>PR043</v>
      </c>
      <c r="H1454" s="1" t="str">
        <f>IFERROR(__xludf.DUMMYFUNCTION("""COMPUTED_VALUE"""),"VD038")</f>
        <v>VD038</v>
      </c>
      <c r="I1454" s="1">
        <f>IFERROR(__xludf.DUMMYFUNCTION("""COMPUTED_VALUE"""),14.0)</f>
        <v>14</v>
      </c>
      <c r="J1454" s="1">
        <f>IFERROR(__xludf.DUMMYFUNCTION("""COMPUTED_VALUE"""),1035.3)</f>
        <v>1035.3</v>
      </c>
      <c r="K1454" s="1">
        <f>IFERROR(__xludf.DUMMYFUNCTION("""COMPUTED_VALUE"""),1035.3)</f>
        <v>1035.3</v>
      </c>
    </row>
    <row r="1455">
      <c r="A1455" s="1">
        <f>IFERROR(__xludf.DUMMYFUNCTION("""COMPUTED_VALUE"""),1000.0)</f>
        <v>1000</v>
      </c>
      <c r="B1455" s="1">
        <f>IFERROR(__xludf.DUMMYFUNCTION("""COMPUTED_VALUE"""),184514.0)</f>
        <v>184514</v>
      </c>
      <c r="C1455" s="1">
        <f>IFERROR(__xludf.DUMMYFUNCTION("""COMPUTED_VALUE"""),2026.0)</f>
        <v>2026</v>
      </c>
      <c r="D1455" s="1">
        <f>IFERROR(__xludf.DUMMYFUNCTION("""COMPUTED_VALUE"""),46080.0)</f>
        <v>46080</v>
      </c>
      <c r="E1455" s="1" t="str">
        <f>IFERROR(__xludf.DUMMYFUNCTION("""COMPUTED_VALUE"""),"VF")</f>
        <v>VF</v>
      </c>
      <c r="F1455" s="1">
        <f>IFERROR(__xludf.DUMMYFUNCTION("""COMPUTED_VALUE"""),3.0)</f>
        <v>3</v>
      </c>
      <c r="G1455" s="1" t="str">
        <f>IFERROR(__xludf.DUMMYFUNCTION("""COMPUTED_VALUE"""),"PR023")</f>
        <v>PR023</v>
      </c>
      <c r="H1455" s="1" t="str">
        <f>IFERROR(__xludf.DUMMYFUNCTION("""COMPUTED_VALUE"""),"VD046")</f>
        <v>VD046</v>
      </c>
      <c r="I1455" s="1">
        <f>IFERROR(__xludf.DUMMYFUNCTION("""COMPUTED_VALUE"""),12.0)</f>
        <v>12</v>
      </c>
      <c r="J1455" s="1">
        <f>IFERROR(__xludf.DUMMYFUNCTION("""COMPUTED_VALUE"""),3058.78)</f>
        <v>3058.78</v>
      </c>
      <c r="K1455" s="1">
        <f>IFERROR(__xludf.DUMMYFUNCTION("""COMPUTED_VALUE"""),3058.78)</f>
        <v>3058.78</v>
      </c>
    </row>
    <row r="1456">
      <c r="A1456" s="1">
        <f>IFERROR(__xludf.DUMMYFUNCTION("""COMPUTED_VALUE"""),1000.0)</f>
        <v>1000</v>
      </c>
      <c r="B1456" s="1">
        <f>IFERROR(__xludf.DUMMYFUNCTION("""COMPUTED_VALUE"""),184515.0)</f>
        <v>184515</v>
      </c>
      <c r="C1456" s="1">
        <f>IFERROR(__xludf.DUMMYFUNCTION("""COMPUTED_VALUE"""),2026.0)</f>
        <v>2026</v>
      </c>
      <c r="D1456" s="1">
        <f>IFERROR(__xludf.DUMMYFUNCTION("""COMPUTED_VALUE"""),46079.0)</f>
        <v>46079</v>
      </c>
      <c r="E1456" s="1" t="str">
        <f>IFERROR(__xludf.DUMMYFUNCTION("""COMPUTED_VALUE"""),"VF")</f>
        <v>VF</v>
      </c>
      <c r="F1456" s="1">
        <f>IFERROR(__xludf.DUMMYFUNCTION("""COMPUTED_VALUE"""),1.0)</f>
        <v>1</v>
      </c>
      <c r="G1456" s="1" t="str">
        <f>IFERROR(__xludf.DUMMYFUNCTION("""COMPUTED_VALUE"""),"PR014")</f>
        <v>PR014</v>
      </c>
      <c r="H1456" s="1" t="str">
        <f>IFERROR(__xludf.DUMMYFUNCTION("""COMPUTED_VALUE"""),"VD019")</f>
        <v>VD019</v>
      </c>
      <c r="I1456" s="1">
        <f>IFERROR(__xludf.DUMMYFUNCTION("""COMPUTED_VALUE"""),18.0)</f>
        <v>18</v>
      </c>
      <c r="J1456" s="1">
        <f>IFERROR(__xludf.DUMMYFUNCTION("""COMPUTED_VALUE"""),718.2)</f>
        <v>718.2</v>
      </c>
      <c r="K1456" s="1">
        <f>IFERROR(__xludf.DUMMYFUNCTION("""COMPUTED_VALUE"""),718.2)</f>
        <v>718.2</v>
      </c>
    </row>
    <row r="1457">
      <c r="A1457" s="1">
        <f>IFERROR(__xludf.DUMMYFUNCTION("""COMPUTED_VALUE"""),1000.0)</f>
        <v>1000</v>
      </c>
      <c r="B1457" s="1">
        <f>IFERROR(__xludf.DUMMYFUNCTION("""COMPUTED_VALUE"""),184515.0)</f>
        <v>184515</v>
      </c>
      <c r="C1457" s="1">
        <f>IFERROR(__xludf.DUMMYFUNCTION("""COMPUTED_VALUE"""),2026.0)</f>
        <v>2026</v>
      </c>
      <c r="D1457" s="1">
        <f>IFERROR(__xludf.DUMMYFUNCTION("""COMPUTED_VALUE"""),46079.0)</f>
        <v>46079</v>
      </c>
      <c r="E1457" s="1" t="str">
        <f>IFERROR(__xludf.DUMMYFUNCTION("""COMPUTED_VALUE"""),"VF")</f>
        <v>VF</v>
      </c>
      <c r="F1457" s="1">
        <f>IFERROR(__xludf.DUMMYFUNCTION("""COMPUTED_VALUE"""),2.0)</f>
        <v>2</v>
      </c>
      <c r="G1457" s="1" t="str">
        <f>IFERROR(__xludf.DUMMYFUNCTION("""COMPUTED_VALUE"""),"PR028")</f>
        <v>PR028</v>
      </c>
      <c r="H1457" s="1" t="str">
        <f>IFERROR(__xludf.DUMMYFUNCTION("""COMPUTED_VALUE"""),"VD029")</f>
        <v>VD029</v>
      </c>
      <c r="I1457" s="1">
        <f>IFERROR(__xludf.DUMMYFUNCTION("""COMPUTED_VALUE"""),9.0)</f>
        <v>9</v>
      </c>
      <c r="J1457" s="1">
        <f>IFERROR(__xludf.DUMMYFUNCTION("""COMPUTED_VALUE"""),2406.54)</f>
        <v>2406.54</v>
      </c>
      <c r="K1457" s="1">
        <f>IFERROR(__xludf.DUMMYFUNCTION("""COMPUTED_VALUE"""),2406.54)</f>
        <v>2406.54</v>
      </c>
    </row>
    <row r="1458">
      <c r="A1458" s="1">
        <f>IFERROR(__xludf.DUMMYFUNCTION("""COMPUTED_VALUE"""),1000.0)</f>
        <v>1000</v>
      </c>
      <c r="B1458" s="1">
        <f>IFERROR(__xludf.DUMMYFUNCTION("""COMPUTED_VALUE"""),184516.0)</f>
        <v>184516</v>
      </c>
      <c r="C1458" s="1">
        <f>IFERROR(__xludf.DUMMYFUNCTION("""COMPUTED_VALUE"""),2026.0)</f>
        <v>2026</v>
      </c>
      <c r="D1458" s="1">
        <f>IFERROR(__xludf.DUMMYFUNCTION("""COMPUTED_VALUE"""),46078.0)</f>
        <v>46078</v>
      </c>
      <c r="E1458" s="1" t="str">
        <f>IFERROR(__xludf.DUMMYFUNCTION("""COMPUTED_VALUE"""),"VF")</f>
        <v>VF</v>
      </c>
      <c r="F1458" s="1">
        <f>IFERROR(__xludf.DUMMYFUNCTION("""COMPUTED_VALUE"""),1.0)</f>
        <v>1</v>
      </c>
      <c r="G1458" s="1" t="str">
        <f>IFERROR(__xludf.DUMMYFUNCTION("""COMPUTED_VALUE"""),"PR054")</f>
        <v>PR054</v>
      </c>
      <c r="H1458" s="1" t="str">
        <f>IFERROR(__xludf.DUMMYFUNCTION("""COMPUTED_VALUE"""),"VD015")</f>
        <v>VD015</v>
      </c>
      <c r="I1458" s="1">
        <f>IFERROR(__xludf.DUMMYFUNCTION("""COMPUTED_VALUE"""),2.0)</f>
        <v>2</v>
      </c>
      <c r="J1458" s="1">
        <f>IFERROR(__xludf.DUMMYFUNCTION("""COMPUTED_VALUE"""),100.8)</f>
        <v>100.8</v>
      </c>
      <c r="K1458" s="1">
        <f>IFERROR(__xludf.DUMMYFUNCTION("""COMPUTED_VALUE"""),100.8)</f>
        <v>100.8</v>
      </c>
    </row>
    <row r="1459">
      <c r="A1459" s="1">
        <f>IFERROR(__xludf.DUMMYFUNCTION("""COMPUTED_VALUE"""),1000.0)</f>
        <v>1000</v>
      </c>
      <c r="B1459" s="1">
        <f>IFERROR(__xludf.DUMMYFUNCTION("""COMPUTED_VALUE"""),184517.0)</f>
        <v>184517</v>
      </c>
      <c r="C1459" s="1">
        <f>IFERROR(__xludf.DUMMYFUNCTION("""COMPUTED_VALUE"""),2026.0)</f>
        <v>2026</v>
      </c>
      <c r="D1459" s="1">
        <f>IFERROR(__xludf.DUMMYFUNCTION("""COMPUTED_VALUE"""),46078.0)</f>
        <v>46078</v>
      </c>
      <c r="E1459" s="1" t="str">
        <f>IFERROR(__xludf.DUMMYFUNCTION("""COMPUTED_VALUE"""),"VF")</f>
        <v>VF</v>
      </c>
      <c r="F1459" s="1">
        <f>IFERROR(__xludf.DUMMYFUNCTION("""COMPUTED_VALUE"""),1.0)</f>
        <v>1</v>
      </c>
      <c r="G1459" s="1" t="str">
        <f>IFERROR(__xludf.DUMMYFUNCTION("""COMPUTED_VALUE"""),"PR010")</f>
        <v>PR010</v>
      </c>
      <c r="H1459" s="1" t="str">
        <f>IFERROR(__xludf.DUMMYFUNCTION("""COMPUTED_VALUE"""),"VD018")</f>
        <v>VD018</v>
      </c>
      <c r="I1459" s="1">
        <f>IFERROR(__xludf.DUMMYFUNCTION("""COMPUTED_VALUE"""),10.0)</f>
        <v>10</v>
      </c>
      <c r="J1459" s="1">
        <f>IFERROR(__xludf.DUMMYFUNCTION("""COMPUTED_VALUE"""),475.94)</f>
        <v>475.94</v>
      </c>
      <c r="K1459" s="1">
        <f>IFERROR(__xludf.DUMMYFUNCTION("""COMPUTED_VALUE"""),475.94)</f>
        <v>475.94</v>
      </c>
    </row>
    <row r="1460">
      <c r="A1460" s="1">
        <f>IFERROR(__xludf.DUMMYFUNCTION("""COMPUTED_VALUE"""),1000.0)</f>
        <v>1000</v>
      </c>
      <c r="B1460" s="1">
        <f>IFERROR(__xludf.DUMMYFUNCTION("""COMPUTED_VALUE"""),184518.0)</f>
        <v>184518</v>
      </c>
      <c r="C1460" s="1">
        <f>IFERROR(__xludf.DUMMYFUNCTION("""COMPUTED_VALUE"""),2026.0)</f>
        <v>2026</v>
      </c>
      <c r="D1460" s="1">
        <f>IFERROR(__xludf.DUMMYFUNCTION("""COMPUTED_VALUE"""),46078.0)</f>
        <v>46078</v>
      </c>
      <c r="E1460" s="1" t="str">
        <f>IFERROR(__xludf.DUMMYFUNCTION("""COMPUTED_VALUE"""),"VF")</f>
        <v>VF</v>
      </c>
      <c r="F1460" s="1">
        <f>IFERROR(__xludf.DUMMYFUNCTION("""COMPUTED_VALUE"""),1.0)</f>
        <v>1</v>
      </c>
      <c r="G1460" s="1" t="str">
        <f>IFERROR(__xludf.DUMMYFUNCTION("""COMPUTED_VALUE"""),"PR042")</f>
        <v>PR042</v>
      </c>
      <c r="H1460" s="1" t="str">
        <f>IFERROR(__xludf.DUMMYFUNCTION("""COMPUTED_VALUE"""),"VD026")</f>
        <v>VD026</v>
      </c>
      <c r="I1460" s="1">
        <f>IFERROR(__xludf.DUMMYFUNCTION("""COMPUTED_VALUE"""),3.0)</f>
        <v>3</v>
      </c>
      <c r="J1460" s="1">
        <f>IFERROR(__xludf.DUMMYFUNCTION("""COMPUTED_VALUE"""),164.7)</f>
        <v>164.7</v>
      </c>
      <c r="K1460" s="1">
        <f>IFERROR(__xludf.DUMMYFUNCTION("""COMPUTED_VALUE"""),164.7)</f>
        <v>164.7</v>
      </c>
    </row>
    <row r="1461">
      <c r="A1461" s="1">
        <f>IFERROR(__xludf.DUMMYFUNCTION("""COMPUTED_VALUE"""),1000.0)</f>
        <v>1000</v>
      </c>
      <c r="B1461" s="1">
        <f>IFERROR(__xludf.DUMMYFUNCTION("""COMPUTED_VALUE"""),184518.0)</f>
        <v>184518</v>
      </c>
      <c r="C1461" s="1">
        <f>IFERROR(__xludf.DUMMYFUNCTION("""COMPUTED_VALUE"""),2026.0)</f>
        <v>2026</v>
      </c>
      <c r="D1461" s="1">
        <f>IFERROR(__xludf.DUMMYFUNCTION("""COMPUTED_VALUE"""),46078.0)</f>
        <v>46078</v>
      </c>
      <c r="E1461" s="1" t="str">
        <f>IFERROR(__xludf.DUMMYFUNCTION("""COMPUTED_VALUE"""),"VF")</f>
        <v>VF</v>
      </c>
      <c r="F1461" s="1">
        <f>IFERROR(__xludf.DUMMYFUNCTION("""COMPUTED_VALUE"""),2.0)</f>
        <v>2</v>
      </c>
      <c r="G1461" s="1" t="str">
        <f>IFERROR(__xludf.DUMMYFUNCTION("""COMPUTED_VALUE"""),"PR039")</f>
        <v>PR039</v>
      </c>
      <c r="H1461" s="1" t="str">
        <f>IFERROR(__xludf.DUMMYFUNCTION("""COMPUTED_VALUE"""),"VD044")</f>
        <v>VD044</v>
      </c>
      <c r="I1461" s="1">
        <f>IFERROR(__xludf.DUMMYFUNCTION("""COMPUTED_VALUE"""),2.0)</f>
        <v>2</v>
      </c>
      <c r="J1461" s="1">
        <f>IFERROR(__xludf.DUMMYFUNCTION("""COMPUTED_VALUE"""),312.44)</f>
        <v>312.44</v>
      </c>
      <c r="K1461" s="1">
        <f>IFERROR(__xludf.DUMMYFUNCTION("""COMPUTED_VALUE"""),312.44)</f>
        <v>312.44</v>
      </c>
    </row>
    <row r="1462">
      <c r="A1462" s="1">
        <f>IFERROR(__xludf.DUMMYFUNCTION("""COMPUTED_VALUE"""),2000.0)</f>
        <v>2000</v>
      </c>
      <c r="B1462" s="1">
        <f>IFERROR(__xludf.DUMMYFUNCTION("""COMPUTED_VALUE"""),184519.0)</f>
        <v>184519</v>
      </c>
      <c r="C1462" s="1">
        <f>IFERROR(__xludf.DUMMYFUNCTION("""COMPUTED_VALUE"""),2026.0)</f>
        <v>2026</v>
      </c>
      <c r="D1462" s="1">
        <f>IFERROR(__xludf.DUMMYFUNCTION("""COMPUTED_VALUE"""),46078.0)</f>
        <v>46078</v>
      </c>
      <c r="E1462" s="1" t="str">
        <f>IFERROR(__xludf.DUMMYFUNCTION("""COMPUTED_VALUE"""),"VF")</f>
        <v>VF</v>
      </c>
      <c r="F1462" s="1">
        <f>IFERROR(__xludf.DUMMYFUNCTION("""COMPUTED_VALUE"""),1.0)</f>
        <v>1</v>
      </c>
      <c r="G1462" s="1" t="str">
        <f>IFERROR(__xludf.DUMMYFUNCTION("""COMPUTED_VALUE"""),"PR010")</f>
        <v>PR010</v>
      </c>
      <c r="H1462" s="1" t="str">
        <f>IFERROR(__xludf.DUMMYFUNCTION("""COMPUTED_VALUE"""),"VD047")</f>
        <v>VD047</v>
      </c>
      <c r="I1462" s="1">
        <f>IFERROR(__xludf.DUMMYFUNCTION("""COMPUTED_VALUE"""),2.0)</f>
        <v>2</v>
      </c>
      <c r="J1462" s="1">
        <f>IFERROR(__xludf.DUMMYFUNCTION("""COMPUTED_VALUE"""),91.6)</f>
        <v>91.6</v>
      </c>
      <c r="K1462" s="1">
        <f>IFERROR(__xludf.DUMMYFUNCTION("""COMPUTED_VALUE"""),91.6)</f>
        <v>91.6</v>
      </c>
    </row>
    <row r="1463">
      <c r="A1463" s="1">
        <f>IFERROR(__xludf.DUMMYFUNCTION("""COMPUTED_VALUE"""),1000.0)</f>
        <v>1000</v>
      </c>
      <c r="B1463" s="1">
        <f>IFERROR(__xludf.DUMMYFUNCTION("""COMPUTED_VALUE"""),184520.0)</f>
        <v>184520</v>
      </c>
      <c r="C1463" s="1">
        <f>IFERROR(__xludf.DUMMYFUNCTION("""COMPUTED_VALUE"""),2026.0)</f>
        <v>2026</v>
      </c>
      <c r="D1463" s="1">
        <f>IFERROR(__xludf.DUMMYFUNCTION("""COMPUTED_VALUE"""),46078.0)</f>
        <v>46078</v>
      </c>
      <c r="E1463" s="1" t="str">
        <f>IFERROR(__xludf.DUMMYFUNCTION("""COMPUTED_VALUE"""),"VF")</f>
        <v>VF</v>
      </c>
      <c r="F1463" s="1">
        <f>IFERROR(__xludf.DUMMYFUNCTION("""COMPUTED_VALUE"""),1.0)</f>
        <v>1</v>
      </c>
      <c r="G1463" s="1" t="str">
        <f>IFERROR(__xludf.DUMMYFUNCTION("""COMPUTED_VALUE"""),"PR046")</f>
        <v>PR046</v>
      </c>
      <c r="H1463" s="1" t="str">
        <f>IFERROR(__xludf.DUMMYFUNCTION("""COMPUTED_VALUE"""),"VD024")</f>
        <v>VD024</v>
      </c>
      <c r="I1463" s="1">
        <f>IFERROR(__xludf.DUMMYFUNCTION("""COMPUTED_VALUE"""),10.0)</f>
        <v>10</v>
      </c>
      <c r="J1463" s="1">
        <f>IFERROR(__xludf.DUMMYFUNCTION("""COMPUTED_VALUE"""),3043.95)</f>
        <v>3043.95</v>
      </c>
      <c r="K1463" s="1">
        <f>IFERROR(__xludf.DUMMYFUNCTION("""COMPUTED_VALUE"""),3043.95)</f>
        <v>3043.95</v>
      </c>
    </row>
    <row r="1464">
      <c r="A1464" s="1">
        <f>IFERROR(__xludf.DUMMYFUNCTION("""COMPUTED_VALUE"""),2000.0)</f>
        <v>2000</v>
      </c>
      <c r="B1464" s="1">
        <f>IFERROR(__xludf.DUMMYFUNCTION("""COMPUTED_VALUE"""),184521.0)</f>
        <v>184521</v>
      </c>
      <c r="C1464" s="1">
        <f>IFERROR(__xludf.DUMMYFUNCTION("""COMPUTED_VALUE"""),2026.0)</f>
        <v>2026</v>
      </c>
      <c r="D1464" s="1">
        <f>IFERROR(__xludf.DUMMYFUNCTION("""COMPUTED_VALUE"""),46078.0)</f>
        <v>46078</v>
      </c>
      <c r="E1464" s="1" t="str">
        <f>IFERROR(__xludf.DUMMYFUNCTION("""COMPUTED_VALUE"""),"VF")</f>
        <v>VF</v>
      </c>
      <c r="F1464" s="1">
        <f>IFERROR(__xludf.DUMMYFUNCTION("""COMPUTED_VALUE"""),1.0)</f>
        <v>1</v>
      </c>
      <c r="G1464" s="1" t="str">
        <f>IFERROR(__xludf.DUMMYFUNCTION("""COMPUTED_VALUE"""),"PR059")</f>
        <v>PR059</v>
      </c>
      <c r="H1464" s="1" t="str">
        <f>IFERROR(__xludf.DUMMYFUNCTION("""COMPUTED_VALUE"""),"VD019")</f>
        <v>VD019</v>
      </c>
      <c r="I1464" s="1">
        <f>IFERROR(__xludf.DUMMYFUNCTION("""COMPUTED_VALUE"""),7.0)</f>
        <v>7</v>
      </c>
      <c r="J1464" s="1">
        <f>IFERROR(__xludf.DUMMYFUNCTION("""COMPUTED_VALUE"""),1285.2)</f>
        <v>1285.2</v>
      </c>
      <c r="K1464" s="1">
        <f>IFERROR(__xludf.DUMMYFUNCTION("""COMPUTED_VALUE"""),1285.2)</f>
        <v>1285.2</v>
      </c>
    </row>
    <row r="1465">
      <c r="A1465" s="1">
        <f>IFERROR(__xludf.DUMMYFUNCTION("""COMPUTED_VALUE"""),1000.0)</f>
        <v>1000</v>
      </c>
      <c r="B1465" s="1">
        <f>IFERROR(__xludf.DUMMYFUNCTION("""COMPUTED_VALUE"""),184522.0)</f>
        <v>184522</v>
      </c>
      <c r="C1465" s="1">
        <f>IFERROR(__xludf.DUMMYFUNCTION("""COMPUTED_VALUE"""),2026.0)</f>
        <v>2026</v>
      </c>
      <c r="D1465" s="1">
        <f>IFERROR(__xludf.DUMMYFUNCTION("""COMPUTED_VALUE"""),46078.0)</f>
        <v>46078</v>
      </c>
      <c r="E1465" s="1" t="str">
        <f>IFERROR(__xludf.DUMMYFUNCTION("""COMPUTED_VALUE"""),"VF")</f>
        <v>VF</v>
      </c>
      <c r="F1465" s="1">
        <f>IFERROR(__xludf.DUMMYFUNCTION("""COMPUTED_VALUE"""),1.0)</f>
        <v>1</v>
      </c>
      <c r="G1465" s="1" t="str">
        <f>IFERROR(__xludf.DUMMYFUNCTION("""COMPUTED_VALUE"""),"PR048")</f>
        <v>PR048</v>
      </c>
      <c r="H1465" s="1" t="str">
        <f>IFERROR(__xludf.DUMMYFUNCTION("""COMPUTED_VALUE"""),"VD034")</f>
        <v>VD034</v>
      </c>
      <c r="I1465" s="1">
        <f>IFERROR(__xludf.DUMMYFUNCTION("""COMPUTED_VALUE"""),20.0)</f>
        <v>20</v>
      </c>
      <c r="J1465" s="1">
        <f>IFERROR(__xludf.DUMMYFUNCTION("""COMPUTED_VALUE"""),6145.88)</f>
        <v>6145.88</v>
      </c>
      <c r="K1465" s="1">
        <f>IFERROR(__xludf.DUMMYFUNCTION("""COMPUTED_VALUE"""),6145.88)</f>
        <v>6145.88</v>
      </c>
    </row>
    <row r="1466">
      <c r="A1466" s="1">
        <f>IFERROR(__xludf.DUMMYFUNCTION("""COMPUTED_VALUE"""),1000.0)</f>
        <v>1000</v>
      </c>
      <c r="B1466" s="1">
        <f>IFERROR(__xludf.DUMMYFUNCTION("""COMPUTED_VALUE"""),184523.0)</f>
        <v>184523</v>
      </c>
      <c r="C1466" s="1">
        <f>IFERROR(__xludf.DUMMYFUNCTION("""COMPUTED_VALUE"""),2026.0)</f>
        <v>2026</v>
      </c>
      <c r="D1466" s="1">
        <f>IFERROR(__xludf.DUMMYFUNCTION("""COMPUTED_VALUE"""),46077.0)</f>
        <v>46077</v>
      </c>
      <c r="E1466" s="1" t="str">
        <f>IFERROR(__xludf.DUMMYFUNCTION("""COMPUTED_VALUE"""),"VF")</f>
        <v>VF</v>
      </c>
      <c r="F1466" s="1">
        <f>IFERROR(__xludf.DUMMYFUNCTION("""COMPUTED_VALUE"""),1.0)</f>
        <v>1</v>
      </c>
      <c r="G1466" s="1" t="str">
        <f>IFERROR(__xludf.DUMMYFUNCTION("""COMPUTED_VALUE"""),"PR047")</f>
        <v>PR047</v>
      </c>
      <c r="H1466" s="1" t="str">
        <f>IFERROR(__xludf.DUMMYFUNCTION("""COMPUTED_VALUE"""),"VD048")</f>
        <v>VD048</v>
      </c>
      <c r="I1466" s="1">
        <f>IFERROR(__xludf.DUMMYFUNCTION("""COMPUTED_VALUE"""),10.0)</f>
        <v>10</v>
      </c>
      <c r="J1466" s="1">
        <f>IFERROR(__xludf.DUMMYFUNCTION("""COMPUTED_VALUE"""),3159.91)</f>
        <v>3159.91</v>
      </c>
      <c r="K1466" s="1">
        <f>IFERROR(__xludf.DUMMYFUNCTION("""COMPUTED_VALUE"""),3159.91)</f>
        <v>3159.91</v>
      </c>
    </row>
    <row r="1467">
      <c r="A1467" s="1">
        <f>IFERROR(__xludf.DUMMYFUNCTION("""COMPUTED_VALUE"""),1000.0)</f>
        <v>1000</v>
      </c>
      <c r="B1467" s="1">
        <f>IFERROR(__xludf.DUMMYFUNCTION("""COMPUTED_VALUE"""),184524.0)</f>
        <v>184524</v>
      </c>
      <c r="C1467" s="1">
        <f>IFERROR(__xludf.DUMMYFUNCTION("""COMPUTED_VALUE"""),2026.0)</f>
        <v>2026</v>
      </c>
      <c r="D1467" s="1">
        <f>IFERROR(__xludf.DUMMYFUNCTION("""COMPUTED_VALUE"""),46077.0)</f>
        <v>46077</v>
      </c>
      <c r="E1467" s="1" t="str">
        <f>IFERROR(__xludf.DUMMYFUNCTION("""COMPUTED_VALUE"""),"VF")</f>
        <v>VF</v>
      </c>
      <c r="F1467" s="1">
        <f>IFERROR(__xludf.DUMMYFUNCTION("""COMPUTED_VALUE"""),1.0)</f>
        <v>1</v>
      </c>
      <c r="G1467" s="1" t="str">
        <f>IFERROR(__xludf.DUMMYFUNCTION("""COMPUTED_VALUE"""),"PR029")</f>
        <v>PR029</v>
      </c>
      <c r="H1467" s="1" t="str">
        <f>IFERROR(__xludf.DUMMYFUNCTION("""COMPUTED_VALUE"""),"VD014")</f>
        <v>VD014</v>
      </c>
      <c r="I1467" s="1">
        <f>IFERROR(__xludf.DUMMYFUNCTION("""COMPUTED_VALUE"""),9.0)</f>
        <v>9</v>
      </c>
      <c r="J1467" s="1">
        <f>IFERROR(__xludf.DUMMYFUNCTION("""COMPUTED_VALUE"""),2340.9)</f>
        <v>2340.9</v>
      </c>
      <c r="K1467" s="1">
        <f>IFERROR(__xludf.DUMMYFUNCTION("""COMPUTED_VALUE"""),2340.9)</f>
        <v>2340.9</v>
      </c>
    </row>
    <row r="1468">
      <c r="A1468" s="1">
        <f>IFERROR(__xludf.DUMMYFUNCTION("""COMPUTED_VALUE"""),1000.0)</f>
        <v>1000</v>
      </c>
      <c r="B1468" s="1">
        <f>IFERROR(__xludf.DUMMYFUNCTION("""COMPUTED_VALUE"""),184524.0)</f>
        <v>184524</v>
      </c>
      <c r="C1468" s="1">
        <f>IFERROR(__xludf.DUMMYFUNCTION("""COMPUTED_VALUE"""),2026.0)</f>
        <v>2026</v>
      </c>
      <c r="D1468" s="1">
        <f>IFERROR(__xludf.DUMMYFUNCTION("""COMPUTED_VALUE"""),46077.0)</f>
        <v>46077</v>
      </c>
      <c r="E1468" s="1" t="str">
        <f>IFERROR(__xludf.DUMMYFUNCTION("""COMPUTED_VALUE"""),"VF")</f>
        <v>VF</v>
      </c>
      <c r="F1468" s="1">
        <f>IFERROR(__xludf.DUMMYFUNCTION("""COMPUTED_VALUE"""),2.0)</f>
        <v>2</v>
      </c>
      <c r="G1468" s="1" t="str">
        <f>IFERROR(__xludf.DUMMYFUNCTION("""COMPUTED_VALUE"""),"PR053")</f>
        <v>PR053</v>
      </c>
      <c r="H1468" s="1" t="str">
        <f>IFERROR(__xludf.DUMMYFUNCTION("""COMPUTED_VALUE"""),"VD043")</f>
        <v>VD043</v>
      </c>
      <c r="I1468" s="1">
        <f>IFERROR(__xludf.DUMMYFUNCTION("""COMPUTED_VALUE"""),6.0)</f>
        <v>6</v>
      </c>
      <c r="J1468" s="1">
        <f>IFERROR(__xludf.DUMMYFUNCTION("""COMPUTED_VALUE"""),299.4)</f>
        <v>299.4</v>
      </c>
      <c r="K1468" s="1">
        <f>IFERROR(__xludf.DUMMYFUNCTION("""COMPUTED_VALUE"""),299.4)</f>
        <v>299.4</v>
      </c>
    </row>
    <row r="1469">
      <c r="A1469" s="1">
        <f>IFERROR(__xludf.DUMMYFUNCTION("""COMPUTED_VALUE"""),1000.0)</f>
        <v>1000</v>
      </c>
      <c r="B1469" s="1">
        <f>IFERROR(__xludf.DUMMYFUNCTION("""COMPUTED_VALUE"""),184524.0)</f>
        <v>184524</v>
      </c>
      <c r="C1469" s="1">
        <f>IFERROR(__xludf.DUMMYFUNCTION("""COMPUTED_VALUE"""),2026.0)</f>
        <v>2026</v>
      </c>
      <c r="D1469" s="1">
        <f>IFERROR(__xludf.DUMMYFUNCTION("""COMPUTED_VALUE"""),46076.0)</f>
        <v>46076</v>
      </c>
      <c r="E1469" s="1" t="str">
        <f>IFERROR(__xludf.DUMMYFUNCTION("""COMPUTED_VALUE"""),"VF")</f>
        <v>VF</v>
      </c>
      <c r="F1469" s="1">
        <f>IFERROR(__xludf.DUMMYFUNCTION("""COMPUTED_VALUE"""),3.0)</f>
        <v>3</v>
      </c>
      <c r="G1469" s="1" t="str">
        <f>IFERROR(__xludf.DUMMYFUNCTION("""COMPUTED_VALUE"""),"PR005")</f>
        <v>PR005</v>
      </c>
      <c r="H1469" s="1" t="str">
        <f>IFERROR(__xludf.DUMMYFUNCTION("""COMPUTED_VALUE"""),"VD047")</f>
        <v>VD047</v>
      </c>
      <c r="I1469" s="1">
        <f>IFERROR(__xludf.DUMMYFUNCTION("""COMPUTED_VALUE"""),2.0)</f>
        <v>2</v>
      </c>
      <c r="J1469" s="1">
        <f>IFERROR(__xludf.DUMMYFUNCTION("""COMPUTED_VALUE"""),556.19)</f>
        <v>556.19</v>
      </c>
      <c r="K1469" s="1">
        <f>IFERROR(__xludf.DUMMYFUNCTION("""COMPUTED_VALUE"""),556.19)</f>
        <v>556.19</v>
      </c>
    </row>
    <row r="1470">
      <c r="A1470" s="1">
        <f>IFERROR(__xludf.DUMMYFUNCTION("""COMPUTED_VALUE"""),1000.0)</f>
        <v>1000</v>
      </c>
      <c r="B1470" s="1">
        <f>IFERROR(__xludf.DUMMYFUNCTION("""COMPUTED_VALUE"""),184524.0)</f>
        <v>184524</v>
      </c>
      <c r="C1470" s="1">
        <f>IFERROR(__xludf.DUMMYFUNCTION("""COMPUTED_VALUE"""),2026.0)</f>
        <v>2026</v>
      </c>
      <c r="D1470" s="1">
        <f>IFERROR(__xludf.DUMMYFUNCTION("""COMPUTED_VALUE"""),46076.0)</f>
        <v>46076</v>
      </c>
      <c r="E1470" s="1" t="str">
        <f>IFERROR(__xludf.DUMMYFUNCTION("""COMPUTED_VALUE"""),"VF")</f>
        <v>VF</v>
      </c>
      <c r="F1470" s="1">
        <f>IFERROR(__xludf.DUMMYFUNCTION("""COMPUTED_VALUE"""),4.0)</f>
        <v>4</v>
      </c>
      <c r="G1470" s="1" t="str">
        <f>IFERROR(__xludf.DUMMYFUNCTION("""COMPUTED_VALUE"""),"PR039")</f>
        <v>PR039</v>
      </c>
      <c r="H1470" s="1" t="str">
        <f>IFERROR(__xludf.DUMMYFUNCTION("""COMPUTED_VALUE"""),"VD020")</f>
        <v>VD020</v>
      </c>
      <c r="I1470" s="1">
        <f>IFERROR(__xludf.DUMMYFUNCTION("""COMPUTED_VALUE"""),2.0)</f>
        <v>2</v>
      </c>
      <c r="J1470" s="1">
        <f>IFERROR(__xludf.DUMMYFUNCTION("""COMPUTED_VALUE"""),292.0)</f>
        <v>292</v>
      </c>
      <c r="K1470" s="1">
        <f>IFERROR(__xludf.DUMMYFUNCTION("""COMPUTED_VALUE"""),292.0)</f>
        <v>292</v>
      </c>
    </row>
    <row r="1471">
      <c r="A1471" s="1">
        <f>IFERROR(__xludf.DUMMYFUNCTION("""COMPUTED_VALUE"""),1000.0)</f>
        <v>1000</v>
      </c>
      <c r="B1471" s="1">
        <f>IFERROR(__xludf.DUMMYFUNCTION("""COMPUTED_VALUE"""),184525.0)</f>
        <v>184525</v>
      </c>
      <c r="C1471" s="1">
        <f>IFERROR(__xludf.DUMMYFUNCTION("""COMPUTED_VALUE"""),2026.0)</f>
        <v>2026</v>
      </c>
      <c r="D1471" s="1">
        <f>IFERROR(__xludf.DUMMYFUNCTION("""COMPUTED_VALUE"""),46075.0)</f>
        <v>46075</v>
      </c>
      <c r="E1471" s="1" t="str">
        <f>IFERROR(__xludf.DUMMYFUNCTION("""COMPUTED_VALUE"""),"VF")</f>
        <v>VF</v>
      </c>
      <c r="F1471" s="1">
        <f>IFERROR(__xludf.DUMMYFUNCTION("""COMPUTED_VALUE"""),1.0)</f>
        <v>1</v>
      </c>
      <c r="G1471" s="1" t="str">
        <f>IFERROR(__xludf.DUMMYFUNCTION("""COMPUTED_VALUE"""),"PR031")</f>
        <v>PR031</v>
      </c>
      <c r="H1471" s="1" t="str">
        <f>IFERROR(__xludf.DUMMYFUNCTION("""COMPUTED_VALUE"""),"VD031")</f>
        <v>VD031</v>
      </c>
      <c r="I1471" s="1">
        <f>IFERROR(__xludf.DUMMYFUNCTION("""COMPUTED_VALUE"""),8.0)</f>
        <v>8</v>
      </c>
      <c r="J1471" s="1">
        <f>IFERROR(__xludf.DUMMYFUNCTION("""COMPUTED_VALUE"""),2097.2)</f>
        <v>2097.2</v>
      </c>
      <c r="K1471" s="1">
        <f>IFERROR(__xludf.DUMMYFUNCTION("""COMPUTED_VALUE"""),2097.2)</f>
        <v>2097.2</v>
      </c>
    </row>
    <row r="1472">
      <c r="A1472" s="1">
        <f>IFERROR(__xludf.DUMMYFUNCTION("""COMPUTED_VALUE"""),1000.0)</f>
        <v>1000</v>
      </c>
      <c r="B1472" s="1">
        <f>IFERROR(__xludf.DUMMYFUNCTION("""COMPUTED_VALUE"""),184526.0)</f>
        <v>184526</v>
      </c>
      <c r="C1472" s="1">
        <f>IFERROR(__xludf.DUMMYFUNCTION("""COMPUTED_VALUE"""),2026.0)</f>
        <v>2026</v>
      </c>
      <c r="D1472" s="1">
        <f>IFERROR(__xludf.DUMMYFUNCTION("""COMPUTED_VALUE"""),46075.0)</f>
        <v>46075</v>
      </c>
      <c r="E1472" s="1" t="str">
        <f>IFERROR(__xludf.DUMMYFUNCTION("""COMPUTED_VALUE"""),"VF")</f>
        <v>VF</v>
      </c>
      <c r="F1472" s="1">
        <f>IFERROR(__xludf.DUMMYFUNCTION("""COMPUTED_VALUE"""),1.0)</f>
        <v>1</v>
      </c>
      <c r="G1472" s="1" t="str">
        <f>IFERROR(__xludf.DUMMYFUNCTION("""COMPUTED_VALUE"""),"PR056")</f>
        <v>PR056</v>
      </c>
      <c r="H1472" s="1" t="str">
        <f>IFERROR(__xludf.DUMMYFUNCTION("""COMPUTED_VALUE"""),"VD022")</f>
        <v>VD022</v>
      </c>
      <c r="I1472" s="1">
        <f>IFERROR(__xludf.DUMMYFUNCTION("""COMPUTED_VALUE"""),10.0)</f>
        <v>10</v>
      </c>
      <c r="J1472" s="1">
        <f>IFERROR(__xludf.DUMMYFUNCTION("""COMPUTED_VALUE"""),961.93)</f>
        <v>961.93</v>
      </c>
      <c r="K1472" s="1">
        <f>IFERROR(__xludf.DUMMYFUNCTION("""COMPUTED_VALUE"""),961.93)</f>
        <v>961.93</v>
      </c>
    </row>
    <row r="1473">
      <c r="A1473" s="1">
        <f>IFERROR(__xludf.DUMMYFUNCTION("""COMPUTED_VALUE"""),2000.0)</f>
        <v>2000</v>
      </c>
      <c r="B1473" s="1">
        <f>IFERROR(__xludf.DUMMYFUNCTION("""COMPUTED_VALUE"""),184527.0)</f>
        <v>184527</v>
      </c>
      <c r="C1473" s="1">
        <f>IFERROR(__xludf.DUMMYFUNCTION("""COMPUTED_VALUE"""),2026.0)</f>
        <v>2026</v>
      </c>
      <c r="D1473" s="1">
        <f>IFERROR(__xludf.DUMMYFUNCTION("""COMPUTED_VALUE"""),46075.0)</f>
        <v>46075</v>
      </c>
      <c r="E1473" s="1" t="str">
        <f>IFERROR(__xludf.DUMMYFUNCTION("""COMPUTED_VALUE"""),"VF")</f>
        <v>VF</v>
      </c>
      <c r="F1473" s="1">
        <f>IFERROR(__xludf.DUMMYFUNCTION("""COMPUTED_VALUE"""),1.0)</f>
        <v>1</v>
      </c>
      <c r="G1473" s="1" t="str">
        <f>IFERROR(__xludf.DUMMYFUNCTION("""COMPUTED_VALUE"""),"PR018")</f>
        <v>PR018</v>
      </c>
      <c r="H1473" s="1" t="str">
        <f>IFERROR(__xludf.DUMMYFUNCTION("""COMPUTED_VALUE"""),"VD025")</f>
        <v>VD025</v>
      </c>
      <c r="I1473" s="1">
        <f>IFERROR(__xludf.DUMMYFUNCTION("""COMPUTED_VALUE"""),2.0)</f>
        <v>2</v>
      </c>
      <c r="J1473" s="1">
        <f>IFERROR(__xludf.DUMMYFUNCTION("""COMPUTED_VALUE"""),70.41)</f>
        <v>70.41</v>
      </c>
      <c r="K1473" s="1">
        <f>IFERROR(__xludf.DUMMYFUNCTION("""COMPUTED_VALUE"""),70.41)</f>
        <v>70.41</v>
      </c>
    </row>
    <row r="1474">
      <c r="A1474" s="1">
        <f>IFERROR(__xludf.DUMMYFUNCTION("""COMPUTED_VALUE"""),1000.0)</f>
        <v>1000</v>
      </c>
      <c r="B1474" s="1">
        <f>IFERROR(__xludf.DUMMYFUNCTION("""COMPUTED_VALUE"""),184528.0)</f>
        <v>184528</v>
      </c>
      <c r="C1474" s="1">
        <f>IFERROR(__xludf.DUMMYFUNCTION("""COMPUTED_VALUE"""),2026.0)</f>
        <v>2026</v>
      </c>
      <c r="D1474" s="1">
        <f>IFERROR(__xludf.DUMMYFUNCTION("""COMPUTED_VALUE"""),46075.0)</f>
        <v>46075</v>
      </c>
      <c r="E1474" s="1" t="str">
        <f>IFERROR(__xludf.DUMMYFUNCTION("""COMPUTED_VALUE"""),"VF")</f>
        <v>VF</v>
      </c>
      <c r="F1474" s="1">
        <f>IFERROR(__xludf.DUMMYFUNCTION("""COMPUTED_VALUE"""),1.0)</f>
        <v>1</v>
      </c>
      <c r="G1474" s="1" t="str">
        <f>IFERROR(__xludf.DUMMYFUNCTION("""COMPUTED_VALUE"""),"PR055")</f>
        <v>PR055</v>
      </c>
      <c r="H1474" s="1" t="str">
        <f>IFERROR(__xludf.DUMMYFUNCTION("""COMPUTED_VALUE"""),"VD020")</f>
        <v>VD020</v>
      </c>
      <c r="I1474" s="1">
        <f>IFERROR(__xludf.DUMMYFUNCTION("""COMPUTED_VALUE"""),10.0)</f>
        <v>10</v>
      </c>
      <c r="J1474" s="1">
        <f>IFERROR(__xludf.DUMMYFUNCTION("""COMPUTED_VALUE"""),925.97)</f>
        <v>925.97</v>
      </c>
      <c r="K1474" s="1">
        <f>IFERROR(__xludf.DUMMYFUNCTION("""COMPUTED_VALUE"""),925.97)</f>
        <v>925.97</v>
      </c>
    </row>
    <row r="1475">
      <c r="A1475" s="1">
        <f>IFERROR(__xludf.DUMMYFUNCTION("""COMPUTED_VALUE"""),1000.0)</f>
        <v>1000</v>
      </c>
      <c r="B1475" s="1">
        <f>IFERROR(__xludf.DUMMYFUNCTION("""COMPUTED_VALUE"""),184529.0)</f>
        <v>184529</v>
      </c>
      <c r="C1475" s="1">
        <f>IFERROR(__xludf.DUMMYFUNCTION("""COMPUTED_VALUE"""),2026.0)</f>
        <v>2026</v>
      </c>
      <c r="D1475" s="1">
        <f>IFERROR(__xludf.DUMMYFUNCTION("""COMPUTED_VALUE"""),46074.0)</f>
        <v>46074</v>
      </c>
      <c r="E1475" s="1" t="str">
        <f>IFERROR(__xludf.DUMMYFUNCTION("""COMPUTED_VALUE"""),"VF")</f>
        <v>VF</v>
      </c>
      <c r="F1475" s="1">
        <f>IFERROR(__xludf.DUMMYFUNCTION("""COMPUTED_VALUE"""),1.0)</f>
        <v>1</v>
      </c>
      <c r="G1475" s="1" t="str">
        <f>IFERROR(__xludf.DUMMYFUNCTION("""COMPUTED_VALUE"""),"PR047")</f>
        <v>PR047</v>
      </c>
      <c r="H1475" s="1" t="str">
        <f>IFERROR(__xludf.DUMMYFUNCTION("""COMPUTED_VALUE"""),"VD046")</f>
        <v>VD046</v>
      </c>
      <c r="I1475" s="1">
        <f>IFERROR(__xludf.DUMMYFUNCTION("""COMPUTED_VALUE"""),2.0)</f>
        <v>2</v>
      </c>
      <c r="J1475" s="1">
        <f>IFERROR(__xludf.DUMMYFUNCTION("""COMPUTED_VALUE"""),585.6)</f>
        <v>585.6</v>
      </c>
      <c r="K1475" s="1">
        <f>IFERROR(__xludf.DUMMYFUNCTION("""COMPUTED_VALUE"""),585.6)</f>
        <v>585.6</v>
      </c>
    </row>
    <row r="1476">
      <c r="A1476" s="1">
        <f>IFERROR(__xludf.DUMMYFUNCTION("""COMPUTED_VALUE"""),1000.0)</f>
        <v>1000</v>
      </c>
      <c r="B1476" s="1">
        <f>IFERROR(__xludf.DUMMYFUNCTION("""COMPUTED_VALUE"""),184530.0)</f>
        <v>184530</v>
      </c>
      <c r="C1476" s="1">
        <f>IFERROR(__xludf.DUMMYFUNCTION("""COMPUTED_VALUE"""),2026.0)</f>
        <v>2026</v>
      </c>
      <c r="D1476" s="1">
        <f>IFERROR(__xludf.DUMMYFUNCTION("""COMPUTED_VALUE"""),46074.0)</f>
        <v>46074</v>
      </c>
      <c r="E1476" s="1" t="str">
        <f>IFERROR(__xludf.DUMMYFUNCTION("""COMPUTED_VALUE"""),"VF")</f>
        <v>VF</v>
      </c>
      <c r="F1476" s="1">
        <f>IFERROR(__xludf.DUMMYFUNCTION("""COMPUTED_VALUE"""),1.0)</f>
        <v>1</v>
      </c>
      <c r="G1476" s="1" t="str">
        <f>IFERROR(__xludf.DUMMYFUNCTION("""COMPUTED_VALUE"""),"PR027")</f>
        <v>PR027</v>
      </c>
      <c r="H1476" s="1" t="str">
        <f>IFERROR(__xludf.DUMMYFUNCTION("""COMPUTED_VALUE"""),"VD044")</f>
        <v>VD044</v>
      </c>
      <c r="I1476" s="1">
        <f>IFERROR(__xludf.DUMMYFUNCTION("""COMPUTED_VALUE"""),8.0)</f>
        <v>8</v>
      </c>
      <c r="J1476" s="1">
        <f>IFERROR(__xludf.DUMMYFUNCTION("""COMPUTED_VALUE"""),998.4)</f>
        <v>998.4</v>
      </c>
      <c r="K1476" s="1">
        <f>IFERROR(__xludf.DUMMYFUNCTION("""COMPUTED_VALUE"""),998.4)</f>
        <v>998.4</v>
      </c>
    </row>
    <row r="1477">
      <c r="A1477" s="1">
        <f>IFERROR(__xludf.DUMMYFUNCTION("""COMPUTED_VALUE"""),1000.0)</f>
        <v>1000</v>
      </c>
      <c r="B1477" s="1">
        <f>IFERROR(__xludf.DUMMYFUNCTION("""COMPUTED_VALUE"""),184531.0)</f>
        <v>184531</v>
      </c>
      <c r="C1477" s="1">
        <f>IFERROR(__xludf.DUMMYFUNCTION("""COMPUTED_VALUE"""),2026.0)</f>
        <v>2026</v>
      </c>
      <c r="D1477" s="1">
        <f>IFERROR(__xludf.DUMMYFUNCTION("""COMPUTED_VALUE"""),46074.0)</f>
        <v>46074</v>
      </c>
      <c r="E1477" s="1" t="str">
        <f>IFERROR(__xludf.DUMMYFUNCTION("""COMPUTED_VALUE"""),"VF")</f>
        <v>VF</v>
      </c>
      <c r="F1477" s="1">
        <f>IFERROR(__xludf.DUMMYFUNCTION("""COMPUTED_VALUE"""),1.0)</f>
        <v>1</v>
      </c>
      <c r="G1477" s="1" t="str">
        <f>IFERROR(__xludf.DUMMYFUNCTION("""COMPUTED_VALUE"""),"PR047")</f>
        <v>PR047</v>
      </c>
      <c r="H1477" s="1" t="str">
        <f>IFERROR(__xludf.DUMMYFUNCTION("""COMPUTED_VALUE"""),"VD029")</f>
        <v>VD029</v>
      </c>
      <c r="I1477" s="1">
        <f>IFERROR(__xludf.DUMMYFUNCTION("""COMPUTED_VALUE"""),5.0)</f>
        <v>5</v>
      </c>
      <c r="J1477" s="1">
        <f>IFERROR(__xludf.DUMMYFUNCTION("""COMPUTED_VALUE"""),1492.99)</f>
        <v>1492.99</v>
      </c>
      <c r="K1477" s="1">
        <f>IFERROR(__xludf.DUMMYFUNCTION("""COMPUTED_VALUE"""),1492.99)</f>
        <v>1492.99</v>
      </c>
    </row>
    <row r="1478">
      <c r="A1478" s="1">
        <f>IFERROR(__xludf.DUMMYFUNCTION("""COMPUTED_VALUE"""),2000.0)</f>
        <v>2000</v>
      </c>
      <c r="B1478" s="1">
        <f>IFERROR(__xludf.DUMMYFUNCTION("""COMPUTED_VALUE"""),184532.0)</f>
        <v>184532</v>
      </c>
      <c r="C1478" s="1">
        <f>IFERROR(__xludf.DUMMYFUNCTION("""COMPUTED_VALUE"""),2026.0)</f>
        <v>2026</v>
      </c>
      <c r="D1478" s="1">
        <f>IFERROR(__xludf.DUMMYFUNCTION("""COMPUTED_VALUE"""),46074.0)</f>
        <v>46074</v>
      </c>
      <c r="E1478" s="1" t="str">
        <f>IFERROR(__xludf.DUMMYFUNCTION("""COMPUTED_VALUE"""),"VF")</f>
        <v>VF</v>
      </c>
      <c r="F1478" s="1">
        <f>IFERROR(__xludf.DUMMYFUNCTION("""COMPUTED_VALUE"""),1.0)</f>
        <v>1</v>
      </c>
      <c r="G1478" s="1" t="str">
        <f>IFERROR(__xludf.DUMMYFUNCTION("""COMPUTED_VALUE"""),"PR022")</f>
        <v>PR022</v>
      </c>
      <c r="H1478" s="1" t="str">
        <f>IFERROR(__xludf.DUMMYFUNCTION("""COMPUTED_VALUE"""),"VD021")</f>
        <v>VD021</v>
      </c>
      <c r="I1478" s="1">
        <f>IFERROR(__xludf.DUMMYFUNCTION("""COMPUTED_VALUE"""),2.0)</f>
        <v>2</v>
      </c>
      <c r="J1478" s="1">
        <f>IFERROR(__xludf.DUMMYFUNCTION("""COMPUTED_VALUE"""),636.0)</f>
        <v>636</v>
      </c>
      <c r="K1478" s="1">
        <f>IFERROR(__xludf.DUMMYFUNCTION("""COMPUTED_VALUE"""),636.0)</f>
        <v>636</v>
      </c>
    </row>
    <row r="1479">
      <c r="A1479" s="1">
        <f>IFERROR(__xludf.DUMMYFUNCTION("""COMPUTED_VALUE"""),1000.0)</f>
        <v>1000</v>
      </c>
      <c r="B1479" s="1">
        <f>IFERROR(__xludf.DUMMYFUNCTION("""COMPUTED_VALUE"""),184532.0)</f>
        <v>184532</v>
      </c>
      <c r="C1479" s="1">
        <f>IFERROR(__xludf.DUMMYFUNCTION("""COMPUTED_VALUE"""),2026.0)</f>
        <v>2026</v>
      </c>
      <c r="D1479" s="1">
        <f>IFERROR(__xludf.DUMMYFUNCTION("""COMPUTED_VALUE"""),46073.0)</f>
        <v>46073</v>
      </c>
      <c r="E1479" s="1" t="str">
        <f>IFERROR(__xludf.DUMMYFUNCTION("""COMPUTED_VALUE"""),"VF")</f>
        <v>VF</v>
      </c>
      <c r="F1479" s="1">
        <f>IFERROR(__xludf.DUMMYFUNCTION("""COMPUTED_VALUE"""),2.0)</f>
        <v>2</v>
      </c>
      <c r="G1479" s="1" t="str">
        <f>IFERROR(__xludf.DUMMYFUNCTION("""COMPUTED_VALUE"""),"PR050")</f>
        <v>PR050</v>
      </c>
      <c r="H1479" s="1" t="str">
        <f>IFERROR(__xludf.DUMMYFUNCTION("""COMPUTED_VALUE"""),"VD010")</f>
        <v>VD010</v>
      </c>
      <c r="I1479" s="1">
        <f>IFERROR(__xludf.DUMMYFUNCTION("""COMPUTED_VALUE"""),16.0)</f>
        <v>16</v>
      </c>
      <c r="J1479" s="1">
        <f>IFERROR(__xludf.DUMMYFUNCTION("""COMPUTED_VALUE"""),573.78)</f>
        <v>573.78</v>
      </c>
      <c r="K1479" s="1">
        <f>IFERROR(__xludf.DUMMYFUNCTION("""COMPUTED_VALUE"""),573.78)</f>
        <v>573.78</v>
      </c>
    </row>
    <row r="1480">
      <c r="A1480" s="1">
        <f>IFERROR(__xludf.DUMMYFUNCTION("""COMPUTED_VALUE"""),2000.0)</f>
        <v>2000</v>
      </c>
      <c r="B1480" s="1">
        <f>IFERROR(__xludf.DUMMYFUNCTION("""COMPUTED_VALUE"""),184533.0)</f>
        <v>184533</v>
      </c>
      <c r="C1480" s="1">
        <f>IFERROR(__xludf.DUMMYFUNCTION("""COMPUTED_VALUE"""),2026.0)</f>
        <v>2026</v>
      </c>
      <c r="D1480" s="1">
        <f>IFERROR(__xludf.DUMMYFUNCTION("""COMPUTED_VALUE"""),46073.0)</f>
        <v>46073</v>
      </c>
      <c r="E1480" s="1" t="str">
        <f>IFERROR(__xludf.DUMMYFUNCTION("""COMPUTED_VALUE"""),"VF")</f>
        <v>VF</v>
      </c>
      <c r="F1480" s="1">
        <f>IFERROR(__xludf.DUMMYFUNCTION("""COMPUTED_VALUE"""),1.0)</f>
        <v>1</v>
      </c>
      <c r="G1480" s="1" t="str">
        <f>IFERROR(__xludf.DUMMYFUNCTION("""COMPUTED_VALUE"""),"PR019")</f>
        <v>PR019</v>
      </c>
      <c r="H1480" s="1" t="str">
        <f>IFERROR(__xludf.DUMMYFUNCTION("""COMPUTED_VALUE"""),"VD030")</f>
        <v>VD030</v>
      </c>
      <c r="I1480" s="1">
        <f>IFERROR(__xludf.DUMMYFUNCTION("""COMPUTED_VALUE"""),18.0)</f>
        <v>18</v>
      </c>
      <c r="J1480" s="1">
        <f>IFERROR(__xludf.DUMMYFUNCTION("""COMPUTED_VALUE"""),934.13)</f>
        <v>934.13</v>
      </c>
      <c r="K1480" s="1">
        <f>IFERROR(__xludf.DUMMYFUNCTION("""COMPUTED_VALUE"""),934.13)</f>
        <v>934.13</v>
      </c>
    </row>
    <row r="1481">
      <c r="A1481" s="1">
        <f>IFERROR(__xludf.DUMMYFUNCTION("""COMPUTED_VALUE"""),1000.0)</f>
        <v>1000</v>
      </c>
      <c r="B1481" s="1">
        <f>IFERROR(__xludf.DUMMYFUNCTION("""COMPUTED_VALUE"""),184533.0)</f>
        <v>184533</v>
      </c>
      <c r="C1481" s="1">
        <f>IFERROR(__xludf.DUMMYFUNCTION("""COMPUTED_VALUE"""),2026.0)</f>
        <v>2026</v>
      </c>
      <c r="D1481" s="1">
        <f>IFERROR(__xludf.DUMMYFUNCTION("""COMPUTED_VALUE"""),46073.0)</f>
        <v>46073</v>
      </c>
      <c r="E1481" s="1" t="str">
        <f>IFERROR(__xludf.DUMMYFUNCTION("""COMPUTED_VALUE"""),"VF")</f>
        <v>VF</v>
      </c>
      <c r="F1481" s="1">
        <f>IFERROR(__xludf.DUMMYFUNCTION("""COMPUTED_VALUE"""),2.0)</f>
        <v>2</v>
      </c>
      <c r="G1481" s="1" t="str">
        <f>IFERROR(__xludf.DUMMYFUNCTION("""COMPUTED_VALUE"""),"PR030")</f>
        <v>PR030</v>
      </c>
      <c r="H1481" s="1" t="str">
        <f>IFERROR(__xludf.DUMMYFUNCTION("""COMPUTED_VALUE"""),"VD043")</f>
        <v>VD043</v>
      </c>
      <c r="I1481" s="1">
        <f>IFERROR(__xludf.DUMMYFUNCTION("""COMPUTED_VALUE"""),18.0)</f>
        <v>18</v>
      </c>
      <c r="J1481" s="1">
        <f>IFERROR(__xludf.DUMMYFUNCTION("""COMPUTED_VALUE"""),4912.11)</f>
        <v>4912.11</v>
      </c>
      <c r="K1481" s="1">
        <f>IFERROR(__xludf.DUMMYFUNCTION("""COMPUTED_VALUE"""),4912.11)</f>
        <v>4912.11</v>
      </c>
    </row>
    <row r="1482">
      <c r="A1482" s="1">
        <f>IFERROR(__xludf.DUMMYFUNCTION("""COMPUTED_VALUE"""),2000.0)</f>
        <v>2000</v>
      </c>
      <c r="B1482" s="1">
        <f>IFERROR(__xludf.DUMMYFUNCTION("""COMPUTED_VALUE"""),184534.0)</f>
        <v>184534</v>
      </c>
      <c r="C1482" s="1">
        <f>IFERROR(__xludf.DUMMYFUNCTION("""COMPUTED_VALUE"""),2026.0)</f>
        <v>2026</v>
      </c>
      <c r="D1482" s="1">
        <f>IFERROR(__xludf.DUMMYFUNCTION("""COMPUTED_VALUE"""),46073.0)</f>
        <v>46073</v>
      </c>
      <c r="E1482" s="1" t="str">
        <f>IFERROR(__xludf.DUMMYFUNCTION("""COMPUTED_VALUE"""),"VF")</f>
        <v>VF</v>
      </c>
      <c r="F1482" s="1">
        <f>IFERROR(__xludf.DUMMYFUNCTION("""COMPUTED_VALUE"""),1.0)</f>
        <v>1</v>
      </c>
      <c r="G1482" s="1" t="str">
        <f>IFERROR(__xludf.DUMMYFUNCTION("""COMPUTED_VALUE"""),"PR030")</f>
        <v>PR030</v>
      </c>
      <c r="H1482" s="1" t="str">
        <f>IFERROR(__xludf.DUMMYFUNCTION("""COMPUTED_VALUE"""),"VD021")</f>
        <v>VD021</v>
      </c>
      <c r="I1482" s="1">
        <f>IFERROR(__xludf.DUMMYFUNCTION("""COMPUTED_VALUE"""),12.0)</f>
        <v>12</v>
      </c>
      <c r="J1482" s="1">
        <f>IFERROR(__xludf.DUMMYFUNCTION("""COMPUTED_VALUE"""),3181.18)</f>
        <v>3181.18</v>
      </c>
      <c r="K1482" s="1">
        <f>IFERROR(__xludf.DUMMYFUNCTION("""COMPUTED_VALUE"""),3181.18)</f>
        <v>3181.18</v>
      </c>
    </row>
    <row r="1483">
      <c r="A1483" s="1">
        <f>IFERROR(__xludf.DUMMYFUNCTION("""COMPUTED_VALUE"""),1000.0)</f>
        <v>1000</v>
      </c>
      <c r="B1483" s="1">
        <f>IFERROR(__xludf.DUMMYFUNCTION("""COMPUTED_VALUE"""),184534.0)</f>
        <v>184534</v>
      </c>
      <c r="C1483" s="1">
        <f>IFERROR(__xludf.DUMMYFUNCTION("""COMPUTED_VALUE"""),2026.0)</f>
        <v>2026</v>
      </c>
      <c r="D1483" s="1">
        <f>IFERROR(__xludf.DUMMYFUNCTION("""COMPUTED_VALUE"""),46073.0)</f>
        <v>46073</v>
      </c>
      <c r="E1483" s="1" t="str">
        <f>IFERROR(__xludf.DUMMYFUNCTION("""COMPUTED_VALUE"""),"VF")</f>
        <v>VF</v>
      </c>
      <c r="F1483" s="1">
        <f>IFERROR(__xludf.DUMMYFUNCTION("""COMPUTED_VALUE"""),2.0)</f>
        <v>2</v>
      </c>
      <c r="G1483" s="1" t="str">
        <f>IFERROR(__xludf.DUMMYFUNCTION("""COMPUTED_VALUE"""),"PR026")</f>
        <v>PR026</v>
      </c>
      <c r="H1483" s="1" t="str">
        <f>IFERROR(__xludf.DUMMYFUNCTION("""COMPUTED_VALUE"""),"VD043")</f>
        <v>VD043</v>
      </c>
      <c r="I1483" s="1">
        <f>IFERROR(__xludf.DUMMYFUNCTION("""COMPUTED_VALUE"""),10.0)</f>
        <v>10</v>
      </c>
      <c r="J1483" s="1">
        <f>IFERROR(__xludf.DUMMYFUNCTION("""COMPUTED_VALUE"""),3743.93)</f>
        <v>3743.93</v>
      </c>
      <c r="K1483" s="1">
        <f>IFERROR(__xludf.DUMMYFUNCTION("""COMPUTED_VALUE"""),3743.93)</f>
        <v>3743.93</v>
      </c>
    </row>
    <row r="1484">
      <c r="A1484" s="1">
        <f>IFERROR(__xludf.DUMMYFUNCTION("""COMPUTED_VALUE"""),1000.0)</f>
        <v>1000</v>
      </c>
      <c r="B1484" s="1">
        <f>IFERROR(__xludf.DUMMYFUNCTION("""COMPUTED_VALUE"""),184535.0)</f>
        <v>184535</v>
      </c>
      <c r="C1484" s="1">
        <f>IFERROR(__xludf.DUMMYFUNCTION("""COMPUTED_VALUE"""),2026.0)</f>
        <v>2026</v>
      </c>
      <c r="D1484" s="1">
        <f>IFERROR(__xludf.DUMMYFUNCTION("""COMPUTED_VALUE"""),46072.0)</f>
        <v>46072</v>
      </c>
      <c r="E1484" s="1" t="str">
        <f>IFERROR(__xludf.DUMMYFUNCTION("""COMPUTED_VALUE"""),"VF")</f>
        <v>VF</v>
      </c>
      <c r="F1484" s="1">
        <f>IFERROR(__xludf.DUMMYFUNCTION("""COMPUTED_VALUE"""),1.0)</f>
        <v>1</v>
      </c>
      <c r="G1484" s="1" t="str">
        <f>IFERROR(__xludf.DUMMYFUNCTION("""COMPUTED_VALUE"""),"PR025")</f>
        <v>PR025</v>
      </c>
      <c r="H1484" s="1" t="str">
        <f>IFERROR(__xludf.DUMMYFUNCTION("""COMPUTED_VALUE"""),"VD021")</f>
        <v>VD021</v>
      </c>
      <c r="I1484" s="1">
        <f>IFERROR(__xludf.DUMMYFUNCTION("""COMPUTED_VALUE"""),16.0)</f>
        <v>16</v>
      </c>
      <c r="J1484" s="1">
        <f>IFERROR(__xludf.DUMMYFUNCTION("""COMPUTED_VALUE"""),5182.27)</f>
        <v>5182.27</v>
      </c>
      <c r="K1484" s="1">
        <f>IFERROR(__xludf.DUMMYFUNCTION("""COMPUTED_VALUE"""),5182.27)</f>
        <v>5182.27</v>
      </c>
    </row>
    <row r="1485">
      <c r="A1485" s="1">
        <f>IFERROR(__xludf.DUMMYFUNCTION("""COMPUTED_VALUE"""),1000.0)</f>
        <v>1000</v>
      </c>
      <c r="B1485" s="1">
        <f>IFERROR(__xludf.DUMMYFUNCTION("""COMPUTED_VALUE"""),184535.0)</f>
        <v>184535</v>
      </c>
      <c r="C1485" s="1">
        <f>IFERROR(__xludf.DUMMYFUNCTION("""COMPUTED_VALUE"""),2026.0)</f>
        <v>2026</v>
      </c>
      <c r="D1485" s="1">
        <f>IFERROR(__xludf.DUMMYFUNCTION("""COMPUTED_VALUE"""),46072.0)</f>
        <v>46072</v>
      </c>
      <c r="E1485" s="1" t="str">
        <f>IFERROR(__xludf.DUMMYFUNCTION("""COMPUTED_VALUE"""),"VF")</f>
        <v>VF</v>
      </c>
      <c r="F1485" s="1">
        <f>IFERROR(__xludf.DUMMYFUNCTION("""COMPUTED_VALUE"""),2.0)</f>
        <v>2</v>
      </c>
      <c r="G1485" s="1" t="str">
        <f>IFERROR(__xludf.DUMMYFUNCTION("""COMPUTED_VALUE"""),"PR039")</f>
        <v>PR039</v>
      </c>
      <c r="H1485" s="1" t="str">
        <f>IFERROR(__xludf.DUMMYFUNCTION("""COMPUTED_VALUE"""),"VD019")</f>
        <v>VD019</v>
      </c>
      <c r="I1485" s="1">
        <f>IFERROR(__xludf.DUMMYFUNCTION("""COMPUTED_VALUE"""),20.0)</f>
        <v>20</v>
      </c>
      <c r="J1485" s="1">
        <f>IFERROR(__xludf.DUMMYFUNCTION("""COMPUTED_VALUE"""),3036.8)</f>
        <v>3036.8</v>
      </c>
      <c r="K1485" s="1">
        <f>IFERROR(__xludf.DUMMYFUNCTION("""COMPUTED_VALUE"""),3036.8)</f>
        <v>3036.8</v>
      </c>
    </row>
    <row r="1486">
      <c r="A1486" s="1">
        <f>IFERROR(__xludf.DUMMYFUNCTION("""COMPUTED_VALUE"""),1000.0)</f>
        <v>1000</v>
      </c>
      <c r="B1486" s="1">
        <f>IFERROR(__xludf.DUMMYFUNCTION("""COMPUTED_VALUE"""),184536.0)</f>
        <v>184536</v>
      </c>
      <c r="C1486" s="1">
        <f>IFERROR(__xludf.DUMMYFUNCTION("""COMPUTED_VALUE"""),2026.0)</f>
        <v>2026</v>
      </c>
      <c r="D1486" s="1">
        <f>IFERROR(__xludf.DUMMYFUNCTION("""COMPUTED_VALUE"""),46072.0)</f>
        <v>46072</v>
      </c>
      <c r="E1486" s="1" t="str">
        <f>IFERROR(__xludf.DUMMYFUNCTION("""COMPUTED_VALUE"""),"VF")</f>
        <v>VF</v>
      </c>
      <c r="F1486" s="1">
        <f>IFERROR(__xludf.DUMMYFUNCTION("""COMPUTED_VALUE"""),1.0)</f>
        <v>1</v>
      </c>
      <c r="G1486" s="1" t="str">
        <f>IFERROR(__xludf.DUMMYFUNCTION("""COMPUTED_VALUE"""),"PR046")</f>
        <v>PR046</v>
      </c>
      <c r="H1486" s="1" t="str">
        <f>IFERROR(__xludf.DUMMYFUNCTION("""COMPUTED_VALUE"""),"VD022")</f>
        <v>VD022</v>
      </c>
      <c r="I1486" s="1">
        <f>IFERROR(__xludf.DUMMYFUNCTION("""COMPUTED_VALUE"""),4.0)</f>
        <v>4</v>
      </c>
      <c r="J1486" s="1">
        <f>IFERROR(__xludf.DUMMYFUNCTION("""COMPUTED_VALUE"""),1171.2)</f>
        <v>1171.2</v>
      </c>
      <c r="K1486" s="1">
        <f>IFERROR(__xludf.DUMMYFUNCTION("""COMPUTED_VALUE"""),1171.2)</f>
        <v>1171.2</v>
      </c>
    </row>
    <row r="1487">
      <c r="A1487" s="1">
        <f>IFERROR(__xludf.DUMMYFUNCTION("""COMPUTED_VALUE"""),1000.0)</f>
        <v>1000</v>
      </c>
      <c r="B1487" s="1">
        <f>IFERROR(__xludf.DUMMYFUNCTION("""COMPUTED_VALUE"""),184536.0)</f>
        <v>184536</v>
      </c>
      <c r="C1487" s="1">
        <f>IFERROR(__xludf.DUMMYFUNCTION("""COMPUTED_VALUE"""),2026.0)</f>
        <v>2026</v>
      </c>
      <c r="D1487" s="1">
        <f>IFERROR(__xludf.DUMMYFUNCTION("""COMPUTED_VALUE"""),46072.0)</f>
        <v>46072</v>
      </c>
      <c r="E1487" s="1" t="str">
        <f>IFERROR(__xludf.DUMMYFUNCTION("""COMPUTED_VALUE"""),"VF")</f>
        <v>VF</v>
      </c>
      <c r="F1487" s="1">
        <f>IFERROR(__xludf.DUMMYFUNCTION("""COMPUTED_VALUE"""),2.0)</f>
        <v>2</v>
      </c>
      <c r="G1487" s="1" t="str">
        <f>IFERROR(__xludf.DUMMYFUNCTION("""COMPUTED_VALUE"""),"PR043")</f>
        <v>PR043</v>
      </c>
      <c r="H1487" s="1" t="str">
        <f>IFERROR(__xludf.DUMMYFUNCTION("""COMPUTED_VALUE"""),"VD016")</f>
        <v>VD016</v>
      </c>
      <c r="I1487" s="1">
        <f>IFERROR(__xludf.DUMMYFUNCTION("""COMPUTED_VALUE"""),20.0)</f>
        <v>20</v>
      </c>
      <c r="J1487" s="1">
        <f>IFERROR(__xludf.DUMMYFUNCTION("""COMPUTED_VALUE"""),1595.0)</f>
        <v>1595</v>
      </c>
      <c r="K1487" s="1">
        <f>IFERROR(__xludf.DUMMYFUNCTION("""COMPUTED_VALUE"""),1595.0)</f>
        <v>1595</v>
      </c>
    </row>
    <row r="1488">
      <c r="A1488" s="1">
        <f>IFERROR(__xludf.DUMMYFUNCTION("""COMPUTED_VALUE"""),1000.0)</f>
        <v>1000</v>
      </c>
      <c r="B1488" s="1">
        <f>IFERROR(__xludf.DUMMYFUNCTION("""COMPUTED_VALUE"""),184536.0)</f>
        <v>184536</v>
      </c>
      <c r="C1488" s="1">
        <f>IFERROR(__xludf.DUMMYFUNCTION("""COMPUTED_VALUE"""),2026.0)</f>
        <v>2026</v>
      </c>
      <c r="D1488" s="1">
        <f>IFERROR(__xludf.DUMMYFUNCTION("""COMPUTED_VALUE"""),46072.0)</f>
        <v>46072</v>
      </c>
      <c r="E1488" s="1" t="str">
        <f>IFERROR(__xludf.DUMMYFUNCTION("""COMPUTED_VALUE"""),"VF")</f>
        <v>VF</v>
      </c>
      <c r="F1488" s="1">
        <f>IFERROR(__xludf.DUMMYFUNCTION("""COMPUTED_VALUE"""),3.0)</f>
        <v>3</v>
      </c>
      <c r="G1488" s="1" t="str">
        <f>IFERROR(__xludf.DUMMYFUNCTION("""COMPUTED_VALUE"""),"PR048")</f>
        <v>PR048</v>
      </c>
      <c r="H1488" s="1" t="str">
        <f>IFERROR(__xludf.DUMMYFUNCTION("""COMPUTED_VALUE"""),"VD023")</f>
        <v>VD023</v>
      </c>
      <c r="I1488" s="1">
        <f>IFERROR(__xludf.DUMMYFUNCTION("""COMPUTED_VALUE"""),3.0)</f>
        <v>3</v>
      </c>
      <c r="J1488" s="1">
        <f>IFERROR(__xludf.DUMMYFUNCTION("""COMPUTED_VALUE"""),887.09)</f>
        <v>887.09</v>
      </c>
      <c r="K1488" s="1">
        <f>IFERROR(__xludf.DUMMYFUNCTION("""COMPUTED_VALUE"""),887.09)</f>
        <v>887.09</v>
      </c>
    </row>
    <row r="1489">
      <c r="A1489" s="1">
        <f>IFERROR(__xludf.DUMMYFUNCTION("""COMPUTED_VALUE"""),1000.0)</f>
        <v>1000</v>
      </c>
      <c r="B1489" s="1">
        <f>IFERROR(__xludf.DUMMYFUNCTION("""COMPUTED_VALUE"""),184536.0)</f>
        <v>184536</v>
      </c>
      <c r="C1489" s="1">
        <f>IFERROR(__xludf.DUMMYFUNCTION("""COMPUTED_VALUE"""),2026.0)</f>
        <v>2026</v>
      </c>
      <c r="D1489" s="1">
        <f>IFERROR(__xludf.DUMMYFUNCTION("""COMPUTED_VALUE"""),46072.0)</f>
        <v>46072</v>
      </c>
      <c r="E1489" s="1" t="str">
        <f>IFERROR(__xludf.DUMMYFUNCTION("""COMPUTED_VALUE"""),"VF")</f>
        <v>VF</v>
      </c>
      <c r="F1489" s="1">
        <f>IFERROR(__xludf.DUMMYFUNCTION("""COMPUTED_VALUE"""),4.0)</f>
        <v>4</v>
      </c>
      <c r="G1489" s="1" t="str">
        <f>IFERROR(__xludf.DUMMYFUNCTION("""COMPUTED_VALUE"""),"PR039")</f>
        <v>PR039</v>
      </c>
      <c r="H1489" s="1" t="str">
        <f>IFERROR(__xludf.DUMMYFUNCTION("""COMPUTED_VALUE"""),"VD025")</f>
        <v>VD025</v>
      </c>
      <c r="I1489" s="1">
        <f>IFERROR(__xludf.DUMMYFUNCTION("""COMPUTED_VALUE"""),10.0)</f>
        <v>10</v>
      </c>
      <c r="J1489" s="1">
        <f>IFERROR(__xludf.DUMMYFUNCTION("""COMPUTED_VALUE"""),1533.0)</f>
        <v>1533</v>
      </c>
      <c r="K1489" s="1">
        <f>IFERROR(__xludf.DUMMYFUNCTION("""COMPUTED_VALUE"""),1533.0)</f>
        <v>1533</v>
      </c>
    </row>
    <row r="1490">
      <c r="A1490" s="1">
        <f>IFERROR(__xludf.DUMMYFUNCTION("""COMPUTED_VALUE"""),1000.0)</f>
        <v>1000</v>
      </c>
      <c r="B1490" s="1">
        <f>IFERROR(__xludf.DUMMYFUNCTION("""COMPUTED_VALUE"""),184537.0)</f>
        <v>184537</v>
      </c>
      <c r="C1490" s="1">
        <f>IFERROR(__xludf.DUMMYFUNCTION("""COMPUTED_VALUE"""),2026.0)</f>
        <v>2026</v>
      </c>
      <c r="D1490" s="1">
        <f>IFERROR(__xludf.DUMMYFUNCTION("""COMPUTED_VALUE"""),46072.0)</f>
        <v>46072</v>
      </c>
      <c r="E1490" s="1" t="str">
        <f>IFERROR(__xludf.DUMMYFUNCTION("""COMPUTED_VALUE"""),"VF")</f>
        <v>VF</v>
      </c>
      <c r="F1490" s="1">
        <f>IFERROR(__xludf.DUMMYFUNCTION("""COMPUTED_VALUE"""),1.0)</f>
        <v>1</v>
      </c>
      <c r="G1490" s="1" t="str">
        <f>IFERROR(__xludf.DUMMYFUNCTION("""COMPUTED_VALUE"""),"PR060")</f>
        <v>PR060</v>
      </c>
      <c r="H1490" s="1" t="str">
        <f>IFERROR(__xludf.DUMMYFUNCTION("""COMPUTED_VALUE"""),"VD030")</f>
        <v>VD030</v>
      </c>
      <c r="I1490" s="1">
        <f>IFERROR(__xludf.DUMMYFUNCTION("""COMPUTED_VALUE"""),9.0)</f>
        <v>9</v>
      </c>
      <c r="J1490" s="1">
        <f>IFERROR(__xludf.DUMMYFUNCTION("""COMPUTED_VALUE"""),1717.2)</f>
        <v>1717.2</v>
      </c>
      <c r="K1490" s="1">
        <f>IFERROR(__xludf.DUMMYFUNCTION("""COMPUTED_VALUE"""),1717.2)</f>
        <v>1717.2</v>
      </c>
    </row>
    <row r="1491">
      <c r="A1491" s="1">
        <f>IFERROR(__xludf.DUMMYFUNCTION("""COMPUTED_VALUE"""),1000.0)</f>
        <v>1000</v>
      </c>
      <c r="B1491" s="1">
        <f>IFERROR(__xludf.DUMMYFUNCTION("""COMPUTED_VALUE"""),184538.0)</f>
        <v>184538</v>
      </c>
      <c r="C1491" s="1">
        <f>IFERROR(__xludf.DUMMYFUNCTION("""COMPUTED_VALUE"""),2026.0)</f>
        <v>2026</v>
      </c>
      <c r="D1491" s="1">
        <f>IFERROR(__xludf.DUMMYFUNCTION("""COMPUTED_VALUE"""),46072.0)</f>
        <v>46072</v>
      </c>
      <c r="E1491" s="1" t="str">
        <f>IFERROR(__xludf.DUMMYFUNCTION("""COMPUTED_VALUE"""),"VF")</f>
        <v>VF</v>
      </c>
      <c r="F1491" s="1">
        <f>IFERROR(__xludf.DUMMYFUNCTION("""COMPUTED_VALUE"""),1.0)</f>
        <v>1</v>
      </c>
      <c r="G1491" s="1" t="str">
        <f>IFERROR(__xludf.DUMMYFUNCTION("""COMPUTED_VALUE"""),"PR053")</f>
        <v>PR053</v>
      </c>
      <c r="H1491" s="1" t="str">
        <f>IFERROR(__xludf.DUMMYFUNCTION("""COMPUTED_VALUE"""),"VD043")</f>
        <v>VD043</v>
      </c>
      <c r="I1491" s="1">
        <f>IFERROR(__xludf.DUMMYFUNCTION("""COMPUTED_VALUE"""),5.0)</f>
        <v>5</v>
      </c>
      <c r="J1491" s="1">
        <f>IFERROR(__xludf.DUMMYFUNCTION("""COMPUTED_VALUE"""),254.49)</f>
        <v>254.49</v>
      </c>
      <c r="K1491" s="1">
        <f>IFERROR(__xludf.DUMMYFUNCTION("""COMPUTED_VALUE"""),254.49)</f>
        <v>254.49</v>
      </c>
    </row>
    <row r="1492">
      <c r="A1492" s="1">
        <f>IFERROR(__xludf.DUMMYFUNCTION("""COMPUTED_VALUE"""),1000.0)</f>
        <v>1000</v>
      </c>
      <c r="B1492" s="1">
        <f>IFERROR(__xludf.DUMMYFUNCTION("""COMPUTED_VALUE"""),184538.0)</f>
        <v>184538</v>
      </c>
      <c r="C1492" s="1">
        <f>IFERROR(__xludf.DUMMYFUNCTION("""COMPUTED_VALUE"""),2026.0)</f>
        <v>2026</v>
      </c>
      <c r="D1492" s="1">
        <f>IFERROR(__xludf.DUMMYFUNCTION("""COMPUTED_VALUE"""),46071.0)</f>
        <v>46071</v>
      </c>
      <c r="E1492" s="1" t="str">
        <f>IFERROR(__xludf.DUMMYFUNCTION("""COMPUTED_VALUE"""),"VF")</f>
        <v>VF</v>
      </c>
      <c r="F1492" s="1">
        <f>IFERROR(__xludf.DUMMYFUNCTION("""COMPUTED_VALUE"""),2.0)</f>
        <v>2</v>
      </c>
      <c r="G1492" s="1" t="str">
        <f>IFERROR(__xludf.DUMMYFUNCTION("""COMPUTED_VALUE"""),"PR057")</f>
        <v>PR057</v>
      </c>
      <c r="H1492" s="1" t="str">
        <f>IFERROR(__xludf.DUMMYFUNCTION("""COMPUTED_VALUE"""),"VD034")</f>
        <v>VD034</v>
      </c>
      <c r="I1492" s="1">
        <f>IFERROR(__xludf.DUMMYFUNCTION("""COMPUTED_VALUE"""),2.0)</f>
        <v>2</v>
      </c>
      <c r="J1492" s="1">
        <f>IFERROR(__xludf.DUMMYFUNCTION("""COMPUTED_VALUE"""),194.18)</f>
        <v>194.18</v>
      </c>
      <c r="K1492" s="1">
        <f>IFERROR(__xludf.DUMMYFUNCTION("""COMPUTED_VALUE"""),194.18)</f>
        <v>194.18</v>
      </c>
    </row>
    <row r="1493">
      <c r="A1493" s="1">
        <f>IFERROR(__xludf.DUMMYFUNCTION("""COMPUTED_VALUE"""),1000.0)</f>
        <v>1000</v>
      </c>
      <c r="B1493" s="1">
        <f>IFERROR(__xludf.DUMMYFUNCTION("""COMPUTED_VALUE"""),184538.0)</f>
        <v>184538</v>
      </c>
      <c r="C1493" s="1">
        <f>IFERROR(__xludf.DUMMYFUNCTION("""COMPUTED_VALUE"""),2026.0)</f>
        <v>2026</v>
      </c>
      <c r="D1493" s="1">
        <f>IFERROR(__xludf.DUMMYFUNCTION("""COMPUTED_VALUE"""),46071.0)</f>
        <v>46071</v>
      </c>
      <c r="E1493" s="1" t="str">
        <f>IFERROR(__xludf.DUMMYFUNCTION("""COMPUTED_VALUE"""),"VF")</f>
        <v>VF</v>
      </c>
      <c r="F1493" s="1">
        <f>IFERROR(__xludf.DUMMYFUNCTION("""COMPUTED_VALUE"""),3.0)</f>
        <v>3</v>
      </c>
      <c r="G1493" s="1" t="str">
        <f>IFERROR(__xludf.DUMMYFUNCTION("""COMPUTED_VALUE"""),"PR031")</f>
        <v>PR031</v>
      </c>
      <c r="H1493" s="1" t="str">
        <f>IFERROR(__xludf.DUMMYFUNCTION("""COMPUTED_VALUE"""),"VD046")</f>
        <v>VD046</v>
      </c>
      <c r="I1493" s="1">
        <f>IFERROR(__xludf.DUMMYFUNCTION("""COMPUTED_VALUE"""),5.0)</f>
        <v>5</v>
      </c>
      <c r="J1493" s="1">
        <f>IFERROR(__xludf.DUMMYFUNCTION("""COMPUTED_VALUE"""),1323.0)</f>
        <v>1323</v>
      </c>
      <c r="K1493" s="1">
        <f>IFERROR(__xludf.DUMMYFUNCTION("""COMPUTED_VALUE"""),1323.0)</f>
        <v>1323</v>
      </c>
    </row>
    <row r="1494">
      <c r="A1494" s="1">
        <f>IFERROR(__xludf.DUMMYFUNCTION("""COMPUTED_VALUE"""),1000.0)</f>
        <v>1000</v>
      </c>
      <c r="B1494" s="1">
        <f>IFERROR(__xludf.DUMMYFUNCTION("""COMPUTED_VALUE"""),184539.0)</f>
        <v>184539</v>
      </c>
      <c r="C1494" s="1">
        <f>IFERROR(__xludf.DUMMYFUNCTION("""COMPUTED_VALUE"""),2026.0)</f>
        <v>2026</v>
      </c>
      <c r="D1494" s="1">
        <f>IFERROR(__xludf.DUMMYFUNCTION("""COMPUTED_VALUE"""),46071.0)</f>
        <v>46071</v>
      </c>
      <c r="E1494" s="1" t="str">
        <f>IFERROR(__xludf.DUMMYFUNCTION("""COMPUTED_VALUE"""),"VF")</f>
        <v>VF</v>
      </c>
      <c r="F1494" s="1">
        <f>IFERROR(__xludf.DUMMYFUNCTION("""COMPUTED_VALUE"""),1.0)</f>
        <v>1</v>
      </c>
      <c r="G1494" s="1" t="str">
        <f>IFERROR(__xludf.DUMMYFUNCTION("""COMPUTED_VALUE"""),"PR025")</f>
        <v>PR025</v>
      </c>
      <c r="H1494" s="1" t="str">
        <f>IFERROR(__xludf.DUMMYFUNCTION("""COMPUTED_VALUE"""),"VD033")</f>
        <v>VD033</v>
      </c>
      <c r="I1494" s="1">
        <f>IFERROR(__xludf.DUMMYFUNCTION("""COMPUTED_VALUE"""),10.0)</f>
        <v>10</v>
      </c>
      <c r="J1494" s="1">
        <f>IFERROR(__xludf.DUMMYFUNCTION("""COMPUTED_VALUE"""),3088.97)</f>
        <v>3088.97</v>
      </c>
      <c r="K1494" s="1">
        <f>IFERROR(__xludf.DUMMYFUNCTION("""COMPUTED_VALUE"""),3088.97)</f>
        <v>3088.97</v>
      </c>
    </row>
    <row r="1495">
      <c r="A1495" s="1">
        <f>IFERROR(__xludf.DUMMYFUNCTION("""COMPUTED_VALUE"""),1000.0)</f>
        <v>1000</v>
      </c>
      <c r="B1495" s="1">
        <f>IFERROR(__xludf.DUMMYFUNCTION("""COMPUTED_VALUE"""),184540.0)</f>
        <v>184540</v>
      </c>
      <c r="C1495" s="1">
        <f>IFERROR(__xludf.DUMMYFUNCTION("""COMPUTED_VALUE"""),2026.0)</f>
        <v>2026</v>
      </c>
      <c r="D1495" s="1">
        <f>IFERROR(__xludf.DUMMYFUNCTION("""COMPUTED_VALUE"""),46071.0)</f>
        <v>46071</v>
      </c>
      <c r="E1495" s="1" t="str">
        <f>IFERROR(__xludf.DUMMYFUNCTION("""COMPUTED_VALUE"""),"VF")</f>
        <v>VF</v>
      </c>
      <c r="F1495" s="1">
        <f>IFERROR(__xludf.DUMMYFUNCTION("""COMPUTED_VALUE"""),1.0)</f>
        <v>1</v>
      </c>
      <c r="G1495" s="1" t="str">
        <f>IFERROR(__xludf.DUMMYFUNCTION("""COMPUTED_VALUE"""),"PR052")</f>
        <v>PR052</v>
      </c>
      <c r="H1495" s="1" t="str">
        <f>IFERROR(__xludf.DUMMYFUNCTION("""COMPUTED_VALUE"""),"VD011")</f>
        <v>VD011</v>
      </c>
      <c r="I1495" s="1">
        <f>IFERROR(__xludf.DUMMYFUNCTION("""COMPUTED_VALUE"""),4.0)</f>
        <v>4</v>
      </c>
      <c r="J1495" s="1">
        <f>IFERROR(__xludf.DUMMYFUNCTION("""COMPUTED_VALUE"""),213.57)</f>
        <v>213.57</v>
      </c>
      <c r="K1495" s="1">
        <f>IFERROR(__xludf.DUMMYFUNCTION("""COMPUTED_VALUE"""),213.57)</f>
        <v>213.57</v>
      </c>
    </row>
    <row r="1496">
      <c r="A1496" s="1">
        <f>IFERROR(__xludf.DUMMYFUNCTION("""COMPUTED_VALUE"""),1000.0)</f>
        <v>1000</v>
      </c>
      <c r="B1496" s="1">
        <f>IFERROR(__xludf.DUMMYFUNCTION("""COMPUTED_VALUE"""),184541.0)</f>
        <v>184541</v>
      </c>
      <c r="C1496" s="1">
        <f>IFERROR(__xludf.DUMMYFUNCTION("""COMPUTED_VALUE"""),2026.0)</f>
        <v>2026</v>
      </c>
      <c r="D1496" s="1">
        <f>IFERROR(__xludf.DUMMYFUNCTION("""COMPUTED_VALUE"""),46070.0)</f>
        <v>46070</v>
      </c>
      <c r="E1496" s="1" t="str">
        <f>IFERROR(__xludf.DUMMYFUNCTION("""COMPUTED_VALUE"""),"VF")</f>
        <v>VF</v>
      </c>
      <c r="F1496" s="1">
        <f>IFERROR(__xludf.DUMMYFUNCTION("""COMPUTED_VALUE"""),1.0)</f>
        <v>1</v>
      </c>
      <c r="G1496" s="1" t="str">
        <f>IFERROR(__xludf.DUMMYFUNCTION("""COMPUTED_VALUE"""),"PR001")</f>
        <v>PR001</v>
      </c>
      <c r="H1496" s="1" t="str">
        <f>IFERROR(__xludf.DUMMYFUNCTION("""COMPUTED_VALUE"""),"VD037")</f>
        <v>VD037</v>
      </c>
      <c r="I1496" s="1">
        <f>IFERROR(__xludf.DUMMYFUNCTION("""COMPUTED_VALUE"""),6.0)</f>
        <v>6</v>
      </c>
      <c r="J1496" s="1">
        <f>IFERROR(__xludf.DUMMYFUNCTION("""COMPUTED_VALUE"""),399.35)</f>
        <v>399.35</v>
      </c>
      <c r="K1496" s="1">
        <f>IFERROR(__xludf.DUMMYFUNCTION("""COMPUTED_VALUE"""),399.35)</f>
        <v>399.35</v>
      </c>
    </row>
    <row r="1497">
      <c r="A1497" s="1">
        <f>IFERROR(__xludf.DUMMYFUNCTION("""COMPUTED_VALUE"""),2000.0)</f>
        <v>2000</v>
      </c>
      <c r="B1497" s="1">
        <f>IFERROR(__xludf.DUMMYFUNCTION("""COMPUTED_VALUE"""),184542.0)</f>
        <v>184542</v>
      </c>
      <c r="C1497" s="1">
        <f>IFERROR(__xludf.DUMMYFUNCTION("""COMPUTED_VALUE"""),2026.0)</f>
        <v>2026</v>
      </c>
      <c r="D1497" s="1">
        <f>IFERROR(__xludf.DUMMYFUNCTION("""COMPUTED_VALUE"""),46070.0)</f>
        <v>46070</v>
      </c>
      <c r="E1497" s="1" t="str">
        <f>IFERROR(__xludf.DUMMYFUNCTION("""COMPUTED_VALUE"""),"VF")</f>
        <v>VF</v>
      </c>
      <c r="F1497" s="1">
        <f>IFERROR(__xludf.DUMMYFUNCTION("""COMPUTED_VALUE"""),1.0)</f>
        <v>1</v>
      </c>
      <c r="G1497" s="1" t="str">
        <f>IFERROR(__xludf.DUMMYFUNCTION("""COMPUTED_VALUE"""),"PR004")</f>
        <v>PR004</v>
      </c>
      <c r="H1497" s="1" t="str">
        <f>IFERROR(__xludf.DUMMYFUNCTION("""COMPUTED_VALUE"""),"VD041")</f>
        <v>VD041</v>
      </c>
      <c r="I1497" s="1">
        <f>IFERROR(__xludf.DUMMYFUNCTION("""COMPUTED_VALUE"""),18.0)</f>
        <v>18</v>
      </c>
      <c r="J1497" s="1">
        <f>IFERROR(__xludf.DUMMYFUNCTION("""COMPUTED_VALUE"""),2871.0)</f>
        <v>2871</v>
      </c>
      <c r="K1497" s="1">
        <f>IFERROR(__xludf.DUMMYFUNCTION("""COMPUTED_VALUE"""),2871.0)</f>
        <v>2871</v>
      </c>
    </row>
    <row r="1498">
      <c r="A1498" s="1">
        <f>IFERROR(__xludf.DUMMYFUNCTION("""COMPUTED_VALUE"""),1000.0)</f>
        <v>1000</v>
      </c>
      <c r="B1498" s="1">
        <f>IFERROR(__xludf.DUMMYFUNCTION("""COMPUTED_VALUE"""),184543.0)</f>
        <v>184543</v>
      </c>
      <c r="C1498" s="1">
        <f>IFERROR(__xludf.DUMMYFUNCTION("""COMPUTED_VALUE"""),2026.0)</f>
        <v>2026</v>
      </c>
      <c r="D1498" s="1">
        <f>IFERROR(__xludf.DUMMYFUNCTION("""COMPUTED_VALUE"""),46070.0)</f>
        <v>46070</v>
      </c>
      <c r="E1498" s="1" t="str">
        <f>IFERROR(__xludf.DUMMYFUNCTION("""COMPUTED_VALUE"""),"VF")</f>
        <v>VF</v>
      </c>
      <c r="F1498" s="1">
        <f>IFERROR(__xludf.DUMMYFUNCTION("""COMPUTED_VALUE"""),1.0)</f>
        <v>1</v>
      </c>
      <c r="G1498" s="1" t="str">
        <f>IFERROR(__xludf.DUMMYFUNCTION("""COMPUTED_VALUE"""),"PR038")</f>
        <v>PR038</v>
      </c>
      <c r="H1498" s="1" t="str">
        <f>IFERROR(__xludf.DUMMYFUNCTION("""COMPUTED_VALUE"""),"VD010")</f>
        <v>VD010</v>
      </c>
      <c r="I1498" s="1">
        <f>IFERROR(__xludf.DUMMYFUNCTION("""COMPUTED_VALUE"""),5.0)</f>
        <v>5</v>
      </c>
      <c r="J1498" s="1">
        <f>IFERROR(__xludf.DUMMYFUNCTION("""COMPUTED_VALUE"""),714.5)</f>
        <v>714.5</v>
      </c>
      <c r="K1498" s="1">
        <f>IFERROR(__xludf.DUMMYFUNCTION("""COMPUTED_VALUE"""),714.5)</f>
        <v>714.5</v>
      </c>
    </row>
    <row r="1499">
      <c r="A1499" s="1">
        <f>IFERROR(__xludf.DUMMYFUNCTION("""COMPUTED_VALUE"""),1000.0)</f>
        <v>1000</v>
      </c>
      <c r="B1499" s="1">
        <f>IFERROR(__xludf.DUMMYFUNCTION("""COMPUTED_VALUE"""),184543.0)</f>
        <v>184543</v>
      </c>
      <c r="C1499" s="1">
        <f>IFERROR(__xludf.DUMMYFUNCTION("""COMPUTED_VALUE"""),2026.0)</f>
        <v>2026</v>
      </c>
      <c r="D1499" s="1">
        <f>IFERROR(__xludf.DUMMYFUNCTION("""COMPUTED_VALUE"""),46069.0)</f>
        <v>46069</v>
      </c>
      <c r="E1499" s="1" t="str">
        <f>IFERROR(__xludf.DUMMYFUNCTION("""COMPUTED_VALUE"""),"VF")</f>
        <v>VF</v>
      </c>
      <c r="F1499" s="1">
        <f>IFERROR(__xludf.DUMMYFUNCTION("""COMPUTED_VALUE"""),2.0)</f>
        <v>2</v>
      </c>
      <c r="G1499" s="1" t="str">
        <f>IFERROR(__xludf.DUMMYFUNCTION("""COMPUTED_VALUE"""),"PR007")</f>
        <v>PR007</v>
      </c>
      <c r="H1499" s="1" t="str">
        <f>IFERROR(__xludf.DUMMYFUNCTION("""COMPUTED_VALUE"""),"VD011")</f>
        <v>VD011</v>
      </c>
      <c r="I1499" s="1">
        <f>IFERROR(__xludf.DUMMYFUNCTION("""COMPUTED_VALUE"""),2.0)</f>
        <v>2</v>
      </c>
      <c r="J1499" s="1">
        <f>IFERROR(__xludf.DUMMYFUNCTION("""COMPUTED_VALUE"""),180.39)</f>
        <v>180.39</v>
      </c>
      <c r="K1499" s="1">
        <f>IFERROR(__xludf.DUMMYFUNCTION("""COMPUTED_VALUE"""),180.39)</f>
        <v>180.39</v>
      </c>
    </row>
    <row r="1500">
      <c r="A1500" s="1">
        <f>IFERROR(__xludf.DUMMYFUNCTION("""COMPUTED_VALUE"""),1000.0)</f>
        <v>1000</v>
      </c>
      <c r="B1500" s="1">
        <f>IFERROR(__xludf.DUMMYFUNCTION("""COMPUTED_VALUE"""),184544.0)</f>
        <v>184544</v>
      </c>
      <c r="C1500" s="1">
        <f>IFERROR(__xludf.DUMMYFUNCTION("""COMPUTED_VALUE"""),2026.0)</f>
        <v>2026</v>
      </c>
      <c r="D1500" s="1">
        <f>IFERROR(__xludf.DUMMYFUNCTION("""COMPUTED_VALUE"""),46069.0)</f>
        <v>46069</v>
      </c>
      <c r="E1500" s="1" t="str">
        <f>IFERROR(__xludf.DUMMYFUNCTION("""COMPUTED_VALUE"""),"VF")</f>
        <v>VF</v>
      </c>
      <c r="F1500" s="1">
        <f>IFERROR(__xludf.DUMMYFUNCTION("""COMPUTED_VALUE"""),1.0)</f>
        <v>1</v>
      </c>
      <c r="G1500" s="1" t="str">
        <f>IFERROR(__xludf.DUMMYFUNCTION("""COMPUTED_VALUE"""),"PR018")</f>
        <v>PR018</v>
      </c>
      <c r="H1500" s="1" t="str">
        <f>IFERROR(__xludf.DUMMYFUNCTION("""COMPUTED_VALUE"""),"VD036")</f>
        <v>VD036</v>
      </c>
      <c r="I1500" s="1">
        <f>IFERROR(__xludf.DUMMYFUNCTION("""COMPUTED_VALUE"""),10.0)</f>
        <v>10</v>
      </c>
      <c r="J1500" s="1">
        <f>IFERROR(__xludf.DUMMYFUNCTION("""COMPUTED_VALUE"""),355.32)</f>
        <v>355.32</v>
      </c>
      <c r="K1500" s="1">
        <f>IFERROR(__xludf.DUMMYFUNCTION("""COMPUTED_VALUE"""),355.32)</f>
        <v>355.32</v>
      </c>
    </row>
    <row r="1501">
      <c r="A1501" s="1">
        <f>IFERROR(__xludf.DUMMYFUNCTION("""COMPUTED_VALUE"""),1000.0)</f>
        <v>1000</v>
      </c>
      <c r="B1501" s="1">
        <f>IFERROR(__xludf.DUMMYFUNCTION("""COMPUTED_VALUE"""),184545.0)</f>
        <v>184545</v>
      </c>
      <c r="C1501" s="1">
        <f>IFERROR(__xludf.DUMMYFUNCTION("""COMPUTED_VALUE"""),2026.0)</f>
        <v>2026</v>
      </c>
      <c r="D1501" s="1">
        <f>IFERROR(__xludf.DUMMYFUNCTION("""COMPUTED_VALUE"""),46069.0)</f>
        <v>46069</v>
      </c>
      <c r="E1501" s="1" t="str">
        <f>IFERROR(__xludf.DUMMYFUNCTION("""COMPUTED_VALUE"""),"VF")</f>
        <v>VF</v>
      </c>
      <c r="F1501" s="1">
        <f>IFERROR(__xludf.DUMMYFUNCTION("""COMPUTED_VALUE"""),1.0)</f>
        <v>1</v>
      </c>
      <c r="G1501" s="1" t="str">
        <f>IFERROR(__xludf.DUMMYFUNCTION("""COMPUTED_VALUE"""),"PR039")</f>
        <v>PR039</v>
      </c>
      <c r="H1501" s="1" t="str">
        <f>IFERROR(__xludf.DUMMYFUNCTION("""COMPUTED_VALUE"""),"VD026")</f>
        <v>VD026</v>
      </c>
      <c r="I1501" s="1">
        <f>IFERROR(__xludf.DUMMYFUNCTION("""COMPUTED_VALUE"""),10.0)</f>
        <v>10</v>
      </c>
      <c r="J1501" s="1">
        <f>IFERROR(__xludf.DUMMYFUNCTION("""COMPUTED_VALUE"""),1518.4)</f>
        <v>1518.4</v>
      </c>
      <c r="K1501" s="1">
        <f>IFERROR(__xludf.DUMMYFUNCTION("""COMPUTED_VALUE"""),1518.4)</f>
        <v>1518.4</v>
      </c>
    </row>
    <row r="1502">
      <c r="A1502" s="1">
        <f>IFERROR(__xludf.DUMMYFUNCTION("""COMPUTED_VALUE"""),1000.0)</f>
        <v>1000</v>
      </c>
      <c r="B1502" s="1">
        <f>IFERROR(__xludf.DUMMYFUNCTION("""COMPUTED_VALUE"""),184546.0)</f>
        <v>184546</v>
      </c>
      <c r="C1502" s="1">
        <f>IFERROR(__xludf.DUMMYFUNCTION("""COMPUTED_VALUE"""),2026.0)</f>
        <v>2026</v>
      </c>
      <c r="D1502" s="1">
        <f>IFERROR(__xludf.DUMMYFUNCTION("""COMPUTED_VALUE"""),46068.0)</f>
        <v>46068</v>
      </c>
      <c r="E1502" s="1" t="str">
        <f>IFERROR(__xludf.DUMMYFUNCTION("""COMPUTED_VALUE"""),"VF")</f>
        <v>VF</v>
      </c>
      <c r="F1502" s="1">
        <f>IFERROR(__xludf.DUMMYFUNCTION("""COMPUTED_VALUE"""),1.0)</f>
        <v>1</v>
      </c>
      <c r="G1502" s="1" t="str">
        <f>IFERROR(__xludf.DUMMYFUNCTION("""COMPUTED_VALUE"""),"PR022")</f>
        <v>PR022</v>
      </c>
      <c r="H1502" s="1" t="str">
        <f>IFERROR(__xludf.DUMMYFUNCTION("""COMPUTED_VALUE"""),"VD041")</f>
        <v>VD041</v>
      </c>
      <c r="I1502" s="1">
        <f>IFERROR(__xludf.DUMMYFUNCTION("""COMPUTED_VALUE"""),9.0)</f>
        <v>9</v>
      </c>
      <c r="J1502" s="1">
        <f>IFERROR(__xludf.DUMMYFUNCTION("""COMPUTED_VALUE"""),2808.0)</f>
        <v>2808</v>
      </c>
      <c r="K1502" s="1">
        <f>IFERROR(__xludf.DUMMYFUNCTION("""COMPUTED_VALUE"""),2808.0)</f>
        <v>2808</v>
      </c>
    </row>
    <row r="1503">
      <c r="A1503" s="1">
        <f>IFERROR(__xludf.DUMMYFUNCTION("""COMPUTED_VALUE"""),1000.0)</f>
        <v>1000</v>
      </c>
      <c r="B1503" s="1">
        <f>IFERROR(__xludf.DUMMYFUNCTION("""COMPUTED_VALUE"""),184547.0)</f>
        <v>184547</v>
      </c>
      <c r="C1503" s="1">
        <f>IFERROR(__xludf.DUMMYFUNCTION("""COMPUTED_VALUE"""),2026.0)</f>
        <v>2026</v>
      </c>
      <c r="D1503" s="1">
        <f>IFERROR(__xludf.DUMMYFUNCTION("""COMPUTED_VALUE"""),46068.0)</f>
        <v>46068</v>
      </c>
      <c r="E1503" s="1" t="str">
        <f>IFERROR(__xludf.DUMMYFUNCTION("""COMPUTED_VALUE"""),"VF")</f>
        <v>VF</v>
      </c>
      <c r="F1503" s="1">
        <f>IFERROR(__xludf.DUMMYFUNCTION("""COMPUTED_VALUE"""),1.0)</f>
        <v>1</v>
      </c>
      <c r="G1503" s="1" t="str">
        <f>IFERROR(__xludf.DUMMYFUNCTION("""COMPUTED_VALUE"""),"PR007")</f>
        <v>PR007</v>
      </c>
      <c r="H1503" s="1" t="str">
        <f>IFERROR(__xludf.DUMMYFUNCTION("""COMPUTED_VALUE"""),"VD020")</f>
        <v>VD020</v>
      </c>
      <c r="I1503" s="1">
        <f>IFERROR(__xludf.DUMMYFUNCTION("""COMPUTED_VALUE"""),18.0)</f>
        <v>18</v>
      </c>
      <c r="J1503" s="1">
        <f>IFERROR(__xludf.DUMMYFUNCTION("""COMPUTED_VALUE"""),1623.51)</f>
        <v>1623.51</v>
      </c>
      <c r="K1503" s="1">
        <f>IFERROR(__xludf.DUMMYFUNCTION("""COMPUTED_VALUE"""),1623.51)</f>
        <v>1623.51</v>
      </c>
    </row>
    <row r="1504">
      <c r="A1504" s="1">
        <f>IFERROR(__xludf.DUMMYFUNCTION("""COMPUTED_VALUE"""),2000.0)</f>
        <v>2000</v>
      </c>
      <c r="B1504" s="1">
        <f>IFERROR(__xludf.DUMMYFUNCTION("""COMPUTED_VALUE"""),184547.0)</f>
        <v>184547</v>
      </c>
      <c r="C1504" s="1">
        <f>IFERROR(__xludf.DUMMYFUNCTION("""COMPUTED_VALUE"""),2026.0)</f>
        <v>2026</v>
      </c>
      <c r="D1504" s="1">
        <f>IFERROR(__xludf.DUMMYFUNCTION("""COMPUTED_VALUE"""),46068.0)</f>
        <v>46068</v>
      </c>
      <c r="E1504" s="1" t="str">
        <f>IFERROR(__xludf.DUMMYFUNCTION("""COMPUTED_VALUE"""),"VF")</f>
        <v>VF</v>
      </c>
      <c r="F1504" s="1">
        <f>IFERROR(__xludf.DUMMYFUNCTION("""COMPUTED_VALUE"""),2.0)</f>
        <v>2</v>
      </c>
      <c r="G1504" s="1" t="str">
        <f>IFERROR(__xludf.DUMMYFUNCTION("""COMPUTED_VALUE"""),"PR059")</f>
        <v>PR059</v>
      </c>
      <c r="H1504" s="1" t="str">
        <f>IFERROR(__xludf.DUMMYFUNCTION("""COMPUTED_VALUE"""),"VD036")</f>
        <v>VD036</v>
      </c>
      <c r="I1504" s="1">
        <f>IFERROR(__xludf.DUMMYFUNCTION("""COMPUTED_VALUE"""),8.0)</f>
        <v>8</v>
      </c>
      <c r="J1504" s="1">
        <f>IFERROR(__xludf.DUMMYFUNCTION("""COMPUTED_VALUE"""),1512.0)</f>
        <v>1512</v>
      </c>
      <c r="K1504" s="1">
        <f>IFERROR(__xludf.DUMMYFUNCTION("""COMPUTED_VALUE"""),1512.0)</f>
        <v>1512</v>
      </c>
    </row>
    <row r="1505">
      <c r="A1505" s="1">
        <f>IFERROR(__xludf.DUMMYFUNCTION("""COMPUTED_VALUE"""),1000.0)</f>
        <v>1000</v>
      </c>
      <c r="B1505" s="1">
        <f>IFERROR(__xludf.DUMMYFUNCTION("""COMPUTED_VALUE"""),184547.0)</f>
        <v>184547</v>
      </c>
      <c r="C1505" s="1">
        <f>IFERROR(__xludf.DUMMYFUNCTION("""COMPUTED_VALUE"""),2026.0)</f>
        <v>2026</v>
      </c>
      <c r="D1505" s="1">
        <f>IFERROR(__xludf.DUMMYFUNCTION("""COMPUTED_VALUE"""),46068.0)</f>
        <v>46068</v>
      </c>
      <c r="E1505" s="1" t="str">
        <f>IFERROR(__xludf.DUMMYFUNCTION("""COMPUTED_VALUE"""),"VF")</f>
        <v>VF</v>
      </c>
      <c r="F1505" s="1">
        <f>IFERROR(__xludf.DUMMYFUNCTION("""COMPUTED_VALUE"""),3.0)</f>
        <v>3</v>
      </c>
      <c r="G1505" s="1" t="str">
        <f>IFERROR(__xludf.DUMMYFUNCTION("""COMPUTED_VALUE"""),"PR006")</f>
        <v>PR006</v>
      </c>
      <c r="H1505" s="1" t="str">
        <f>IFERROR(__xludf.DUMMYFUNCTION("""COMPUTED_VALUE"""),"VD038")</f>
        <v>VD038</v>
      </c>
      <c r="I1505" s="1">
        <f>IFERROR(__xludf.DUMMYFUNCTION("""COMPUTED_VALUE"""),12.0)</f>
        <v>12</v>
      </c>
      <c r="J1505" s="1">
        <f>IFERROR(__xludf.DUMMYFUNCTION("""COMPUTED_VALUE"""),526.68)</f>
        <v>526.68</v>
      </c>
      <c r="K1505" s="1">
        <f>IFERROR(__xludf.DUMMYFUNCTION("""COMPUTED_VALUE"""),526.68)</f>
        <v>526.68</v>
      </c>
    </row>
    <row r="1506">
      <c r="A1506" s="1">
        <f>IFERROR(__xludf.DUMMYFUNCTION("""COMPUTED_VALUE"""),1000.0)</f>
        <v>1000</v>
      </c>
      <c r="B1506" s="1">
        <f>IFERROR(__xludf.DUMMYFUNCTION("""COMPUTED_VALUE"""),184547.0)</f>
        <v>184547</v>
      </c>
      <c r="C1506" s="1">
        <f>IFERROR(__xludf.DUMMYFUNCTION("""COMPUTED_VALUE"""),2026.0)</f>
        <v>2026</v>
      </c>
      <c r="D1506" s="1">
        <f>IFERROR(__xludf.DUMMYFUNCTION("""COMPUTED_VALUE"""),46067.0)</f>
        <v>46067</v>
      </c>
      <c r="E1506" s="1" t="str">
        <f>IFERROR(__xludf.DUMMYFUNCTION("""COMPUTED_VALUE"""),"VF")</f>
        <v>VF</v>
      </c>
      <c r="F1506" s="1">
        <f>IFERROR(__xludf.DUMMYFUNCTION("""COMPUTED_VALUE"""),4.0)</f>
        <v>4</v>
      </c>
      <c r="G1506" s="1" t="str">
        <f>IFERROR(__xludf.DUMMYFUNCTION("""COMPUTED_VALUE"""),"PR017")</f>
        <v>PR017</v>
      </c>
      <c r="H1506" s="1" t="str">
        <f>IFERROR(__xludf.DUMMYFUNCTION("""COMPUTED_VALUE"""),"VD013")</f>
        <v>VD013</v>
      </c>
      <c r="I1506" s="1">
        <f>IFERROR(__xludf.DUMMYFUNCTION("""COMPUTED_VALUE"""),9.0)</f>
        <v>9</v>
      </c>
      <c r="J1506" s="1">
        <f>IFERROR(__xludf.DUMMYFUNCTION("""COMPUTED_VALUE"""),285.25)</f>
        <v>285.25</v>
      </c>
      <c r="K1506" s="1">
        <f>IFERROR(__xludf.DUMMYFUNCTION("""COMPUTED_VALUE"""),285.25)</f>
        <v>285.25</v>
      </c>
    </row>
    <row r="1507">
      <c r="A1507" s="1">
        <f>IFERROR(__xludf.DUMMYFUNCTION("""COMPUTED_VALUE"""),1000.0)</f>
        <v>1000</v>
      </c>
      <c r="B1507" s="1">
        <f>IFERROR(__xludf.DUMMYFUNCTION("""COMPUTED_VALUE"""),184548.0)</f>
        <v>184548</v>
      </c>
      <c r="C1507" s="1">
        <f>IFERROR(__xludf.DUMMYFUNCTION("""COMPUTED_VALUE"""),2026.0)</f>
        <v>2026</v>
      </c>
      <c r="D1507" s="1">
        <f>IFERROR(__xludf.DUMMYFUNCTION("""COMPUTED_VALUE"""),46067.0)</f>
        <v>46067</v>
      </c>
      <c r="E1507" s="1" t="str">
        <f>IFERROR(__xludf.DUMMYFUNCTION("""COMPUTED_VALUE"""),"VF")</f>
        <v>VF</v>
      </c>
      <c r="F1507" s="1">
        <f>IFERROR(__xludf.DUMMYFUNCTION("""COMPUTED_VALUE"""),1.0)</f>
        <v>1</v>
      </c>
      <c r="G1507" s="1" t="str">
        <f>IFERROR(__xludf.DUMMYFUNCTION("""COMPUTED_VALUE"""),"PR015")</f>
        <v>PR015</v>
      </c>
      <c r="H1507" s="1" t="str">
        <f>IFERROR(__xludf.DUMMYFUNCTION("""COMPUTED_VALUE"""),"VD032")</f>
        <v>VD032</v>
      </c>
      <c r="I1507" s="1">
        <f>IFERROR(__xludf.DUMMYFUNCTION("""COMPUTED_VALUE"""),3.0)</f>
        <v>3</v>
      </c>
      <c r="J1507" s="1">
        <f>IFERROR(__xludf.DUMMYFUNCTION("""COMPUTED_VALUE"""),140.25)</f>
        <v>140.25</v>
      </c>
      <c r="K1507" s="1">
        <f>IFERROR(__xludf.DUMMYFUNCTION("""COMPUTED_VALUE"""),140.25)</f>
        <v>140.25</v>
      </c>
    </row>
    <row r="1508">
      <c r="A1508" s="1">
        <f>IFERROR(__xludf.DUMMYFUNCTION("""COMPUTED_VALUE"""),1000.0)</f>
        <v>1000</v>
      </c>
      <c r="B1508" s="1">
        <f>IFERROR(__xludf.DUMMYFUNCTION("""COMPUTED_VALUE"""),184548.0)</f>
        <v>184548</v>
      </c>
      <c r="C1508" s="1">
        <f>IFERROR(__xludf.DUMMYFUNCTION("""COMPUTED_VALUE"""),2026.0)</f>
        <v>2026</v>
      </c>
      <c r="D1508" s="1">
        <f>IFERROR(__xludf.DUMMYFUNCTION("""COMPUTED_VALUE"""),46066.0)</f>
        <v>46066</v>
      </c>
      <c r="E1508" s="1" t="str">
        <f>IFERROR(__xludf.DUMMYFUNCTION("""COMPUTED_VALUE"""),"VF")</f>
        <v>VF</v>
      </c>
      <c r="F1508" s="1">
        <f>IFERROR(__xludf.DUMMYFUNCTION("""COMPUTED_VALUE"""),2.0)</f>
        <v>2</v>
      </c>
      <c r="G1508" s="1" t="str">
        <f>IFERROR(__xludf.DUMMYFUNCTION("""COMPUTED_VALUE"""),"PR051")</f>
        <v>PR051</v>
      </c>
      <c r="H1508" s="1" t="str">
        <f>IFERROR(__xludf.DUMMYFUNCTION("""COMPUTED_VALUE"""),"VD041")</f>
        <v>VD041</v>
      </c>
      <c r="I1508" s="1">
        <f>IFERROR(__xludf.DUMMYFUNCTION("""COMPUTED_VALUE"""),12.0)</f>
        <v>12</v>
      </c>
      <c r="J1508" s="1">
        <f>IFERROR(__xludf.DUMMYFUNCTION("""COMPUTED_VALUE"""),418.49)</f>
        <v>418.49</v>
      </c>
      <c r="K1508" s="1">
        <f>IFERROR(__xludf.DUMMYFUNCTION("""COMPUTED_VALUE"""),418.49)</f>
        <v>418.49</v>
      </c>
    </row>
    <row r="1509">
      <c r="A1509" s="1">
        <f>IFERROR(__xludf.DUMMYFUNCTION("""COMPUTED_VALUE"""),1000.0)</f>
        <v>1000</v>
      </c>
      <c r="B1509" s="1">
        <f>IFERROR(__xludf.DUMMYFUNCTION("""COMPUTED_VALUE"""),184548.0)</f>
        <v>184548</v>
      </c>
      <c r="C1509" s="1">
        <f>IFERROR(__xludf.DUMMYFUNCTION("""COMPUTED_VALUE"""),2026.0)</f>
        <v>2026</v>
      </c>
      <c r="D1509" s="1">
        <f>IFERROR(__xludf.DUMMYFUNCTION("""COMPUTED_VALUE"""),46066.0)</f>
        <v>46066</v>
      </c>
      <c r="E1509" s="1" t="str">
        <f>IFERROR(__xludf.DUMMYFUNCTION("""COMPUTED_VALUE"""),"VF")</f>
        <v>VF</v>
      </c>
      <c r="F1509" s="1">
        <f>IFERROR(__xludf.DUMMYFUNCTION("""COMPUTED_VALUE"""),3.0)</f>
        <v>3</v>
      </c>
      <c r="G1509" s="1" t="str">
        <f>IFERROR(__xludf.DUMMYFUNCTION("""COMPUTED_VALUE"""),"PR028")</f>
        <v>PR028</v>
      </c>
      <c r="H1509" s="1" t="str">
        <f>IFERROR(__xludf.DUMMYFUNCTION("""COMPUTED_VALUE"""),"VD011")</f>
        <v>VD011</v>
      </c>
      <c r="I1509" s="1">
        <f>IFERROR(__xludf.DUMMYFUNCTION("""COMPUTED_VALUE"""),16.0)</f>
        <v>16</v>
      </c>
      <c r="J1509" s="1">
        <f>IFERROR(__xludf.DUMMYFUNCTION("""COMPUTED_VALUE"""),4238.3)</f>
        <v>4238.3</v>
      </c>
      <c r="K1509" s="1">
        <f>IFERROR(__xludf.DUMMYFUNCTION("""COMPUTED_VALUE"""),4238.3)</f>
        <v>4238.3</v>
      </c>
    </row>
    <row r="1510">
      <c r="A1510" s="1">
        <f>IFERROR(__xludf.DUMMYFUNCTION("""COMPUTED_VALUE"""),1000.0)</f>
        <v>1000</v>
      </c>
      <c r="B1510" s="1">
        <f>IFERROR(__xludf.DUMMYFUNCTION("""COMPUTED_VALUE"""),184548.0)</f>
        <v>184548</v>
      </c>
      <c r="C1510" s="1">
        <f>IFERROR(__xludf.DUMMYFUNCTION("""COMPUTED_VALUE"""),2026.0)</f>
        <v>2026</v>
      </c>
      <c r="D1510" s="1">
        <f>IFERROR(__xludf.DUMMYFUNCTION("""COMPUTED_VALUE"""),46066.0)</f>
        <v>46066</v>
      </c>
      <c r="E1510" s="1" t="str">
        <f>IFERROR(__xludf.DUMMYFUNCTION("""COMPUTED_VALUE"""),"VF")</f>
        <v>VF</v>
      </c>
      <c r="F1510" s="1">
        <f>IFERROR(__xludf.DUMMYFUNCTION("""COMPUTED_VALUE"""),4.0)</f>
        <v>4</v>
      </c>
      <c r="G1510" s="1" t="str">
        <f>IFERROR(__xludf.DUMMYFUNCTION("""COMPUTED_VALUE"""),"PR052")</f>
        <v>PR052</v>
      </c>
      <c r="H1510" s="1" t="str">
        <f>IFERROR(__xludf.DUMMYFUNCTION("""COMPUTED_VALUE"""),"VD043")</f>
        <v>VD043</v>
      </c>
      <c r="I1510" s="1">
        <f>IFERROR(__xludf.DUMMYFUNCTION("""COMPUTED_VALUE"""),6.0)</f>
        <v>6</v>
      </c>
      <c r="J1510" s="1">
        <f>IFERROR(__xludf.DUMMYFUNCTION("""COMPUTED_VALUE"""),329.34)</f>
        <v>329.34</v>
      </c>
      <c r="K1510" s="1">
        <f>IFERROR(__xludf.DUMMYFUNCTION("""COMPUTED_VALUE"""),329.34)</f>
        <v>329.34</v>
      </c>
    </row>
    <row r="1511">
      <c r="A1511" s="1">
        <f>IFERROR(__xludf.DUMMYFUNCTION("""COMPUTED_VALUE"""),1000.0)</f>
        <v>1000</v>
      </c>
      <c r="B1511" s="1">
        <f>IFERROR(__xludf.DUMMYFUNCTION("""COMPUTED_VALUE"""),184548.0)</f>
        <v>184548</v>
      </c>
      <c r="C1511" s="1">
        <f>IFERROR(__xludf.DUMMYFUNCTION("""COMPUTED_VALUE"""),2026.0)</f>
        <v>2026</v>
      </c>
      <c r="D1511" s="1">
        <f>IFERROR(__xludf.DUMMYFUNCTION("""COMPUTED_VALUE"""),46066.0)</f>
        <v>46066</v>
      </c>
      <c r="E1511" s="1" t="str">
        <f>IFERROR(__xludf.DUMMYFUNCTION("""COMPUTED_VALUE"""),"VF")</f>
        <v>VF</v>
      </c>
      <c r="F1511" s="1">
        <f>IFERROR(__xludf.DUMMYFUNCTION("""COMPUTED_VALUE"""),5.0)</f>
        <v>5</v>
      </c>
      <c r="G1511" s="1" t="str">
        <f>IFERROR(__xludf.DUMMYFUNCTION("""COMPUTED_VALUE"""),"PR026")</f>
        <v>PR026</v>
      </c>
      <c r="H1511" s="1" t="str">
        <f>IFERROR(__xludf.DUMMYFUNCTION("""COMPUTED_VALUE"""),"VD045")</f>
        <v>VD045</v>
      </c>
      <c r="I1511" s="1">
        <f>IFERROR(__xludf.DUMMYFUNCTION("""COMPUTED_VALUE"""),4.0)</f>
        <v>4</v>
      </c>
      <c r="J1511" s="1">
        <f>IFERROR(__xludf.DUMMYFUNCTION("""COMPUTED_VALUE"""),1511.57)</f>
        <v>1511.57</v>
      </c>
      <c r="K1511" s="1">
        <f>IFERROR(__xludf.DUMMYFUNCTION("""COMPUTED_VALUE"""),1511.57)</f>
        <v>1511.57</v>
      </c>
    </row>
    <row r="1512">
      <c r="A1512" s="1">
        <f>IFERROR(__xludf.DUMMYFUNCTION("""COMPUTED_VALUE"""),1000.0)</f>
        <v>1000</v>
      </c>
      <c r="B1512" s="1">
        <f>IFERROR(__xludf.DUMMYFUNCTION("""COMPUTED_VALUE"""),184548.0)</f>
        <v>184548</v>
      </c>
      <c r="C1512" s="1">
        <f>IFERROR(__xludf.DUMMYFUNCTION("""COMPUTED_VALUE"""),2026.0)</f>
        <v>2026</v>
      </c>
      <c r="D1512" s="1">
        <f>IFERROR(__xludf.DUMMYFUNCTION("""COMPUTED_VALUE"""),46066.0)</f>
        <v>46066</v>
      </c>
      <c r="E1512" s="1" t="str">
        <f>IFERROR(__xludf.DUMMYFUNCTION("""COMPUTED_VALUE"""),"VF")</f>
        <v>VF</v>
      </c>
      <c r="F1512" s="1">
        <f>IFERROR(__xludf.DUMMYFUNCTION("""COMPUTED_VALUE"""),6.0)</f>
        <v>6</v>
      </c>
      <c r="G1512" s="1" t="str">
        <f>IFERROR(__xludf.DUMMYFUNCTION("""COMPUTED_VALUE"""),"PR007")</f>
        <v>PR007</v>
      </c>
      <c r="H1512" s="1" t="str">
        <f>IFERROR(__xludf.DUMMYFUNCTION("""COMPUTED_VALUE"""),"VD043")</f>
        <v>VD043</v>
      </c>
      <c r="I1512" s="1">
        <f>IFERROR(__xludf.DUMMYFUNCTION("""COMPUTED_VALUE"""),20.0)</f>
        <v>20</v>
      </c>
      <c r="J1512" s="1">
        <f>IFERROR(__xludf.DUMMYFUNCTION("""COMPUTED_VALUE"""),1735.18)</f>
        <v>1735.18</v>
      </c>
      <c r="K1512" s="1">
        <f>IFERROR(__xludf.DUMMYFUNCTION("""COMPUTED_VALUE"""),1735.18)</f>
        <v>1735.18</v>
      </c>
    </row>
    <row r="1513">
      <c r="A1513" s="1">
        <f>IFERROR(__xludf.DUMMYFUNCTION("""COMPUTED_VALUE"""),1000.0)</f>
        <v>1000</v>
      </c>
      <c r="B1513" s="1">
        <f>IFERROR(__xludf.DUMMYFUNCTION("""COMPUTED_VALUE"""),184549.0)</f>
        <v>184549</v>
      </c>
      <c r="C1513" s="1">
        <f>IFERROR(__xludf.DUMMYFUNCTION("""COMPUTED_VALUE"""),2026.0)</f>
        <v>2026</v>
      </c>
      <c r="D1513" s="1">
        <f>IFERROR(__xludf.DUMMYFUNCTION("""COMPUTED_VALUE"""),46066.0)</f>
        <v>46066</v>
      </c>
      <c r="E1513" s="1" t="str">
        <f>IFERROR(__xludf.DUMMYFUNCTION("""COMPUTED_VALUE"""),"VF")</f>
        <v>VF</v>
      </c>
      <c r="F1513" s="1">
        <f>IFERROR(__xludf.DUMMYFUNCTION("""COMPUTED_VALUE"""),1.0)</f>
        <v>1</v>
      </c>
      <c r="G1513" s="1" t="str">
        <f>IFERROR(__xludf.DUMMYFUNCTION("""COMPUTED_VALUE"""),"PR031")</f>
        <v>PR031</v>
      </c>
      <c r="H1513" s="1" t="str">
        <f>IFERROR(__xludf.DUMMYFUNCTION("""COMPUTED_VALUE"""),"VD026")</f>
        <v>VD026</v>
      </c>
      <c r="I1513" s="1">
        <f>IFERROR(__xludf.DUMMYFUNCTION("""COMPUTED_VALUE"""),16.0)</f>
        <v>16</v>
      </c>
      <c r="J1513" s="1">
        <f>IFERROR(__xludf.DUMMYFUNCTION("""COMPUTED_VALUE"""),4194.4)</f>
        <v>4194.4</v>
      </c>
      <c r="K1513" s="1">
        <f>IFERROR(__xludf.DUMMYFUNCTION("""COMPUTED_VALUE"""),4194.4)</f>
        <v>4194.4</v>
      </c>
    </row>
    <row r="1514">
      <c r="A1514" s="1">
        <f>IFERROR(__xludf.DUMMYFUNCTION("""COMPUTED_VALUE"""),1000.0)</f>
        <v>1000</v>
      </c>
      <c r="B1514" s="1">
        <f>IFERROR(__xludf.DUMMYFUNCTION("""COMPUTED_VALUE"""),184549.0)</f>
        <v>184549</v>
      </c>
      <c r="C1514" s="1">
        <f>IFERROR(__xludf.DUMMYFUNCTION("""COMPUTED_VALUE"""),2026.0)</f>
        <v>2026</v>
      </c>
      <c r="D1514" s="1">
        <f>IFERROR(__xludf.DUMMYFUNCTION("""COMPUTED_VALUE"""),46066.0)</f>
        <v>46066</v>
      </c>
      <c r="E1514" s="1" t="str">
        <f>IFERROR(__xludf.DUMMYFUNCTION("""COMPUTED_VALUE"""),"VF")</f>
        <v>VF</v>
      </c>
      <c r="F1514" s="1">
        <f>IFERROR(__xludf.DUMMYFUNCTION("""COMPUTED_VALUE"""),2.0)</f>
        <v>2</v>
      </c>
      <c r="G1514" s="1" t="str">
        <f>IFERROR(__xludf.DUMMYFUNCTION("""COMPUTED_VALUE"""),"PR002")</f>
        <v>PR002</v>
      </c>
      <c r="H1514" s="1" t="str">
        <f>IFERROR(__xludf.DUMMYFUNCTION("""COMPUTED_VALUE"""),"VD030")</f>
        <v>VD030</v>
      </c>
      <c r="I1514" s="1">
        <f>IFERROR(__xludf.DUMMYFUNCTION("""COMPUTED_VALUE"""),16.0)</f>
        <v>16</v>
      </c>
      <c r="J1514" s="1">
        <f>IFERROR(__xludf.DUMMYFUNCTION("""COMPUTED_VALUE"""),1118.4)</f>
        <v>1118.4</v>
      </c>
      <c r="K1514" s="1">
        <f>IFERROR(__xludf.DUMMYFUNCTION("""COMPUTED_VALUE"""),1118.4)</f>
        <v>1118.4</v>
      </c>
    </row>
    <row r="1515">
      <c r="A1515" s="1">
        <f>IFERROR(__xludf.DUMMYFUNCTION("""COMPUTED_VALUE"""),1000.0)</f>
        <v>1000</v>
      </c>
      <c r="B1515" s="1">
        <f>IFERROR(__xludf.DUMMYFUNCTION("""COMPUTED_VALUE"""),184549.0)</f>
        <v>184549</v>
      </c>
      <c r="C1515" s="1">
        <f>IFERROR(__xludf.DUMMYFUNCTION("""COMPUTED_VALUE"""),2026.0)</f>
        <v>2026</v>
      </c>
      <c r="D1515" s="1">
        <f>IFERROR(__xludf.DUMMYFUNCTION("""COMPUTED_VALUE"""),46066.0)</f>
        <v>46066</v>
      </c>
      <c r="E1515" s="1" t="str">
        <f>IFERROR(__xludf.DUMMYFUNCTION("""COMPUTED_VALUE"""),"VF")</f>
        <v>VF</v>
      </c>
      <c r="F1515" s="1">
        <f>IFERROR(__xludf.DUMMYFUNCTION("""COMPUTED_VALUE"""),3.0)</f>
        <v>3</v>
      </c>
      <c r="G1515" s="1" t="str">
        <f>IFERROR(__xludf.DUMMYFUNCTION("""COMPUTED_VALUE"""),"PR028")</f>
        <v>PR028</v>
      </c>
      <c r="H1515" s="1" t="str">
        <f>IFERROR(__xludf.DUMMYFUNCTION("""COMPUTED_VALUE"""),"VD023")</f>
        <v>VD023</v>
      </c>
      <c r="I1515" s="1">
        <f>IFERROR(__xludf.DUMMYFUNCTION("""COMPUTED_VALUE"""),7.0)</f>
        <v>7</v>
      </c>
      <c r="J1515" s="1">
        <f>IFERROR(__xludf.DUMMYFUNCTION("""COMPUTED_VALUE"""),1819.27)</f>
        <v>1819.27</v>
      </c>
      <c r="K1515" s="1">
        <f>IFERROR(__xludf.DUMMYFUNCTION("""COMPUTED_VALUE"""),1819.27)</f>
        <v>1819.27</v>
      </c>
    </row>
    <row r="1516">
      <c r="A1516" s="1">
        <f>IFERROR(__xludf.DUMMYFUNCTION("""COMPUTED_VALUE"""),1000.0)</f>
        <v>1000</v>
      </c>
      <c r="B1516" s="1">
        <f>IFERROR(__xludf.DUMMYFUNCTION("""COMPUTED_VALUE"""),184550.0)</f>
        <v>184550</v>
      </c>
      <c r="C1516" s="1">
        <f>IFERROR(__xludf.DUMMYFUNCTION("""COMPUTED_VALUE"""),2026.0)</f>
        <v>2026</v>
      </c>
      <c r="D1516" s="1">
        <f>IFERROR(__xludf.DUMMYFUNCTION("""COMPUTED_VALUE"""),46066.0)</f>
        <v>46066</v>
      </c>
      <c r="E1516" s="1" t="str">
        <f>IFERROR(__xludf.DUMMYFUNCTION("""COMPUTED_VALUE"""),"VF")</f>
        <v>VF</v>
      </c>
      <c r="F1516" s="1">
        <f>IFERROR(__xludf.DUMMYFUNCTION("""COMPUTED_VALUE"""),1.0)</f>
        <v>1</v>
      </c>
      <c r="G1516" s="1" t="str">
        <f>IFERROR(__xludf.DUMMYFUNCTION("""COMPUTED_VALUE"""),"PR042")</f>
        <v>PR042</v>
      </c>
      <c r="H1516" s="1" t="str">
        <f>IFERROR(__xludf.DUMMYFUNCTION("""COMPUTED_VALUE"""),"VD042")</f>
        <v>VD042</v>
      </c>
      <c r="I1516" s="1">
        <f>IFERROR(__xludf.DUMMYFUNCTION("""COMPUTED_VALUE"""),3.0)</f>
        <v>3</v>
      </c>
      <c r="J1516" s="1">
        <f>IFERROR(__xludf.DUMMYFUNCTION("""COMPUTED_VALUE"""),179.52)</f>
        <v>179.52</v>
      </c>
      <c r="K1516" s="1">
        <f>IFERROR(__xludf.DUMMYFUNCTION("""COMPUTED_VALUE"""),179.52)</f>
        <v>179.52</v>
      </c>
    </row>
    <row r="1517">
      <c r="A1517" s="1">
        <f>IFERROR(__xludf.DUMMYFUNCTION("""COMPUTED_VALUE"""),1000.0)</f>
        <v>1000</v>
      </c>
      <c r="B1517" s="1">
        <f>IFERROR(__xludf.DUMMYFUNCTION("""COMPUTED_VALUE"""),184551.0)</f>
        <v>184551</v>
      </c>
      <c r="C1517" s="1">
        <f>IFERROR(__xludf.DUMMYFUNCTION("""COMPUTED_VALUE"""),2026.0)</f>
        <v>2026</v>
      </c>
      <c r="D1517" s="1">
        <f>IFERROR(__xludf.DUMMYFUNCTION("""COMPUTED_VALUE"""),46066.0)</f>
        <v>46066</v>
      </c>
      <c r="E1517" s="1" t="str">
        <f>IFERROR(__xludf.DUMMYFUNCTION("""COMPUTED_VALUE"""),"VF")</f>
        <v>VF</v>
      </c>
      <c r="F1517" s="1">
        <f>IFERROR(__xludf.DUMMYFUNCTION("""COMPUTED_VALUE"""),1.0)</f>
        <v>1</v>
      </c>
      <c r="G1517" s="1" t="str">
        <f>IFERROR(__xludf.DUMMYFUNCTION("""COMPUTED_VALUE"""),"PR016")</f>
        <v>PR016</v>
      </c>
      <c r="H1517" s="1" t="str">
        <f>IFERROR(__xludf.DUMMYFUNCTION("""COMPUTED_VALUE"""),"VD028")</f>
        <v>VD028</v>
      </c>
      <c r="I1517" s="1">
        <f>IFERROR(__xludf.DUMMYFUNCTION("""COMPUTED_VALUE"""),20.0)</f>
        <v>20</v>
      </c>
      <c r="J1517" s="1">
        <f>IFERROR(__xludf.DUMMYFUNCTION("""COMPUTED_VALUE"""),554.26)</f>
        <v>554.26</v>
      </c>
      <c r="K1517" s="1">
        <f>IFERROR(__xludf.DUMMYFUNCTION("""COMPUTED_VALUE"""),554.26)</f>
        <v>554.26</v>
      </c>
    </row>
    <row r="1518">
      <c r="A1518" s="1">
        <f>IFERROR(__xludf.DUMMYFUNCTION("""COMPUTED_VALUE"""),1000.0)</f>
        <v>1000</v>
      </c>
      <c r="B1518" s="1">
        <f>IFERROR(__xludf.DUMMYFUNCTION("""COMPUTED_VALUE"""),184551.0)</f>
        <v>184551</v>
      </c>
      <c r="C1518" s="1">
        <f>IFERROR(__xludf.DUMMYFUNCTION("""COMPUTED_VALUE"""),2026.0)</f>
        <v>2026</v>
      </c>
      <c r="D1518" s="1">
        <f>IFERROR(__xludf.DUMMYFUNCTION("""COMPUTED_VALUE"""),46066.0)</f>
        <v>46066</v>
      </c>
      <c r="E1518" s="1" t="str">
        <f>IFERROR(__xludf.DUMMYFUNCTION("""COMPUTED_VALUE"""),"VF")</f>
        <v>VF</v>
      </c>
      <c r="F1518" s="1">
        <f>IFERROR(__xludf.DUMMYFUNCTION("""COMPUTED_VALUE"""),2.0)</f>
        <v>2</v>
      </c>
      <c r="G1518" s="1" t="str">
        <f>IFERROR(__xludf.DUMMYFUNCTION("""COMPUTED_VALUE"""),"PR029")</f>
        <v>PR029</v>
      </c>
      <c r="H1518" s="1" t="str">
        <f>IFERROR(__xludf.DUMMYFUNCTION("""COMPUTED_VALUE"""),"VD032")</f>
        <v>VD032</v>
      </c>
      <c r="I1518" s="1">
        <f>IFERROR(__xludf.DUMMYFUNCTION("""COMPUTED_VALUE"""),14.0)</f>
        <v>14</v>
      </c>
      <c r="J1518" s="1">
        <f>IFERROR(__xludf.DUMMYFUNCTION("""COMPUTED_VALUE"""),3677.1)</f>
        <v>3677.1</v>
      </c>
      <c r="K1518" s="1">
        <f>IFERROR(__xludf.DUMMYFUNCTION("""COMPUTED_VALUE"""),3677.1)</f>
        <v>3677.1</v>
      </c>
    </row>
    <row r="1519">
      <c r="A1519" s="1">
        <f>IFERROR(__xludf.DUMMYFUNCTION("""COMPUTED_VALUE"""),1000.0)</f>
        <v>1000</v>
      </c>
      <c r="B1519" s="1">
        <f>IFERROR(__xludf.DUMMYFUNCTION("""COMPUTED_VALUE"""),184551.0)</f>
        <v>184551</v>
      </c>
      <c r="C1519" s="1">
        <f>IFERROR(__xludf.DUMMYFUNCTION("""COMPUTED_VALUE"""),2026.0)</f>
        <v>2026</v>
      </c>
      <c r="D1519" s="1">
        <f>IFERROR(__xludf.DUMMYFUNCTION("""COMPUTED_VALUE"""),46066.0)</f>
        <v>46066</v>
      </c>
      <c r="E1519" s="1" t="str">
        <f>IFERROR(__xludf.DUMMYFUNCTION("""COMPUTED_VALUE"""),"VF")</f>
        <v>VF</v>
      </c>
      <c r="F1519" s="1">
        <f>IFERROR(__xludf.DUMMYFUNCTION("""COMPUTED_VALUE"""),3.0)</f>
        <v>3</v>
      </c>
      <c r="G1519" s="1" t="str">
        <f>IFERROR(__xludf.DUMMYFUNCTION("""COMPUTED_VALUE"""),"PR005")</f>
        <v>PR005</v>
      </c>
      <c r="H1519" s="1" t="str">
        <f>IFERROR(__xludf.DUMMYFUNCTION("""COMPUTED_VALUE"""),"VD043")</f>
        <v>VD043</v>
      </c>
      <c r="I1519" s="1">
        <f>IFERROR(__xludf.DUMMYFUNCTION("""COMPUTED_VALUE"""),6.0)</f>
        <v>6</v>
      </c>
      <c r="J1519" s="1">
        <f>IFERROR(__xludf.DUMMYFUNCTION("""COMPUTED_VALUE"""),1590.59)</f>
        <v>1590.59</v>
      </c>
      <c r="K1519" s="1">
        <f>IFERROR(__xludf.DUMMYFUNCTION("""COMPUTED_VALUE"""),1590.59)</f>
        <v>1590.59</v>
      </c>
    </row>
    <row r="1520">
      <c r="A1520" s="1">
        <f>IFERROR(__xludf.DUMMYFUNCTION("""COMPUTED_VALUE"""),1000.0)</f>
        <v>1000</v>
      </c>
      <c r="B1520" s="1">
        <f>IFERROR(__xludf.DUMMYFUNCTION("""COMPUTED_VALUE"""),184552.0)</f>
        <v>184552</v>
      </c>
      <c r="C1520" s="1">
        <f>IFERROR(__xludf.DUMMYFUNCTION("""COMPUTED_VALUE"""),2026.0)</f>
        <v>2026</v>
      </c>
      <c r="D1520" s="1">
        <f>IFERROR(__xludf.DUMMYFUNCTION("""COMPUTED_VALUE"""),46066.0)</f>
        <v>46066</v>
      </c>
      <c r="E1520" s="1" t="str">
        <f>IFERROR(__xludf.DUMMYFUNCTION("""COMPUTED_VALUE"""),"VF")</f>
        <v>VF</v>
      </c>
      <c r="F1520" s="1">
        <f>IFERROR(__xludf.DUMMYFUNCTION("""COMPUTED_VALUE"""),1.0)</f>
        <v>1</v>
      </c>
      <c r="G1520" s="1" t="str">
        <f>IFERROR(__xludf.DUMMYFUNCTION("""COMPUTED_VALUE"""),"PR036")</f>
        <v>PR036</v>
      </c>
      <c r="H1520" s="1" t="str">
        <f>IFERROR(__xludf.DUMMYFUNCTION("""COMPUTED_VALUE"""),"VD016")</f>
        <v>VD016</v>
      </c>
      <c r="I1520" s="1">
        <f>IFERROR(__xludf.DUMMYFUNCTION("""COMPUTED_VALUE"""),9.0)</f>
        <v>9</v>
      </c>
      <c r="J1520" s="1">
        <f>IFERROR(__xludf.DUMMYFUNCTION("""COMPUTED_VALUE"""),866.75)</f>
        <v>866.75</v>
      </c>
      <c r="K1520" s="1">
        <f>IFERROR(__xludf.DUMMYFUNCTION("""COMPUTED_VALUE"""),866.75)</f>
        <v>866.75</v>
      </c>
    </row>
    <row r="1521">
      <c r="A1521" s="1">
        <f>IFERROR(__xludf.DUMMYFUNCTION("""COMPUTED_VALUE"""),1000.0)</f>
        <v>1000</v>
      </c>
      <c r="B1521" s="1">
        <f>IFERROR(__xludf.DUMMYFUNCTION("""COMPUTED_VALUE"""),184552.0)</f>
        <v>184552</v>
      </c>
      <c r="C1521" s="1">
        <f>IFERROR(__xludf.DUMMYFUNCTION("""COMPUTED_VALUE"""),2026.0)</f>
        <v>2026</v>
      </c>
      <c r="D1521" s="1">
        <f>IFERROR(__xludf.DUMMYFUNCTION("""COMPUTED_VALUE"""),46065.0)</f>
        <v>46065</v>
      </c>
      <c r="E1521" s="1" t="str">
        <f>IFERROR(__xludf.DUMMYFUNCTION("""COMPUTED_VALUE"""),"VF")</f>
        <v>VF</v>
      </c>
      <c r="F1521" s="1">
        <f>IFERROR(__xludf.DUMMYFUNCTION("""COMPUTED_VALUE"""),2.0)</f>
        <v>2</v>
      </c>
      <c r="G1521" s="1" t="str">
        <f>IFERROR(__xludf.DUMMYFUNCTION("""COMPUTED_VALUE"""),"PR011")</f>
        <v>PR011</v>
      </c>
      <c r="H1521" s="1" t="str">
        <f>IFERROR(__xludf.DUMMYFUNCTION("""COMPUTED_VALUE"""),"VD024")</f>
        <v>VD024</v>
      </c>
      <c r="I1521" s="1">
        <f>IFERROR(__xludf.DUMMYFUNCTION("""COMPUTED_VALUE"""),8.0)</f>
        <v>8</v>
      </c>
      <c r="J1521" s="1">
        <f>IFERROR(__xludf.DUMMYFUNCTION("""COMPUTED_VALUE"""),390.21)</f>
        <v>390.21</v>
      </c>
      <c r="K1521" s="1">
        <f>IFERROR(__xludf.DUMMYFUNCTION("""COMPUTED_VALUE"""),390.21)</f>
        <v>390.21</v>
      </c>
    </row>
    <row r="1522">
      <c r="A1522" s="1">
        <f>IFERROR(__xludf.DUMMYFUNCTION("""COMPUTED_VALUE"""),1000.0)</f>
        <v>1000</v>
      </c>
      <c r="B1522" s="1">
        <f>IFERROR(__xludf.DUMMYFUNCTION("""COMPUTED_VALUE"""),184553.0)</f>
        <v>184553</v>
      </c>
      <c r="C1522" s="1">
        <f>IFERROR(__xludf.DUMMYFUNCTION("""COMPUTED_VALUE"""),2026.0)</f>
        <v>2026</v>
      </c>
      <c r="D1522" s="1">
        <f>IFERROR(__xludf.DUMMYFUNCTION("""COMPUTED_VALUE"""),46065.0)</f>
        <v>46065</v>
      </c>
      <c r="E1522" s="1" t="str">
        <f>IFERROR(__xludf.DUMMYFUNCTION("""COMPUTED_VALUE"""),"VF")</f>
        <v>VF</v>
      </c>
      <c r="F1522" s="1">
        <f>IFERROR(__xludf.DUMMYFUNCTION("""COMPUTED_VALUE"""),1.0)</f>
        <v>1</v>
      </c>
      <c r="G1522" s="1" t="str">
        <f>IFERROR(__xludf.DUMMYFUNCTION("""COMPUTED_VALUE"""),"PR042")</f>
        <v>PR042</v>
      </c>
      <c r="H1522" s="1" t="str">
        <f>IFERROR(__xludf.DUMMYFUNCTION("""COMPUTED_VALUE"""),"VD029")</f>
        <v>VD029</v>
      </c>
      <c r="I1522" s="1">
        <f>IFERROR(__xludf.DUMMYFUNCTION("""COMPUTED_VALUE"""),7.0)</f>
        <v>7</v>
      </c>
      <c r="J1522" s="1">
        <f>IFERROR(__xludf.DUMMYFUNCTION("""COMPUTED_VALUE"""),391.99)</f>
        <v>391.99</v>
      </c>
      <c r="K1522" s="1">
        <f>IFERROR(__xludf.DUMMYFUNCTION("""COMPUTED_VALUE"""),391.99)</f>
        <v>391.99</v>
      </c>
    </row>
    <row r="1523">
      <c r="A1523" s="1">
        <f>IFERROR(__xludf.DUMMYFUNCTION("""COMPUTED_VALUE"""),1000.0)</f>
        <v>1000</v>
      </c>
      <c r="B1523" s="1">
        <f>IFERROR(__xludf.DUMMYFUNCTION("""COMPUTED_VALUE"""),184554.0)</f>
        <v>184554</v>
      </c>
      <c r="C1523" s="1">
        <f>IFERROR(__xludf.DUMMYFUNCTION("""COMPUTED_VALUE"""),2026.0)</f>
        <v>2026</v>
      </c>
      <c r="D1523" s="1">
        <f>IFERROR(__xludf.DUMMYFUNCTION("""COMPUTED_VALUE"""),46065.0)</f>
        <v>46065</v>
      </c>
      <c r="E1523" s="1" t="str">
        <f>IFERROR(__xludf.DUMMYFUNCTION("""COMPUTED_VALUE"""),"VF")</f>
        <v>VF</v>
      </c>
      <c r="F1523" s="1">
        <f>IFERROR(__xludf.DUMMYFUNCTION("""COMPUTED_VALUE"""),1.0)</f>
        <v>1</v>
      </c>
      <c r="G1523" s="1" t="str">
        <f>IFERROR(__xludf.DUMMYFUNCTION("""COMPUTED_VALUE"""),"PR024")</f>
        <v>PR024</v>
      </c>
      <c r="H1523" s="1" t="str">
        <f>IFERROR(__xludf.DUMMYFUNCTION("""COMPUTED_VALUE"""),"VD036")</f>
        <v>VD036</v>
      </c>
      <c r="I1523" s="1">
        <f>IFERROR(__xludf.DUMMYFUNCTION("""COMPUTED_VALUE"""),5.0)</f>
        <v>5</v>
      </c>
      <c r="J1523" s="1">
        <f>IFERROR(__xludf.DUMMYFUNCTION("""COMPUTED_VALUE"""),1377.47)</f>
        <v>1377.47</v>
      </c>
      <c r="K1523" s="1">
        <f>IFERROR(__xludf.DUMMYFUNCTION("""COMPUTED_VALUE"""),1377.47)</f>
        <v>1377.47</v>
      </c>
    </row>
    <row r="1524">
      <c r="A1524" s="1">
        <f>IFERROR(__xludf.DUMMYFUNCTION("""COMPUTED_VALUE"""),1000.0)</f>
        <v>1000</v>
      </c>
      <c r="B1524" s="1">
        <f>IFERROR(__xludf.DUMMYFUNCTION("""COMPUTED_VALUE"""),184554.0)</f>
        <v>184554</v>
      </c>
      <c r="C1524" s="1">
        <f>IFERROR(__xludf.DUMMYFUNCTION("""COMPUTED_VALUE"""),2026.0)</f>
        <v>2026</v>
      </c>
      <c r="D1524" s="1">
        <f>IFERROR(__xludf.DUMMYFUNCTION("""COMPUTED_VALUE"""),46065.0)</f>
        <v>46065</v>
      </c>
      <c r="E1524" s="1" t="str">
        <f>IFERROR(__xludf.DUMMYFUNCTION("""COMPUTED_VALUE"""),"VF")</f>
        <v>VF</v>
      </c>
      <c r="F1524" s="1">
        <f>IFERROR(__xludf.DUMMYFUNCTION("""COMPUTED_VALUE"""),2.0)</f>
        <v>2</v>
      </c>
      <c r="G1524" s="1" t="str">
        <f>IFERROR(__xludf.DUMMYFUNCTION("""COMPUTED_VALUE"""),"PR055")</f>
        <v>PR055</v>
      </c>
      <c r="H1524" s="1" t="str">
        <f>IFERROR(__xludf.DUMMYFUNCTION("""COMPUTED_VALUE"""),"VD042")</f>
        <v>VD042</v>
      </c>
      <c r="I1524" s="1">
        <f>IFERROR(__xludf.DUMMYFUNCTION("""COMPUTED_VALUE"""),10.0)</f>
        <v>10</v>
      </c>
      <c r="J1524" s="1">
        <f>IFERROR(__xludf.DUMMYFUNCTION("""COMPUTED_VALUE"""),899.0)</f>
        <v>899</v>
      </c>
      <c r="K1524" s="1">
        <f>IFERROR(__xludf.DUMMYFUNCTION("""COMPUTED_VALUE"""),899.0)</f>
        <v>899</v>
      </c>
    </row>
    <row r="1525">
      <c r="A1525" s="1">
        <f>IFERROR(__xludf.DUMMYFUNCTION("""COMPUTED_VALUE"""),1000.0)</f>
        <v>1000</v>
      </c>
      <c r="B1525" s="1">
        <f>IFERROR(__xludf.DUMMYFUNCTION("""COMPUTED_VALUE"""),184554.0)</f>
        <v>184554</v>
      </c>
      <c r="C1525" s="1">
        <f>IFERROR(__xludf.DUMMYFUNCTION("""COMPUTED_VALUE"""),2026.0)</f>
        <v>2026</v>
      </c>
      <c r="D1525" s="1">
        <f>IFERROR(__xludf.DUMMYFUNCTION("""COMPUTED_VALUE"""),46065.0)</f>
        <v>46065</v>
      </c>
      <c r="E1525" s="1" t="str">
        <f>IFERROR(__xludf.DUMMYFUNCTION("""COMPUTED_VALUE"""),"VF")</f>
        <v>VF</v>
      </c>
      <c r="F1525" s="1">
        <f>IFERROR(__xludf.DUMMYFUNCTION("""COMPUTED_VALUE"""),3.0)</f>
        <v>3</v>
      </c>
      <c r="G1525" s="1" t="str">
        <f>IFERROR(__xludf.DUMMYFUNCTION("""COMPUTED_VALUE"""),"PR031")</f>
        <v>PR031</v>
      </c>
      <c r="H1525" s="1" t="str">
        <f>IFERROR(__xludf.DUMMYFUNCTION("""COMPUTED_VALUE"""),"VD039")</f>
        <v>VD039</v>
      </c>
      <c r="I1525" s="1">
        <f>IFERROR(__xludf.DUMMYFUNCTION("""COMPUTED_VALUE"""),7.0)</f>
        <v>7</v>
      </c>
      <c r="J1525" s="1">
        <f>IFERROR(__xludf.DUMMYFUNCTION("""COMPUTED_VALUE"""),1835.05)</f>
        <v>1835.05</v>
      </c>
      <c r="K1525" s="1">
        <f>IFERROR(__xludf.DUMMYFUNCTION("""COMPUTED_VALUE"""),1835.05)</f>
        <v>1835.05</v>
      </c>
    </row>
    <row r="1526">
      <c r="A1526" s="1">
        <f>IFERROR(__xludf.DUMMYFUNCTION("""COMPUTED_VALUE"""),1000.0)</f>
        <v>1000</v>
      </c>
      <c r="B1526" s="1">
        <f>IFERROR(__xludf.DUMMYFUNCTION("""COMPUTED_VALUE"""),184554.0)</f>
        <v>184554</v>
      </c>
      <c r="C1526" s="1">
        <f>IFERROR(__xludf.DUMMYFUNCTION("""COMPUTED_VALUE"""),2026.0)</f>
        <v>2026</v>
      </c>
      <c r="D1526" s="1">
        <f>IFERROR(__xludf.DUMMYFUNCTION("""COMPUTED_VALUE"""),46065.0)</f>
        <v>46065</v>
      </c>
      <c r="E1526" s="1" t="str">
        <f>IFERROR(__xludf.DUMMYFUNCTION("""COMPUTED_VALUE"""),"VF")</f>
        <v>VF</v>
      </c>
      <c r="F1526" s="1">
        <f>IFERROR(__xludf.DUMMYFUNCTION("""COMPUTED_VALUE"""),4.0)</f>
        <v>4</v>
      </c>
      <c r="G1526" s="1" t="str">
        <f>IFERROR(__xludf.DUMMYFUNCTION("""COMPUTED_VALUE"""),"PR051")</f>
        <v>PR051</v>
      </c>
      <c r="H1526" s="1" t="str">
        <f>IFERROR(__xludf.DUMMYFUNCTION("""COMPUTED_VALUE"""),"VD011")</f>
        <v>VD011</v>
      </c>
      <c r="I1526" s="1">
        <f>IFERROR(__xludf.DUMMYFUNCTION("""COMPUTED_VALUE"""),4.0)</f>
        <v>4</v>
      </c>
      <c r="J1526" s="1">
        <f>IFERROR(__xludf.DUMMYFUNCTION("""COMPUTED_VALUE"""),131.6)</f>
        <v>131.6</v>
      </c>
      <c r="K1526" s="1">
        <f>IFERROR(__xludf.DUMMYFUNCTION("""COMPUTED_VALUE"""),131.6)</f>
        <v>131.6</v>
      </c>
    </row>
    <row r="1527">
      <c r="A1527" s="1">
        <f>IFERROR(__xludf.DUMMYFUNCTION("""COMPUTED_VALUE"""),1000.0)</f>
        <v>1000</v>
      </c>
      <c r="B1527" s="1">
        <f>IFERROR(__xludf.DUMMYFUNCTION("""COMPUTED_VALUE"""),184555.0)</f>
        <v>184555</v>
      </c>
      <c r="C1527" s="1">
        <f>IFERROR(__xludf.DUMMYFUNCTION("""COMPUTED_VALUE"""),2026.0)</f>
        <v>2026</v>
      </c>
      <c r="D1527" s="1">
        <f>IFERROR(__xludf.DUMMYFUNCTION("""COMPUTED_VALUE"""),46065.0)</f>
        <v>46065</v>
      </c>
      <c r="E1527" s="1" t="str">
        <f>IFERROR(__xludf.DUMMYFUNCTION("""COMPUTED_VALUE"""),"VF")</f>
        <v>VF</v>
      </c>
      <c r="F1527" s="1">
        <f>IFERROR(__xludf.DUMMYFUNCTION("""COMPUTED_VALUE"""),1.0)</f>
        <v>1</v>
      </c>
      <c r="G1527" s="1" t="str">
        <f>IFERROR(__xludf.DUMMYFUNCTION("""COMPUTED_VALUE"""),"PR007")</f>
        <v>PR007</v>
      </c>
      <c r="H1527" s="1" t="str">
        <f>IFERROR(__xludf.DUMMYFUNCTION("""COMPUTED_VALUE"""),"VD021")</f>
        <v>VD021</v>
      </c>
      <c r="I1527" s="1">
        <f>IFERROR(__xludf.DUMMYFUNCTION("""COMPUTED_VALUE"""),2.0)</f>
        <v>2</v>
      </c>
      <c r="J1527" s="1">
        <f>IFERROR(__xludf.DUMMYFUNCTION("""COMPUTED_VALUE"""),171.8)</f>
        <v>171.8</v>
      </c>
      <c r="K1527" s="1">
        <f>IFERROR(__xludf.DUMMYFUNCTION("""COMPUTED_VALUE"""),171.8)</f>
        <v>171.8</v>
      </c>
    </row>
    <row r="1528">
      <c r="A1528" s="1">
        <f>IFERROR(__xludf.DUMMYFUNCTION("""COMPUTED_VALUE"""),1000.0)</f>
        <v>1000</v>
      </c>
      <c r="B1528" s="1">
        <f>IFERROR(__xludf.DUMMYFUNCTION("""COMPUTED_VALUE"""),184556.0)</f>
        <v>184556</v>
      </c>
      <c r="C1528" s="1">
        <f>IFERROR(__xludf.DUMMYFUNCTION("""COMPUTED_VALUE"""),2026.0)</f>
        <v>2026</v>
      </c>
      <c r="D1528" s="1">
        <f>IFERROR(__xludf.DUMMYFUNCTION("""COMPUTED_VALUE"""),46064.0)</f>
        <v>46064</v>
      </c>
      <c r="E1528" s="1" t="str">
        <f>IFERROR(__xludf.DUMMYFUNCTION("""COMPUTED_VALUE"""),"VF")</f>
        <v>VF</v>
      </c>
      <c r="F1528" s="1">
        <f>IFERROR(__xludf.DUMMYFUNCTION("""COMPUTED_VALUE"""),1.0)</f>
        <v>1</v>
      </c>
      <c r="G1528" s="1" t="str">
        <f>IFERROR(__xludf.DUMMYFUNCTION("""COMPUTED_VALUE"""),"PR018")</f>
        <v>PR018</v>
      </c>
      <c r="H1528" s="1" t="str">
        <f>IFERROR(__xludf.DUMMYFUNCTION("""COMPUTED_VALUE"""),"VD016")</f>
        <v>VD016</v>
      </c>
      <c r="I1528" s="1">
        <f>IFERROR(__xludf.DUMMYFUNCTION("""COMPUTED_VALUE"""),8.0)</f>
        <v>8</v>
      </c>
      <c r="J1528" s="1">
        <f>IFERROR(__xludf.DUMMYFUNCTION("""COMPUTED_VALUE"""),286.89)</f>
        <v>286.89</v>
      </c>
      <c r="K1528" s="1">
        <f>IFERROR(__xludf.DUMMYFUNCTION("""COMPUTED_VALUE"""),286.89)</f>
        <v>286.89</v>
      </c>
    </row>
    <row r="1529">
      <c r="A1529" s="1">
        <f>IFERROR(__xludf.DUMMYFUNCTION("""COMPUTED_VALUE"""),1000.0)</f>
        <v>1000</v>
      </c>
      <c r="B1529" s="1">
        <f>IFERROR(__xludf.DUMMYFUNCTION("""COMPUTED_VALUE"""),184557.0)</f>
        <v>184557</v>
      </c>
      <c r="C1529" s="1">
        <f>IFERROR(__xludf.DUMMYFUNCTION("""COMPUTED_VALUE"""),2026.0)</f>
        <v>2026</v>
      </c>
      <c r="D1529" s="1">
        <f>IFERROR(__xludf.DUMMYFUNCTION("""COMPUTED_VALUE"""),46064.0)</f>
        <v>46064</v>
      </c>
      <c r="E1529" s="1" t="str">
        <f>IFERROR(__xludf.DUMMYFUNCTION("""COMPUTED_VALUE"""),"VF")</f>
        <v>VF</v>
      </c>
      <c r="F1529" s="1">
        <f>IFERROR(__xludf.DUMMYFUNCTION("""COMPUTED_VALUE"""),1.0)</f>
        <v>1</v>
      </c>
      <c r="G1529" s="1" t="str">
        <f>IFERROR(__xludf.DUMMYFUNCTION("""COMPUTED_VALUE"""),"PR014")</f>
        <v>PR014</v>
      </c>
      <c r="H1529" s="1" t="str">
        <f>IFERROR(__xludf.DUMMYFUNCTION("""COMPUTED_VALUE"""),"VD045")</f>
        <v>VD045</v>
      </c>
      <c r="I1529" s="1">
        <f>IFERROR(__xludf.DUMMYFUNCTION("""COMPUTED_VALUE"""),3.0)</f>
        <v>3</v>
      </c>
      <c r="J1529" s="1">
        <f>IFERROR(__xludf.DUMMYFUNCTION("""COMPUTED_VALUE"""),129.28)</f>
        <v>129.28</v>
      </c>
      <c r="K1529" s="1">
        <f>IFERROR(__xludf.DUMMYFUNCTION("""COMPUTED_VALUE"""),129.28)</f>
        <v>129.28</v>
      </c>
    </row>
    <row r="1530">
      <c r="A1530" s="1">
        <f>IFERROR(__xludf.DUMMYFUNCTION("""COMPUTED_VALUE"""),1000.0)</f>
        <v>1000</v>
      </c>
      <c r="B1530" s="1">
        <f>IFERROR(__xludf.DUMMYFUNCTION("""COMPUTED_VALUE"""),184558.0)</f>
        <v>184558</v>
      </c>
      <c r="C1530" s="1">
        <f>IFERROR(__xludf.DUMMYFUNCTION("""COMPUTED_VALUE"""),2026.0)</f>
        <v>2026</v>
      </c>
      <c r="D1530" s="1">
        <f>IFERROR(__xludf.DUMMYFUNCTION("""COMPUTED_VALUE"""),46064.0)</f>
        <v>46064</v>
      </c>
      <c r="E1530" s="1" t="str">
        <f>IFERROR(__xludf.DUMMYFUNCTION("""COMPUTED_VALUE"""),"VF")</f>
        <v>VF</v>
      </c>
      <c r="F1530" s="1">
        <f>IFERROR(__xludf.DUMMYFUNCTION("""COMPUTED_VALUE"""),1.0)</f>
        <v>1</v>
      </c>
      <c r="G1530" s="1" t="str">
        <f>IFERROR(__xludf.DUMMYFUNCTION("""COMPUTED_VALUE"""),"PR024")</f>
        <v>PR024</v>
      </c>
      <c r="H1530" s="1" t="str">
        <f>IFERROR(__xludf.DUMMYFUNCTION("""COMPUTED_VALUE"""),"VD041")</f>
        <v>VD041</v>
      </c>
      <c r="I1530" s="1">
        <f>IFERROR(__xludf.DUMMYFUNCTION("""COMPUTED_VALUE"""),10.0)</f>
        <v>10</v>
      </c>
      <c r="J1530" s="1">
        <f>IFERROR(__xludf.DUMMYFUNCTION("""COMPUTED_VALUE"""),2754.94)</f>
        <v>2754.94</v>
      </c>
      <c r="K1530" s="1">
        <f>IFERROR(__xludf.DUMMYFUNCTION("""COMPUTED_VALUE"""),2754.94)</f>
        <v>2754.94</v>
      </c>
    </row>
    <row r="1531">
      <c r="A1531" s="1">
        <f>IFERROR(__xludf.DUMMYFUNCTION("""COMPUTED_VALUE"""),1000.0)</f>
        <v>1000</v>
      </c>
      <c r="B1531" s="1">
        <f>IFERROR(__xludf.DUMMYFUNCTION("""COMPUTED_VALUE"""),184558.0)</f>
        <v>184558</v>
      </c>
      <c r="C1531" s="1">
        <f>IFERROR(__xludf.DUMMYFUNCTION("""COMPUTED_VALUE"""),2026.0)</f>
        <v>2026</v>
      </c>
      <c r="D1531" s="1">
        <f>IFERROR(__xludf.DUMMYFUNCTION("""COMPUTED_VALUE"""),46064.0)</f>
        <v>46064</v>
      </c>
      <c r="E1531" s="1" t="str">
        <f>IFERROR(__xludf.DUMMYFUNCTION("""COMPUTED_VALUE"""),"VF")</f>
        <v>VF</v>
      </c>
      <c r="F1531" s="1">
        <f>IFERROR(__xludf.DUMMYFUNCTION("""COMPUTED_VALUE"""),2.0)</f>
        <v>2</v>
      </c>
      <c r="G1531" s="1" t="str">
        <f>IFERROR(__xludf.DUMMYFUNCTION("""COMPUTED_VALUE"""),"PR031")</f>
        <v>PR031</v>
      </c>
      <c r="H1531" s="1" t="str">
        <f>IFERROR(__xludf.DUMMYFUNCTION("""COMPUTED_VALUE"""),"VD049")</f>
        <v>VD049</v>
      </c>
      <c r="I1531" s="1">
        <f>IFERROR(__xludf.DUMMYFUNCTION("""COMPUTED_VALUE"""),10.0)</f>
        <v>10</v>
      </c>
      <c r="J1531" s="1">
        <f>IFERROR(__xludf.DUMMYFUNCTION("""COMPUTED_VALUE"""),2646.0)</f>
        <v>2646</v>
      </c>
      <c r="K1531" s="1">
        <f>IFERROR(__xludf.DUMMYFUNCTION("""COMPUTED_VALUE"""),2646.0)</f>
        <v>2646</v>
      </c>
    </row>
    <row r="1532">
      <c r="A1532" s="1">
        <f>IFERROR(__xludf.DUMMYFUNCTION("""COMPUTED_VALUE"""),1000.0)</f>
        <v>1000</v>
      </c>
      <c r="B1532" s="1">
        <f>IFERROR(__xludf.DUMMYFUNCTION("""COMPUTED_VALUE"""),184559.0)</f>
        <v>184559</v>
      </c>
      <c r="C1532" s="1">
        <f>IFERROR(__xludf.DUMMYFUNCTION("""COMPUTED_VALUE"""),2026.0)</f>
        <v>2026</v>
      </c>
      <c r="D1532" s="1">
        <f>IFERROR(__xludf.DUMMYFUNCTION("""COMPUTED_VALUE"""),46063.0)</f>
        <v>46063</v>
      </c>
      <c r="E1532" s="1" t="str">
        <f>IFERROR(__xludf.DUMMYFUNCTION("""COMPUTED_VALUE"""),"VF")</f>
        <v>VF</v>
      </c>
      <c r="F1532" s="1">
        <f>IFERROR(__xludf.DUMMYFUNCTION("""COMPUTED_VALUE"""),1.0)</f>
        <v>1</v>
      </c>
      <c r="G1532" s="1" t="str">
        <f>IFERROR(__xludf.DUMMYFUNCTION("""COMPUTED_VALUE"""),"PR021")</f>
        <v>PR021</v>
      </c>
      <c r="H1532" s="1" t="str">
        <f>IFERROR(__xludf.DUMMYFUNCTION("""COMPUTED_VALUE"""),"VD021")</f>
        <v>VD021</v>
      </c>
      <c r="I1532" s="1">
        <f>IFERROR(__xludf.DUMMYFUNCTION("""COMPUTED_VALUE"""),2.0)</f>
        <v>2</v>
      </c>
      <c r="J1532" s="1">
        <f>IFERROR(__xludf.DUMMYFUNCTION("""COMPUTED_VALUE"""),623.97)</f>
        <v>623.97</v>
      </c>
      <c r="K1532" s="1">
        <f>IFERROR(__xludf.DUMMYFUNCTION("""COMPUTED_VALUE"""),623.97)</f>
        <v>623.97</v>
      </c>
    </row>
    <row r="1533">
      <c r="A1533" s="1">
        <f>IFERROR(__xludf.DUMMYFUNCTION("""COMPUTED_VALUE"""),2000.0)</f>
        <v>2000</v>
      </c>
      <c r="B1533" s="1">
        <f>IFERROR(__xludf.DUMMYFUNCTION("""COMPUTED_VALUE"""),184559.0)</f>
        <v>184559</v>
      </c>
      <c r="C1533" s="1">
        <f>IFERROR(__xludf.DUMMYFUNCTION("""COMPUTED_VALUE"""),2026.0)</f>
        <v>2026</v>
      </c>
      <c r="D1533" s="1">
        <f>IFERROR(__xludf.DUMMYFUNCTION("""COMPUTED_VALUE"""),46063.0)</f>
        <v>46063</v>
      </c>
      <c r="E1533" s="1" t="str">
        <f>IFERROR(__xludf.DUMMYFUNCTION("""COMPUTED_VALUE"""),"VF")</f>
        <v>VF</v>
      </c>
      <c r="F1533" s="1">
        <f>IFERROR(__xludf.DUMMYFUNCTION("""COMPUTED_VALUE"""),2.0)</f>
        <v>2</v>
      </c>
      <c r="G1533" s="1" t="str">
        <f>IFERROR(__xludf.DUMMYFUNCTION("""COMPUTED_VALUE"""),"PR012")</f>
        <v>PR012</v>
      </c>
      <c r="H1533" s="1" t="str">
        <f>IFERROR(__xludf.DUMMYFUNCTION("""COMPUTED_VALUE"""),"VD046")</f>
        <v>VD046</v>
      </c>
      <c r="I1533" s="1">
        <f>IFERROR(__xludf.DUMMYFUNCTION("""COMPUTED_VALUE"""),4.0)</f>
        <v>4</v>
      </c>
      <c r="J1533" s="1">
        <f>IFERROR(__xludf.DUMMYFUNCTION("""COMPUTED_VALUE"""),215.16)</f>
        <v>215.16</v>
      </c>
      <c r="K1533" s="1">
        <f>IFERROR(__xludf.DUMMYFUNCTION("""COMPUTED_VALUE"""),215.16)</f>
        <v>215.16</v>
      </c>
    </row>
    <row r="1534">
      <c r="A1534" s="1">
        <f>IFERROR(__xludf.DUMMYFUNCTION("""COMPUTED_VALUE"""),1000.0)</f>
        <v>1000</v>
      </c>
      <c r="B1534" s="1">
        <f>IFERROR(__xludf.DUMMYFUNCTION("""COMPUTED_VALUE"""),184559.0)</f>
        <v>184559</v>
      </c>
      <c r="C1534" s="1">
        <f>IFERROR(__xludf.DUMMYFUNCTION("""COMPUTED_VALUE"""),2026.0)</f>
        <v>2026</v>
      </c>
      <c r="D1534" s="1">
        <f>IFERROR(__xludf.DUMMYFUNCTION("""COMPUTED_VALUE"""),46062.0)</f>
        <v>46062</v>
      </c>
      <c r="E1534" s="1" t="str">
        <f>IFERROR(__xludf.DUMMYFUNCTION("""COMPUTED_VALUE"""),"VF")</f>
        <v>VF</v>
      </c>
      <c r="F1534" s="1">
        <f>IFERROR(__xludf.DUMMYFUNCTION("""COMPUTED_VALUE"""),3.0)</f>
        <v>3</v>
      </c>
      <c r="G1534" s="1" t="str">
        <f>IFERROR(__xludf.DUMMYFUNCTION("""COMPUTED_VALUE"""),"PR037")</f>
        <v>PR037</v>
      </c>
      <c r="H1534" s="1" t="str">
        <f>IFERROR(__xludf.DUMMYFUNCTION("""COMPUTED_VALUE"""),"VD027")</f>
        <v>VD027</v>
      </c>
      <c r="I1534" s="1">
        <f>IFERROR(__xludf.DUMMYFUNCTION("""COMPUTED_VALUE"""),10.0)</f>
        <v>10</v>
      </c>
      <c r="J1534" s="1">
        <f>IFERROR(__xludf.DUMMYFUNCTION("""COMPUTED_VALUE"""),1442.0)</f>
        <v>1442</v>
      </c>
      <c r="K1534" s="1">
        <f>IFERROR(__xludf.DUMMYFUNCTION("""COMPUTED_VALUE"""),1442.0)</f>
        <v>1442</v>
      </c>
    </row>
    <row r="1535">
      <c r="A1535" s="1">
        <f>IFERROR(__xludf.DUMMYFUNCTION("""COMPUTED_VALUE"""),1000.0)</f>
        <v>1000</v>
      </c>
      <c r="B1535" s="1">
        <f>IFERROR(__xludf.DUMMYFUNCTION("""COMPUTED_VALUE"""),184559.0)</f>
        <v>184559</v>
      </c>
      <c r="C1535" s="1">
        <f>IFERROR(__xludf.DUMMYFUNCTION("""COMPUTED_VALUE"""),2026.0)</f>
        <v>2026</v>
      </c>
      <c r="D1535" s="1">
        <f>IFERROR(__xludf.DUMMYFUNCTION("""COMPUTED_VALUE"""),46062.0)</f>
        <v>46062</v>
      </c>
      <c r="E1535" s="1" t="str">
        <f>IFERROR(__xludf.DUMMYFUNCTION("""COMPUTED_VALUE"""),"VF")</f>
        <v>VF</v>
      </c>
      <c r="F1535" s="1">
        <f>IFERROR(__xludf.DUMMYFUNCTION("""COMPUTED_VALUE"""),4.0)</f>
        <v>4</v>
      </c>
      <c r="G1535" s="1" t="str">
        <f>IFERROR(__xludf.DUMMYFUNCTION("""COMPUTED_VALUE"""),"PR051")</f>
        <v>PR051</v>
      </c>
      <c r="H1535" s="1" t="str">
        <f>IFERROR(__xludf.DUMMYFUNCTION("""COMPUTED_VALUE"""),"VD017")</f>
        <v>VD017</v>
      </c>
      <c r="I1535" s="1">
        <f>IFERROR(__xludf.DUMMYFUNCTION("""COMPUTED_VALUE"""),8.0)</f>
        <v>8</v>
      </c>
      <c r="J1535" s="1">
        <f>IFERROR(__xludf.DUMMYFUNCTION("""COMPUTED_VALUE"""),276.36)</f>
        <v>276.36</v>
      </c>
      <c r="K1535" s="1">
        <f>IFERROR(__xludf.DUMMYFUNCTION("""COMPUTED_VALUE"""),276.36)</f>
        <v>276.36</v>
      </c>
    </row>
    <row r="1536">
      <c r="A1536" s="1">
        <f>IFERROR(__xludf.DUMMYFUNCTION("""COMPUTED_VALUE"""),1000.0)</f>
        <v>1000</v>
      </c>
      <c r="B1536" s="1">
        <f>IFERROR(__xludf.DUMMYFUNCTION("""COMPUTED_VALUE"""),184560.0)</f>
        <v>184560</v>
      </c>
      <c r="C1536" s="1">
        <f>IFERROR(__xludf.DUMMYFUNCTION("""COMPUTED_VALUE"""),2026.0)</f>
        <v>2026</v>
      </c>
      <c r="D1536" s="1">
        <f>IFERROR(__xludf.DUMMYFUNCTION("""COMPUTED_VALUE"""),46062.0)</f>
        <v>46062</v>
      </c>
      <c r="E1536" s="1" t="str">
        <f>IFERROR(__xludf.DUMMYFUNCTION("""COMPUTED_VALUE"""),"VF")</f>
        <v>VF</v>
      </c>
      <c r="F1536" s="1">
        <f>IFERROR(__xludf.DUMMYFUNCTION("""COMPUTED_VALUE"""),1.0)</f>
        <v>1</v>
      </c>
      <c r="G1536" s="1" t="str">
        <f>IFERROR(__xludf.DUMMYFUNCTION("""COMPUTED_VALUE"""),"PR016")</f>
        <v>PR016</v>
      </c>
      <c r="H1536" s="1" t="str">
        <f>IFERROR(__xludf.DUMMYFUNCTION("""COMPUTED_VALUE"""),"VD033")</f>
        <v>VD033</v>
      </c>
      <c r="I1536" s="1">
        <f>IFERROR(__xludf.DUMMYFUNCTION("""COMPUTED_VALUE"""),14.0)</f>
        <v>14</v>
      </c>
      <c r="J1536" s="1">
        <f>IFERROR(__xludf.DUMMYFUNCTION("""COMPUTED_VALUE"""),362.6)</f>
        <v>362.6</v>
      </c>
      <c r="K1536" s="1">
        <f>IFERROR(__xludf.DUMMYFUNCTION("""COMPUTED_VALUE"""),362.6)</f>
        <v>362.6</v>
      </c>
    </row>
    <row r="1537">
      <c r="A1537" s="1">
        <f>IFERROR(__xludf.DUMMYFUNCTION("""COMPUTED_VALUE"""),1000.0)</f>
        <v>1000</v>
      </c>
      <c r="B1537" s="1">
        <f>IFERROR(__xludf.DUMMYFUNCTION("""COMPUTED_VALUE"""),184560.0)</f>
        <v>184560</v>
      </c>
      <c r="C1537" s="1">
        <f>IFERROR(__xludf.DUMMYFUNCTION("""COMPUTED_VALUE"""),2026.0)</f>
        <v>2026</v>
      </c>
      <c r="D1537" s="1">
        <f>IFERROR(__xludf.DUMMYFUNCTION("""COMPUTED_VALUE"""),46062.0)</f>
        <v>46062</v>
      </c>
      <c r="E1537" s="1" t="str">
        <f>IFERROR(__xludf.DUMMYFUNCTION("""COMPUTED_VALUE"""),"VF")</f>
        <v>VF</v>
      </c>
      <c r="F1537" s="1">
        <f>IFERROR(__xludf.DUMMYFUNCTION("""COMPUTED_VALUE"""),2.0)</f>
        <v>2</v>
      </c>
      <c r="G1537" s="1" t="str">
        <f>IFERROR(__xludf.DUMMYFUNCTION("""COMPUTED_VALUE"""),"PR019")</f>
        <v>PR019</v>
      </c>
      <c r="H1537" s="1" t="str">
        <f>IFERROR(__xludf.DUMMYFUNCTION("""COMPUTED_VALUE"""),"VD031")</f>
        <v>VD031</v>
      </c>
      <c r="I1537" s="1">
        <f>IFERROR(__xludf.DUMMYFUNCTION("""COMPUTED_VALUE"""),20.0)</f>
        <v>20</v>
      </c>
      <c r="J1537" s="1">
        <f>IFERROR(__xludf.DUMMYFUNCTION("""COMPUTED_VALUE"""),1097.8)</f>
        <v>1097.8</v>
      </c>
      <c r="K1537" s="1">
        <f>IFERROR(__xludf.DUMMYFUNCTION("""COMPUTED_VALUE"""),1097.8)</f>
        <v>1097.8</v>
      </c>
    </row>
    <row r="1538">
      <c r="A1538" s="1">
        <f>IFERROR(__xludf.DUMMYFUNCTION("""COMPUTED_VALUE"""),1000.0)</f>
        <v>1000</v>
      </c>
      <c r="B1538" s="1">
        <f>IFERROR(__xludf.DUMMYFUNCTION("""COMPUTED_VALUE"""),184560.0)</f>
        <v>184560</v>
      </c>
      <c r="C1538" s="1">
        <f>IFERROR(__xludf.DUMMYFUNCTION("""COMPUTED_VALUE"""),2026.0)</f>
        <v>2026</v>
      </c>
      <c r="D1538" s="1">
        <f>IFERROR(__xludf.DUMMYFUNCTION("""COMPUTED_VALUE"""),46061.0)</f>
        <v>46061</v>
      </c>
      <c r="E1538" s="1" t="str">
        <f>IFERROR(__xludf.DUMMYFUNCTION("""COMPUTED_VALUE"""),"VF")</f>
        <v>VF</v>
      </c>
      <c r="F1538" s="1">
        <f>IFERROR(__xludf.DUMMYFUNCTION("""COMPUTED_VALUE"""),3.0)</f>
        <v>3</v>
      </c>
      <c r="G1538" s="1" t="str">
        <f>IFERROR(__xludf.DUMMYFUNCTION("""COMPUTED_VALUE"""),"PR018")</f>
        <v>PR018</v>
      </c>
      <c r="H1538" s="1" t="str">
        <f>IFERROR(__xludf.DUMMYFUNCTION("""COMPUTED_VALUE"""),"VD029")</f>
        <v>VD029</v>
      </c>
      <c r="I1538" s="1">
        <f>IFERROR(__xludf.DUMMYFUNCTION("""COMPUTED_VALUE"""),6.0)</f>
        <v>6</v>
      </c>
      <c r="J1538" s="1">
        <f>IFERROR(__xludf.DUMMYFUNCTION("""COMPUTED_VALUE"""),217.14)</f>
        <v>217.14</v>
      </c>
      <c r="K1538" s="1">
        <f>IFERROR(__xludf.DUMMYFUNCTION("""COMPUTED_VALUE"""),217.14)</f>
        <v>217.14</v>
      </c>
    </row>
    <row r="1539">
      <c r="A1539" s="1">
        <f>IFERROR(__xludf.DUMMYFUNCTION("""COMPUTED_VALUE"""),1000.0)</f>
        <v>1000</v>
      </c>
      <c r="B1539" s="1">
        <f>IFERROR(__xludf.DUMMYFUNCTION("""COMPUTED_VALUE"""),184560.0)</f>
        <v>184560</v>
      </c>
      <c r="C1539" s="1">
        <f>IFERROR(__xludf.DUMMYFUNCTION("""COMPUTED_VALUE"""),2026.0)</f>
        <v>2026</v>
      </c>
      <c r="D1539" s="1">
        <f>IFERROR(__xludf.DUMMYFUNCTION("""COMPUTED_VALUE"""),46061.0)</f>
        <v>46061</v>
      </c>
      <c r="E1539" s="1" t="str">
        <f>IFERROR(__xludf.DUMMYFUNCTION("""COMPUTED_VALUE"""),"VF")</f>
        <v>VF</v>
      </c>
      <c r="F1539" s="1">
        <f>IFERROR(__xludf.DUMMYFUNCTION("""COMPUTED_VALUE"""),4.0)</f>
        <v>4</v>
      </c>
      <c r="G1539" s="1" t="str">
        <f>IFERROR(__xludf.DUMMYFUNCTION("""COMPUTED_VALUE"""),"PR045")</f>
        <v>PR045</v>
      </c>
      <c r="H1539" s="1" t="str">
        <f>IFERROR(__xludf.DUMMYFUNCTION("""COMPUTED_VALUE"""),"VD021")</f>
        <v>VD021</v>
      </c>
      <c r="I1539" s="1">
        <f>IFERROR(__xludf.DUMMYFUNCTION("""COMPUTED_VALUE"""),20.0)</f>
        <v>20</v>
      </c>
      <c r="J1539" s="1">
        <f>IFERROR(__xludf.DUMMYFUNCTION("""COMPUTED_VALUE"""),1479.0)</f>
        <v>1479</v>
      </c>
      <c r="K1539" s="1">
        <f>IFERROR(__xludf.DUMMYFUNCTION("""COMPUTED_VALUE"""),1479.0)</f>
        <v>1479</v>
      </c>
    </row>
    <row r="1540">
      <c r="A1540" s="1">
        <f>IFERROR(__xludf.DUMMYFUNCTION("""COMPUTED_VALUE"""),1000.0)</f>
        <v>1000</v>
      </c>
      <c r="B1540" s="1">
        <f>IFERROR(__xludf.DUMMYFUNCTION("""COMPUTED_VALUE"""),184561.0)</f>
        <v>184561</v>
      </c>
      <c r="C1540" s="1">
        <f>IFERROR(__xludf.DUMMYFUNCTION("""COMPUTED_VALUE"""),2026.0)</f>
        <v>2026</v>
      </c>
      <c r="D1540" s="1">
        <f>IFERROR(__xludf.DUMMYFUNCTION("""COMPUTED_VALUE"""),46061.0)</f>
        <v>46061</v>
      </c>
      <c r="E1540" s="1" t="str">
        <f>IFERROR(__xludf.DUMMYFUNCTION("""COMPUTED_VALUE"""),"VF")</f>
        <v>VF</v>
      </c>
      <c r="F1540" s="1">
        <f>IFERROR(__xludf.DUMMYFUNCTION("""COMPUTED_VALUE"""),1.0)</f>
        <v>1</v>
      </c>
      <c r="G1540" s="1" t="str">
        <f>IFERROR(__xludf.DUMMYFUNCTION("""COMPUTED_VALUE"""),"PR020")</f>
        <v>PR020</v>
      </c>
      <c r="H1540" s="1" t="str">
        <f>IFERROR(__xludf.DUMMYFUNCTION("""COMPUTED_VALUE"""),"VD013")</f>
        <v>VD013</v>
      </c>
      <c r="I1540" s="1">
        <f>IFERROR(__xludf.DUMMYFUNCTION("""COMPUTED_VALUE"""),12.0)</f>
        <v>12</v>
      </c>
      <c r="J1540" s="1">
        <f>IFERROR(__xludf.DUMMYFUNCTION("""COMPUTED_VALUE"""),3598.8)</f>
        <v>3598.8</v>
      </c>
      <c r="K1540" s="1">
        <f>IFERROR(__xludf.DUMMYFUNCTION("""COMPUTED_VALUE"""),3598.8)</f>
        <v>3598.8</v>
      </c>
    </row>
    <row r="1541">
      <c r="A1541" s="1">
        <f>IFERROR(__xludf.DUMMYFUNCTION("""COMPUTED_VALUE"""),1000.0)</f>
        <v>1000</v>
      </c>
      <c r="B1541" s="1">
        <f>IFERROR(__xludf.DUMMYFUNCTION("""COMPUTED_VALUE"""),184562.0)</f>
        <v>184562</v>
      </c>
      <c r="C1541" s="1">
        <f>IFERROR(__xludf.DUMMYFUNCTION("""COMPUTED_VALUE"""),2026.0)</f>
        <v>2026</v>
      </c>
      <c r="D1541" s="1">
        <f>IFERROR(__xludf.DUMMYFUNCTION("""COMPUTED_VALUE"""),46061.0)</f>
        <v>46061</v>
      </c>
      <c r="E1541" s="1" t="str">
        <f>IFERROR(__xludf.DUMMYFUNCTION("""COMPUTED_VALUE"""),"VF")</f>
        <v>VF</v>
      </c>
      <c r="F1541" s="1">
        <f>IFERROR(__xludf.DUMMYFUNCTION("""COMPUTED_VALUE"""),1.0)</f>
        <v>1</v>
      </c>
      <c r="G1541" s="1" t="str">
        <f>IFERROR(__xludf.DUMMYFUNCTION("""COMPUTED_VALUE"""),"PR049")</f>
        <v>PR049</v>
      </c>
      <c r="H1541" s="1" t="str">
        <f>IFERROR(__xludf.DUMMYFUNCTION("""COMPUTED_VALUE"""),"VD022")</f>
        <v>VD022</v>
      </c>
      <c r="I1541" s="1">
        <f>IFERROR(__xludf.DUMMYFUNCTION("""COMPUTED_VALUE"""),14.0)</f>
        <v>14</v>
      </c>
      <c r="J1541" s="1">
        <f>IFERROR(__xludf.DUMMYFUNCTION("""COMPUTED_VALUE"""),483.63)</f>
        <v>483.63</v>
      </c>
      <c r="K1541" s="1">
        <f>IFERROR(__xludf.DUMMYFUNCTION("""COMPUTED_VALUE"""),483.63)</f>
        <v>483.63</v>
      </c>
    </row>
    <row r="1542">
      <c r="A1542" s="1">
        <f>IFERROR(__xludf.DUMMYFUNCTION("""COMPUTED_VALUE"""),1000.0)</f>
        <v>1000</v>
      </c>
      <c r="B1542" s="1">
        <f>IFERROR(__xludf.DUMMYFUNCTION("""COMPUTED_VALUE"""),184563.0)</f>
        <v>184563</v>
      </c>
      <c r="C1542" s="1">
        <f>IFERROR(__xludf.DUMMYFUNCTION("""COMPUTED_VALUE"""),2026.0)</f>
        <v>2026</v>
      </c>
      <c r="D1542" s="1">
        <f>IFERROR(__xludf.DUMMYFUNCTION("""COMPUTED_VALUE"""),46061.0)</f>
        <v>46061</v>
      </c>
      <c r="E1542" s="1" t="str">
        <f>IFERROR(__xludf.DUMMYFUNCTION("""COMPUTED_VALUE"""),"VF")</f>
        <v>VF</v>
      </c>
      <c r="F1542" s="1">
        <f>IFERROR(__xludf.DUMMYFUNCTION("""COMPUTED_VALUE"""),1.0)</f>
        <v>1</v>
      </c>
      <c r="G1542" s="1" t="str">
        <f>IFERROR(__xludf.DUMMYFUNCTION("""COMPUTED_VALUE"""),"PR048")</f>
        <v>PR048</v>
      </c>
      <c r="H1542" s="1" t="str">
        <f>IFERROR(__xludf.DUMMYFUNCTION("""COMPUTED_VALUE"""),"VD026")</f>
        <v>VD026</v>
      </c>
      <c r="I1542" s="1">
        <f>IFERROR(__xludf.DUMMYFUNCTION("""COMPUTED_VALUE"""),1.0)</f>
        <v>1</v>
      </c>
      <c r="J1542" s="1">
        <f>IFERROR(__xludf.DUMMYFUNCTION("""COMPUTED_VALUE"""),304.4)</f>
        <v>304.4</v>
      </c>
      <c r="K1542" s="1">
        <f>IFERROR(__xludf.DUMMYFUNCTION("""COMPUTED_VALUE"""),304.4)</f>
        <v>304.4</v>
      </c>
    </row>
    <row r="1543">
      <c r="A1543" s="1">
        <f>IFERROR(__xludf.DUMMYFUNCTION("""COMPUTED_VALUE"""),2000.0)</f>
        <v>2000</v>
      </c>
      <c r="B1543" s="1">
        <f>IFERROR(__xludf.DUMMYFUNCTION("""COMPUTED_VALUE"""),184564.0)</f>
        <v>184564</v>
      </c>
      <c r="C1543" s="1">
        <f>IFERROR(__xludf.DUMMYFUNCTION("""COMPUTED_VALUE"""),2026.0)</f>
        <v>2026</v>
      </c>
      <c r="D1543" s="1">
        <f>IFERROR(__xludf.DUMMYFUNCTION("""COMPUTED_VALUE"""),46061.0)</f>
        <v>46061</v>
      </c>
      <c r="E1543" s="1" t="str">
        <f>IFERROR(__xludf.DUMMYFUNCTION("""COMPUTED_VALUE"""),"VF")</f>
        <v>VF</v>
      </c>
      <c r="F1543" s="1">
        <f>IFERROR(__xludf.DUMMYFUNCTION("""COMPUTED_VALUE"""),1.0)</f>
        <v>1</v>
      </c>
      <c r="G1543" s="1" t="str">
        <f>IFERROR(__xludf.DUMMYFUNCTION("""COMPUTED_VALUE"""),"PR060")</f>
        <v>PR060</v>
      </c>
      <c r="H1543" s="1" t="str">
        <f>IFERROR(__xludf.DUMMYFUNCTION("""COMPUTED_VALUE"""),"VD033")</f>
        <v>VD033</v>
      </c>
      <c r="I1543" s="1">
        <f>IFERROR(__xludf.DUMMYFUNCTION("""COMPUTED_VALUE"""),8.0)</f>
        <v>8</v>
      </c>
      <c r="J1543" s="1">
        <f>IFERROR(__xludf.DUMMYFUNCTION("""COMPUTED_VALUE"""),1526.4)</f>
        <v>1526.4</v>
      </c>
      <c r="K1543" s="1">
        <f>IFERROR(__xludf.DUMMYFUNCTION("""COMPUTED_VALUE"""),1526.4)</f>
        <v>1526.4</v>
      </c>
    </row>
    <row r="1544">
      <c r="A1544" s="1">
        <f>IFERROR(__xludf.DUMMYFUNCTION("""COMPUTED_VALUE"""),1000.0)</f>
        <v>1000</v>
      </c>
      <c r="B1544" s="1">
        <f>IFERROR(__xludf.DUMMYFUNCTION("""COMPUTED_VALUE"""),184565.0)</f>
        <v>184565</v>
      </c>
      <c r="C1544" s="1">
        <f>IFERROR(__xludf.DUMMYFUNCTION("""COMPUTED_VALUE"""),2026.0)</f>
        <v>2026</v>
      </c>
      <c r="D1544" s="1">
        <f>IFERROR(__xludf.DUMMYFUNCTION("""COMPUTED_VALUE"""),46061.0)</f>
        <v>46061</v>
      </c>
      <c r="E1544" s="1" t="str">
        <f>IFERROR(__xludf.DUMMYFUNCTION("""COMPUTED_VALUE"""),"VF")</f>
        <v>VF</v>
      </c>
      <c r="F1544" s="1">
        <f>IFERROR(__xludf.DUMMYFUNCTION("""COMPUTED_VALUE"""),1.0)</f>
        <v>1</v>
      </c>
      <c r="G1544" s="1" t="str">
        <f>IFERROR(__xludf.DUMMYFUNCTION("""COMPUTED_VALUE"""),"PR021")</f>
        <v>PR021</v>
      </c>
      <c r="H1544" s="1" t="str">
        <f>IFERROR(__xludf.DUMMYFUNCTION("""COMPUTED_VALUE"""),"VD016")</f>
        <v>VD016</v>
      </c>
      <c r="I1544" s="1">
        <f>IFERROR(__xludf.DUMMYFUNCTION("""COMPUTED_VALUE"""),18.0)</f>
        <v>18</v>
      </c>
      <c r="J1544" s="1">
        <f>IFERROR(__xludf.DUMMYFUNCTION("""COMPUTED_VALUE"""),5561.24)</f>
        <v>5561.24</v>
      </c>
      <c r="K1544" s="1">
        <f>IFERROR(__xludf.DUMMYFUNCTION("""COMPUTED_VALUE"""),5561.24)</f>
        <v>5561.24</v>
      </c>
    </row>
    <row r="1545">
      <c r="A1545" s="1">
        <f>IFERROR(__xludf.DUMMYFUNCTION("""COMPUTED_VALUE"""),1000.0)</f>
        <v>1000</v>
      </c>
      <c r="B1545" s="1">
        <f>IFERROR(__xludf.DUMMYFUNCTION("""COMPUTED_VALUE"""),184566.0)</f>
        <v>184566</v>
      </c>
      <c r="C1545" s="1">
        <f>IFERROR(__xludf.DUMMYFUNCTION("""COMPUTED_VALUE"""),2026.0)</f>
        <v>2026</v>
      </c>
      <c r="D1545" s="1">
        <f>IFERROR(__xludf.DUMMYFUNCTION("""COMPUTED_VALUE"""),46061.0)</f>
        <v>46061</v>
      </c>
      <c r="E1545" s="1" t="str">
        <f>IFERROR(__xludf.DUMMYFUNCTION("""COMPUTED_VALUE"""),"VF")</f>
        <v>VF</v>
      </c>
      <c r="F1545" s="1">
        <f>IFERROR(__xludf.DUMMYFUNCTION("""COMPUTED_VALUE"""),1.0)</f>
        <v>1</v>
      </c>
      <c r="G1545" s="1" t="str">
        <f>IFERROR(__xludf.DUMMYFUNCTION("""COMPUTED_VALUE"""),"PR035")</f>
        <v>PR035</v>
      </c>
      <c r="H1545" s="1" t="str">
        <f>IFERROR(__xludf.DUMMYFUNCTION("""COMPUTED_VALUE"""),"VD049")</f>
        <v>VD049</v>
      </c>
      <c r="I1545" s="1">
        <f>IFERROR(__xludf.DUMMYFUNCTION("""COMPUTED_VALUE"""),16.0)</f>
        <v>16</v>
      </c>
      <c r="J1545" s="1">
        <f>IFERROR(__xludf.DUMMYFUNCTION("""COMPUTED_VALUE"""),1564.77)</f>
        <v>1564.77</v>
      </c>
      <c r="K1545" s="1">
        <f>IFERROR(__xludf.DUMMYFUNCTION("""COMPUTED_VALUE"""),1564.77)</f>
        <v>1564.77</v>
      </c>
    </row>
    <row r="1546">
      <c r="A1546" s="1">
        <f>IFERROR(__xludf.DUMMYFUNCTION("""COMPUTED_VALUE"""),1000.0)</f>
        <v>1000</v>
      </c>
      <c r="B1546" s="1">
        <f>IFERROR(__xludf.DUMMYFUNCTION("""COMPUTED_VALUE"""),184567.0)</f>
        <v>184567</v>
      </c>
      <c r="C1546" s="1">
        <f>IFERROR(__xludf.DUMMYFUNCTION("""COMPUTED_VALUE"""),2026.0)</f>
        <v>2026</v>
      </c>
      <c r="D1546" s="1">
        <f>IFERROR(__xludf.DUMMYFUNCTION("""COMPUTED_VALUE"""),46061.0)</f>
        <v>46061</v>
      </c>
      <c r="E1546" s="1" t="str">
        <f>IFERROR(__xludf.DUMMYFUNCTION("""COMPUTED_VALUE"""),"VF")</f>
        <v>VF</v>
      </c>
      <c r="F1546" s="1">
        <f>IFERROR(__xludf.DUMMYFUNCTION("""COMPUTED_VALUE"""),1.0)</f>
        <v>1</v>
      </c>
      <c r="G1546" s="1" t="str">
        <f>IFERROR(__xludf.DUMMYFUNCTION("""COMPUTED_VALUE"""),"PR012")</f>
        <v>PR012</v>
      </c>
      <c r="H1546" s="1" t="str">
        <f>IFERROR(__xludf.DUMMYFUNCTION("""COMPUTED_VALUE"""),"VD036")</f>
        <v>VD036</v>
      </c>
      <c r="I1546" s="1">
        <f>IFERROR(__xludf.DUMMYFUNCTION("""COMPUTED_VALUE"""),2.0)</f>
        <v>2</v>
      </c>
      <c r="J1546" s="1">
        <f>IFERROR(__xludf.DUMMYFUNCTION("""COMPUTED_VALUE"""),98.78)</f>
        <v>98.78</v>
      </c>
      <c r="K1546" s="1">
        <f>IFERROR(__xludf.DUMMYFUNCTION("""COMPUTED_VALUE"""),98.78)</f>
        <v>98.78</v>
      </c>
    </row>
    <row r="1547">
      <c r="A1547" s="1">
        <f>IFERROR(__xludf.DUMMYFUNCTION("""COMPUTED_VALUE"""),1000.0)</f>
        <v>1000</v>
      </c>
      <c r="B1547" s="1">
        <f>IFERROR(__xludf.DUMMYFUNCTION("""COMPUTED_VALUE"""),184567.0)</f>
        <v>184567</v>
      </c>
      <c r="C1547" s="1">
        <f>IFERROR(__xludf.DUMMYFUNCTION("""COMPUTED_VALUE"""),2026.0)</f>
        <v>2026</v>
      </c>
      <c r="D1547" s="1">
        <f>IFERROR(__xludf.DUMMYFUNCTION("""COMPUTED_VALUE"""),46060.0)</f>
        <v>46060</v>
      </c>
      <c r="E1547" s="1" t="str">
        <f>IFERROR(__xludf.DUMMYFUNCTION("""COMPUTED_VALUE"""),"VF")</f>
        <v>VF</v>
      </c>
      <c r="F1547" s="1">
        <f>IFERROR(__xludf.DUMMYFUNCTION("""COMPUTED_VALUE"""),2.0)</f>
        <v>2</v>
      </c>
      <c r="G1547" s="1" t="str">
        <f>IFERROR(__xludf.DUMMYFUNCTION("""COMPUTED_VALUE"""),"PR018")</f>
        <v>PR018</v>
      </c>
      <c r="H1547" s="1" t="str">
        <f>IFERROR(__xludf.DUMMYFUNCTION("""COMPUTED_VALUE"""),"VD046")</f>
        <v>VD046</v>
      </c>
      <c r="I1547" s="1">
        <f>IFERROR(__xludf.DUMMYFUNCTION("""COMPUTED_VALUE"""),2.0)</f>
        <v>2</v>
      </c>
      <c r="J1547" s="1">
        <f>IFERROR(__xludf.DUMMYFUNCTION("""COMPUTED_VALUE"""),66.46)</f>
        <v>66.46</v>
      </c>
      <c r="K1547" s="1">
        <f>IFERROR(__xludf.DUMMYFUNCTION("""COMPUTED_VALUE"""),66.46)</f>
        <v>66.46</v>
      </c>
    </row>
    <row r="1548">
      <c r="A1548" s="1">
        <f>IFERROR(__xludf.DUMMYFUNCTION("""COMPUTED_VALUE"""),1000.0)</f>
        <v>1000</v>
      </c>
      <c r="B1548" s="1">
        <f>IFERROR(__xludf.DUMMYFUNCTION("""COMPUTED_VALUE"""),184568.0)</f>
        <v>184568</v>
      </c>
      <c r="C1548" s="1">
        <f>IFERROR(__xludf.DUMMYFUNCTION("""COMPUTED_VALUE"""),2026.0)</f>
        <v>2026</v>
      </c>
      <c r="D1548" s="1">
        <f>IFERROR(__xludf.DUMMYFUNCTION("""COMPUTED_VALUE"""),46060.0)</f>
        <v>46060</v>
      </c>
      <c r="E1548" s="1" t="str">
        <f>IFERROR(__xludf.DUMMYFUNCTION("""COMPUTED_VALUE"""),"VF")</f>
        <v>VF</v>
      </c>
      <c r="F1548" s="1">
        <f>IFERROR(__xludf.DUMMYFUNCTION("""COMPUTED_VALUE"""),1.0)</f>
        <v>1</v>
      </c>
      <c r="G1548" s="1" t="str">
        <f>IFERROR(__xludf.DUMMYFUNCTION("""COMPUTED_VALUE"""),"PR057")</f>
        <v>PR057</v>
      </c>
      <c r="H1548" s="1" t="str">
        <f>IFERROR(__xludf.DUMMYFUNCTION("""COMPUTED_VALUE"""),"VD042")</f>
        <v>VD042</v>
      </c>
      <c r="I1548" s="1">
        <f>IFERROR(__xludf.DUMMYFUNCTION("""COMPUTED_VALUE"""),6.0)</f>
        <v>6</v>
      </c>
      <c r="J1548" s="1">
        <f>IFERROR(__xludf.DUMMYFUNCTION("""COMPUTED_VALUE"""),577.16)</f>
        <v>577.16</v>
      </c>
      <c r="K1548" s="1">
        <f>IFERROR(__xludf.DUMMYFUNCTION("""COMPUTED_VALUE"""),577.16)</f>
        <v>577.16</v>
      </c>
    </row>
    <row r="1549">
      <c r="A1549" s="1">
        <f>IFERROR(__xludf.DUMMYFUNCTION("""COMPUTED_VALUE"""),1000.0)</f>
        <v>1000</v>
      </c>
      <c r="B1549" s="1">
        <f>IFERROR(__xludf.DUMMYFUNCTION("""COMPUTED_VALUE"""),184569.0)</f>
        <v>184569</v>
      </c>
      <c r="C1549" s="1">
        <f>IFERROR(__xludf.DUMMYFUNCTION("""COMPUTED_VALUE"""),2026.0)</f>
        <v>2026</v>
      </c>
      <c r="D1549" s="1">
        <f>IFERROR(__xludf.DUMMYFUNCTION("""COMPUTED_VALUE"""),46060.0)</f>
        <v>46060</v>
      </c>
      <c r="E1549" s="1" t="str">
        <f>IFERROR(__xludf.DUMMYFUNCTION("""COMPUTED_VALUE"""),"VF")</f>
        <v>VF</v>
      </c>
      <c r="F1549" s="1">
        <f>IFERROR(__xludf.DUMMYFUNCTION("""COMPUTED_VALUE"""),1.0)</f>
        <v>1</v>
      </c>
      <c r="G1549" s="1" t="str">
        <f>IFERROR(__xludf.DUMMYFUNCTION("""COMPUTED_VALUE"""),"PR018")</f>
        <v>PR018</v>
      </c>
      <c r="H1549" s="1" t="str">
        <f>IFERROR(__xludf.DUMMYFUNCTION("""COMPUTED_VALUE"""),"VD046")</f>
        <v>VD046</v>
      </c>
      <c r="I1549" s="1">
        <f>IFERROR(__xludf.DUMMYFUNCTION("""COMPUTED_VALUE"""),2.0)</f>
        <v>2</v>
      </c>
      <c r="J1549" s="1">
        <f>IFERROR(__xludf.DUMMYFUNCTION("""COMPUTED_VALUE"""),71.06)</f>
        <v>71.06</v>
      </c>
      <c r="K1549" s="1">
        <f>IFERROR(__xludf.DUMMYFUNCTION("""COMPUTED_VALUE"""),71.06)</f>
        <v>71.06</v>
      </c>
    </row>
    <row r="1550">
      <c r="A1550" s="1">
        <f>IFERROR(__xludf.DUMMYFUNCTION("""COMPUTED_VALUE"""),1000.0)</f>
        <v>1000</v>
      </c>
      <c r="B1550" s="1">
        <f>IFERROR(__xludf.DUMMYFUNCTION("""COMPUTED_VALUE"""),184569.0)</f>
        <v>184569</v>
      </c>
      <c r="C1550" s="1">
        <f>IFERROR(__xludf.DUMMYFUNCTION("""COMPUTED_VALUE"""),2026.0)</f>
        <v>2026</v>
      </c>
      <c r="D1550" s="1">
        <f>IFERROR(__xludf.DUMMYFUNCTION("""COMPUTED_VALUE"""),46060.0)</f>
        <v>46060</v>
      </c>
      <c r="E1550" s="1" t="str">
        <f>IFERROR(__xludf.DUMMYFUNCTION("""COMPUTED_VALUE"""),"VF")</f>
        <v>VF</v>
      </c>
      <c r="F1550" s="1">
        <f>IFERROR(__xludf.DUMMYFUNCTION("""COMPUTED_VALUE"""),2.0)</f>
        <v>2</v>
      </c>
      <c r="G1550" s="1" t="str">
        <f>IFERROR(__xludf.DUMMYFUNCTION("""COMPUTED_VALUE"""),"PR053")</f>
        <v>PR053</v>
      </c>
      <c r="H1550" s="1" t="str">
        <f>IFERROR(__xludf.DUMMYFUNCTION("""COMPUTED_VALUE"""),"VD039")</f>
        <v>VD039</v>
      </c>
      <c r="I1550" s="1">
        <f>IFERROR(__xludf.DUMMYFUNCTION("""COMPUTED_VALUE"""),14.0)</f>
        <v>14</v>
      </c>
      <c r="J1550" s="1">
        <f>IFERROR(__xludf.DUMMYFUNCTION("""COMPUTED_VALUE"""),761.47)</f>
        <v>761.47</v>
      </c>
      <c r="K1550" s="1">
        <f>IFERROR(__xludf.DUMMYFUNCTION("""COMPUTED_VALUE"""),761.47)</f>
        <v>761.47</v>
      </c>
    </row>
    <row r="1551">
      <c r="A1551" s="1">
        <f>IFERROR(__xludf.DUMMYFUNCTION("""COMPUTED_VALUE"""),1000.0)</f>
        <v>1000</v>
      </c>
      <c r="B1551" s="1">
        <f>IFERROR(__xludf.DUMMYFUNCTION("""COMPUTED_VALUE"""),184570.0)</f>
        <v>184570</v>
      </c>
      <c r="C1551" s="1">
        <f>IFERROR(__xludf.DUMMYFUNCTION("""COMPUTED_VALUE"""),2026.0)</f>
        <v>2026</v>
      </c>
      <c r="D1551" s="1">
        <f>IFERROR(__xludf.DUMMYFUNCTION("""COMPUTED_VALUE"""),46060.0)</f>
        <v>46060</v>
      </c>
      <c r="E1551" s="1" t="str">
        <f>IFERROR(__xludf.DUMMYFUNCTION("""COMPUTED_VALUE"""),"VF")</f>
        <v>VF</v>
      </c>
      <c r="F1551" s="1">
        <f>IFERROR(__xludf.DUMMYFUNCTION("""COMPUTED_VALUE"""),1.0)</f>
        <v>1</v>
      </c>
      <c r="G1551" s="1" t="str">
        <f>IFERROR(__xludf.DUMMYFUNCTION("""COMPUTED_VALUE"""),"PR053")</f>
        <v>PR053</v>
      </c>
      <c r="H1551" s="1" t="str">
        <f>IFERROR(__xludf.DUMMYFUNCTION("""COMPUTED_VALUE"""),"VD029")</f>
        <v>VD029</v>
      </c>
      <c r="I1551" s="1">
        <f>IFERROR(__xludf.DUMMYFUNCTION("""COMPUTED_VALUE"""),9.0)</f>
        <v>9</v>
      </c>
      <c r="J1551" s="1">
        <f>IFERROR(__xludf.DUMMYFUNCTION("""COMPUTED_VALUE"""),480.54)</f>
        <v>480.54</v>
      </c>
      <c r="K1551" s="1">
        <f>IFERROR(__xludf.DUMMYFUNCTION("""COMPUTED_VALUE"""),480.54)</f>
        <v>480.54</v>
      </c>
    </row>
    <row r="1552">
      <c r="A1552" s="1">
        <f>IFERROR(__xludf.DUMMYFUNCTION("""COMPUTED_VALUE"""),1000.0)</f>
        <v>1000</v>
      </c>
      <c r="B1552" s="1">
        <f>IFERROR(__xludf.DUMMYFUNCTION("""COMPUTED_VALUE"""),184571.0)</f>
        <v>184571</v>
      </c>
      <c r="C1552" s="1">
        <f>IFERROR(__xludf.DUMMYFUNCTION("""COMPUTED_VALUE"""),2026.0)</f>
        <v>2026</v>
      </c>
      <c r="D1552" s="1">
        <f>IFERROR(__xludf.DUMMYFUNCTION("""COMPUTED_VALUE"""),46060.0)</f>
        <v>46060</v>
      </c>
      <c r="E1552" s="1" t="str">
        <f>IFERROR(__xludf.DUMMYFUNCTION("""COMPUTED_VALUE"""),"VF")</f>
        <v>VF</v>
      </c>
      <c r="F1552" s="1">
        <f>IFERROR(__xludf.DUMMYFUNCTION("""COMPUTED_VALUE"""),1.0)</f>
        <v>1</v>
      </c>
      <c r="G1552" s="1" t="str">
        <f>IFERROR(__xludf.DUMMYFUNCTION("""COMPUTED_VALUE"""),"PR004")</f>
        <v>PR004</v>
      </c>
      <c r="H1552" s="1" t="str">
        <f>IFERROR(__xludf.DUMMYFUNCTION("""COMPUTED_VALUE"""),"VD049")</f>
        <v>VD049</v>
      </c>
      <c r="I1552" s="1">
        <f>IFERROR(__xludf.DUMMYFUNCTION("""COMPUTED_VALUE"""),2.0)</f>
        <v>2</v>
      </c>
      <c r="J1552" s="1">
        <f>IFERROR(__xludf.DUMMYFUNCTION("""COMPUTED_VALUE"""),307.4)</f>
        <v>307.4</v>
      </c>
      <c r="K1552" s="1">
        <f>IFERROR(__xludf.DUMMYFUNCTION("""COMPUTED_VALUE"""),307.4)</f>
        <v>307.4</v>
      </c>
    </row>
    <row r="1553">
      <c r="A1553" s="1">
        <f>IFERROR(__xludf.DUMMYFUNCTION("""COMPUTED_VALUE"""),2000.0)</f>
        <v>2000</v>
      </c>
      <c r="B1553" s="1">
        <f>IFERROR(__xludf.DUMMYFUNCTION("""COMPUTED_VALUE"""),184571.0)</f>
        <v>184571</v>
      </c>
      <c r="C1553" s="1">
        <f>IFERROR(__xludf.DUMMYFUNCTION("""COMPUTED_VALUE"""),2026.0)</f>
        <v>2026</v>
      </c>
      <c r="D1553" s="1">
        <f>IFERROR(__xludf.DUMMYFUNCTION("""COMPUTED_VALUE"""),46060.0)</f>
        <v>46060</v>
      </c>
      <c r="E1553" s="1" t="str">
        <f>IFERROR(__xludf.DUMMYFUNCTION("""COMPUTED_VALUE"""),"VF")</f>
        <v>VF</v>
      </c>
      <c r="F1553" s="1">
        <f>IFERROR(__xludf.DUMMYFUNCTION("""COMPUTED_VALUE"""),2.0)</f>
        <v>2</v>
      </c>
      <c r="G1553" s="1" t="str">
        <f>IFERROR(__xludf.DUMMYFUNCTION("""COMPUTED_VALUE"""),"PR005")</f>
        <v>PR005</v>
      </c>
      <c r="H1553" s="1" t="str">
        <f>IFERROR(__xludf.DUMMYFUNCTION("""COMPUTED_VALUE"""),"VD036")</f>
        <v>VD036</v>
      </c>
      <c r="I1553" s="1">
        <f>IFERROR(__xludf.DUMMYFUNCTION("""COMPUTED_VALUE"""),4.0)</f>
        <v>4</v>
      </c>
      <c r="J1553" s="1">
        <f>IFERROR(__xludf.DUMMYFUNCTION("""COMPUTED_VALUE"""),1050.0)</f>
        <v>1050</v>
      </c>
      <c r="K1553" s="1">
        <f>IFERROR(__xludf.DUMMYFUNCTION("""COMPUTED_VALUE"""),1050.0)</f>
        <v>1050</v>
      </c>
    </row>
    <row r="1554">
      <c r="A1554" s="1">
        <f>IFERROR(__xludf.DUMMYFUNCTION("""COMPUTED_VALUE"""),1000.0)</f>
        <v>1000</v>
      </c>
      <c r="B1554" s="1">
        <f>IFERROR(__xludf.DUMMYFUNCTION("""COMPUTED_VALUE"""),184572.0)</f>
        <v>184572</v>
      </c>
      <c r="C1554" s="1">
        <f>IFERROR(__xludf.DUMMYFUNCTION("""COMPUTED_VALUE"""),2026.0)</f>
        <v>2026</v>
      </c>
      <c r="D1554" s="1">
        <f>IFERROR(__xludf.DUMMYFUNCTION("""COMPUTED_VALUE"""),46060.0)</f>
        <v>46060</v>
      </c>
      <c r="E1554" s="1" t="str">
        <f>IFERROR(__xludf.DUMMYFUNCTION("""COMPUTED_VALUE"""),"VF")</f>
        <v>VF</v>
      </c>
      <c r="F1554" s="1">
        <f>IFERROR(__xludf.DUMMYFUNCTION("""COMPUTED_VALUE"""),1.0)</f>
        <v>1</v>
      </c>
      <c r="G1554" s="1" t="str">
        <f>IFERROR(__xludf.DUMMYFUNCTION("""COMPUTED_VALUE"""),"PR030")</f>
        <v>PR030</v>
      </c>
      <c r="H1554" s="1" t="str">
        <f>IFERROR(__xludf.DUMMYFUNCTION("""COMPUTED_VALUE"""),"VD018")</f>
        <v>VD018</v>
      </c>
      <c r="I1554" s="1">
        <f>IFERROR(__xludf.DUMMYFUNCTION("""COMPUTED_VALUE"""),5.0)</f>
        <v>5</v>
      </c>
      <c r="J1554" s="1">
        <f>IFERROR(__xludf.DUMMYFUNCTION("""COMPUTED_VALUE"""),1403.46)</f>
        <v>1403.46</v>
      </c>
      <c r="K1554" s="1">
        <f>IFERROR(__xludf.DUMMYFUNCTION("""COMPUTED_VALUE"""),1403.46)</f>
        <v>1403.46</v>
      </c>
    </row>
    <row r="1555">
      <c r="A1555" s="1">
        <f>IFERROR(__xludf.DUMMYFUNCTION("""COMPUTED_VALUE"""),2000.0)</f>
        <v>2000</v>
      </c>
      <c r="B1555" s="1">
        <f>IFERROR(__xludf.DUMMYFUNCTION("""COMPUTED_VALUE"""),184573.0)</f>
        <v>184573</v>
      </c>
      <c r="C1555" s="1">
        <f>IFERROR(__xludf.DUMMYFUNCTION("""COMPUTED_VALUE"""),2026.0)</f>
        <v>2026</v>
      </c>
      <c r="D1555" s="1">
        <f>IFERROR(__xludf.DUMMYFUNCTION("""COMPUTED_VALUE"""),46060.0)</f>
        <v>46060</v>
      </c>
      <c r="E1555" s="1" t="str">
        <f>IFERROR(__xludf.DUMMYFUNCTION("""COMPUTED_VALUE"""),"VF")</f>
        <v>VF</v>
      </c>
      <c r="F1555" s="1">
        <f>IFERROR(__xludf.DUMMYFUNCTION("""COMPUTED_VALUE"""),1.0)</f>
        <v>1</v>
      </c>
      <c r="G1555" s="1" t="str">
        <f>IFERROR(__xludf.DUMMYFUNCTION("""COMPUTED_VALUE"""),"PR013")</f>
        <v>PR013</v>
      </c>
      <c r="H1555" s="1" t="str">
        <f>IFERROR(__xludf.DUMMYFUNCTION("""COMPUTED_VALUE"""),"VD015")</f>
        <v>VD015</v>
      </c>
      <c r="I1555" s="1">
        <f>IFERROR(__xludf.DUMMYFUNCTION("""COMPUTED_VALUE"""),6.0)</f>
        <v>6</v>
      </c>
      <c r="J1555" s="1">
        <f>IFERROR(__xludf.DUMMYFUNCTION("""COMPUTED_VALUE"""),258.55)</f>
        <v>258.55</v>
      </c>
      <c r="K1555" s="1">
        <f>IFERROR(__xludf.DUMMYFUNCTION("""COMPUTED_VALUE"""),258.55)</f>
        <v>258.55</v>
      </c>
    </row>
    <row r="1556">
      <c r="A1556" s="1">
        <f>IFERROR(__xludf.DUMMYFUNCTION("""COMPUTED_VALUE"""),1000.0)</f>
        <v>1000</v>
      </c>
      <c r="B1556" s="1">
        <f>IFERROR(__xludf.DUMMYFUNCTION("""COMPUTED_VALUE"""),184574.0)</f>
        <v>184574</v>
      </c>
      <c r="C1556" s="1">
        <f>IFERROR(__xludf.DUMMYFUNCTION("""COMPUTED_VALUE"""),2026.0)</f>
        <v>2026</v>
      </c>
      <c r="D1556" s="1">
        <f>IFERROR(__xludf.DUMMYFUNCTION("""COMPUTED_VALUE"""),46060.0)</f>
        <v>46060</v>
      </c>
      <c r="E1556" s="1" t="str">
        <f>IFERROR(__xludf.DUMMYFUNCTION("""COMPUTED_VALUE"""),"VF")</f>
        <v>VF</v>
      </c>
      <c r="F1556" s="1">
        <f>IFERROR(__xludf.DUMMYFUNCTION("""COMPUTED_VALUE"""),1.0)</f>
        <v>1</v>
      </c>
      <c r="G1556" s="1" t="str">
        <f>IFERROR(__xludf.DUMMYFUNCTION("""COMPUTED_VALUE"""),"PR007")</f>
        <v>PR007</v>
      </c>
      <c r="H1556" s="1" t="str">
        <f>IFERROR(__xludf.DUMMYFUNCTION("""COMPUTED_VALUE"""),"VD029")</f>
        <v>VD029</v>
      </c>
      <c r="I1556" s="1">
        <f>IFERROR(__xludf.DUMMYFUNCTION("""COMPUTED_VALUE"""),9.0)</f>
        <v>9</v>
      </c>
      <c r="J1556" s="1">
        <f>IFERROR(__xludf.DUMMYFUNCTION("""COMPUTED_VALUE"""),811.76)</f>
        <v>811.76</v>
      </c>
      <c r="K1556" s="1">
        <f>IFERROR(__xludf.DUMMYFUNCTION("""COMPUTED_VALUE"""),811.76)</f>
        <v>811.76</v>
      </c>
    </row>
    <row r="1557">
      <c r="A1557" s="1">
        <f>IFERROR(__xludf.DUMMYFUNCTION("""COMPUTED_VALUE"""),1000.0)</f>
        <v>1000</v>
      </c>
      <c r="B1557" s="1">
        <f>IFERROR(__xludf.DUMMYFUNCTION("""COMPUTED_VALUE"""),184575.0)</f>
        <v>184575</v>
      </c>
      <c r="C1557" s="1">
        <f>IFERROR(__xludf.DUMMYFUNCTION("""COMPUTED_VALUE"""),2026.0)</f>
        <v>2026</v>
      </c>
      <c r="D1557" s="1">
        <f>IFERROR(__xludf.DUMMYFUNCTION("""COMPUTED_VALUE"""),46060.0)</f>
        <v>46060</v>
      </c>
      <c r="E1557" s="1" t="str">
        <f>IFERROR(__xludf.DUMMYFUNCTION("""COMPUTED_VALUE"""),"VF")</f>
        <v>VF</v>
      </c>
      <c r="F1557" s="1">
        <f>IFERROR(__xludf.DUMMYFUNCTION("""COMPUTED_VALUE"""),1.0)</f>
        <v>1</v>
      </c>
      <c r="G1557" s="1" t="str">
        <f>IFERROR(__xludf.DUMMYFUNCTION("""COMPUTED_VALUE"""),"PR035")</f>
        <v>PR035</v>
      </c>
      <c r="H1557" s="1" t="str">
        <f>IFERROR(__xludf.DUMMYFUNCTION("""COMPUTED_VALUE"""),"VD040")</f>
        <v>VD040</v>
      </c>
      <c r="I1557" s="1">
        <f>IFERROR(__xludf.DUMMYFUNCTION("""COMPUTED_VALUE"""),3.0)</f>
        <v>3</v>
      </c>
      <c r="J1557" s="1">
        <f>IFERROR(__xludf.DUMMYFUNCTION("""COMPUTED_VALUE"""),279.68)</f>
        <v>279.68</v>
      </c>
      <c r="K1557" s="1">
        <f>IFERROR(__xludf.DUMMYFUNCTION("""COMPUTED_VALUE"""),279.68)</f>
        <v>279.68</v>
      </c>
    </row>
    <row r="1558">
      <c r="A1558" s="1">
        <f>IFERROR(__xludf.DUMMYFUNCTION("""COMPUTED_VALUE"""),1000.0)</f>
        <v>1000</v>
      </c>
      <c r="B1558" s="1">
        <f>IFERROR(__xludf.DUMMYFUNCTION("""COMPUTED_VALUE"""),184575.0)</f>
        <v>184575</v>
      </c>
      <c r="C1558" s="1">
        <f>IFERROR(__xludf.DUMMYFUNCTION("""COMPUTED_VALUE"""),2026.0)</f>
        <v>2026</v>
      </c>
      <c r="D1558" s="1">
        <f>IFERROR(__xludf.DUMMYFUNCTION("""COMPUTED_VALUE"""),46059.0)</f>
        <v>46059</v>
      </c>
      <c r="E1558" s="1" t="str">
        <f>IFERROR(__xludf.DUMMYFUNCTION("""COMPUTED_VALUE"""),"VF")</f>
        <v>VF</v>
      </c>
      <c r="F1558" s="1">
        <f>IFERROR(__xludf.DUMMYFUNCTION("""COMPUTED_VALUE"""),2.0)</f>
        <v>2</v>
      </c>
      <c r="G1558" s="1" t="str">
        <f>IFERROR(__xludf.DUMMYFUNCTION("""COMPUTED_VALUE"""),"PR030")</f>
        <v>PR030</v>
      </c>
      <c r="H1558" s="1" t="str">
        <f>IFERROR(__xludf.DUMMYFUNCTION("""COMPUTED_VALUE"""),"VD010")</f>
        <v>VD010</v>
      </c>
      <c r="I1558" s="1">
        <f>IFERROR(__xludf.DUMMYFUNCTION("""COMPUTED_VALUE"""),20.0)</f>
        <v>20</v>
      </c>
      <c r="J1558" s="1">
        <f>IFERROR(__xludf.DUMMYFUNCTION("""COMPUTED_VALUE"""),5301.96)</f>
        <v>5301.96</v>
      </c>
      <c r="K1558" s="1">
        <f>IFERROR(__xludf.DUMMYFUNCTION("""COMPUTED_VALUE"""),5301.96)</f>
        <v>5301.96</v>
      </c>
    </row>
    <row r="1559">
      <c r="A1559" s="1">
        <f>IFERROR(__xludf.DUMMYFUNCTION("""COMPUTED_VALUE"""),1000.0)</f>
        <v>1000</v>
      </c>
      <c r="B1559" s="1">
        <f>IFERROR(__xludf.DUMMYFUNCTION("""COMPUTED_VALUE"""),184576.0)</f>
        <v>184576</v>
      </c>
      <c r="C1559" s="1">
        <f>IFERROR(__xludf.DUMMYFUNCTION("""COMPUTED_VALUE"""),2026.0)</f>
        <v>2026</v>
      </c>
      <c r="D1559" s="1">
        <f>IFERROR(__xludf.DUMMYFUNCTION("""COMPUTED_VALUE"""),46059.0)</f>
        <v>46059</v>
      </c>
      <c r="E1559" s="1" t="str">
        <f>IFERROR(__xludf.DUMMYFUNCTION("""COMPUTED_VALUE"""),"VF")</f>
        <v>VF</v>
      </c>
      <c r="F1559" s="1">
        <f>IFERROR(__xludf.DUMMYFUNCTION("""COMPUTED_VALUE"""),1.0)</f>
        <v>1</v>
      </c>
      <c r="G1559" s="1" t="str">
        <f>IFERROR(__xludf.DUMMYFUNCTION("""COMPUTED_VALUE"""),"PR018")</f>
        <v>PR018</v>
      </c>
      <c r="H1559" s="1" t="str">
        <f>IFERROR(__xludf.DUMMYFUNCTION("""COMPUTED_VALUE"""),"VD046")</f>
        <v>VD046</v>
      </c>
      <c r="I1559" s="1">
        <f>IFERROR(__xludf.DUMMYFUNCTION("""COMPUTED_VALUE"""),14.0)</f>
        <v>14</v>
      </c>
      <c r="J1559" s="1">
        <f>IFERROR(__xludf.DUMMYFUNCTION("""COMPUTED_VALUE"""),474.42)</f>
        <v>474.42</v>
      </c>
      <c r="K1559" s="1">
        <f>IFERROR(__xludf.DUMMYFUNCTION("""COMPUTED_VALUE"""),474.42)</f>
        <v>474.42</v>
      </c>
    </row>
    <row r="1560">
      <c r="A1560" s="1">
        <f>IFERROR(__xludf.DUMMYFUNCTION("""COMPUTED_VALUE"""),1000.0)</f>
        <v>1000</v>
      </c>
      <c r="B1560" s="1">
        <f>IFERROR(__xludf.DUMMYFUNCTION("""COMPUTED_VALUE"""),184577.0)</f>
        <v>184577</v>
      </c>
      <c r="C1560" s="1">
        <f>IFERROR(__xludf.DUMMYFUNCTION("""COMPUTED_VALUE"""),2026.0)</f>
        <v>2026</v>
      </c>
      <c r="D1560" s="1">
        <f>IFERROR(__xludf.DUMMYFUNCTION("""COMPUTED_VALUE"""),46059.0)</f>
        <v>46059</v>
      </c>
      <c r="E1560" s="1" t="str">
        <f>IFERROR(__xludf.DUMMYFUNCTION("""COMPUTED_VALUE"""),"VF")</f>
        <v>VF</v>
      </c>
      <c r="F1560" s="1">
        <f>IFERROR(__xludf.DUMMYFUNCTION("""COMPUTED_VALUE"""),1.0)</f>
        <v>1</v>
      </c>
      <c r="G1560" s="1" t="str">
        <f>IFERROR(__xludf.DUMMYFUNCTION("""COMPUTED_VALUE"""),"PR016")</f>
        <v>PR016</v>
      </c>
      <c r="H1560" s="1" t="str">
        <f>IFERROR(__xludf.DUMMYFUNCTION("""COMPUTED_VALUE"""),"VD044")</f>
        <v>VD044</v>
      </c>
      <c r="I1560" s="1">
        <f>IFERROR(__xludf.DUMMYFUNCTION("""COMPUTED_VALUE"""),16.0)</f>
        <v>16</v>
      </c>
      <c r="J1560" s="1">
        <f>IFERROR(__xludf.DUMMYFUNCTION("""COMPUTED_VALUE"""),430.98)</f>
        <v>430.98</v>
      </c>
      <c r="K1560" s="1">
        <f>IFERROR(__xludf.DUMMYFUNCTION("""COMPUTED_VALUE"""),430.98)</f>
        <v>430.98</v>
      </c>
    </row>
    <row r="1561">
      <c r="A1561" s="1">
        <f>IFERROR(__xludf.DUMMYFUNCTION("""COMPUTED_VALUE"""),1000.0)</f>
        <v>1000</v>
      </c>
      <c r="B1561" s="1">
        <f>IFERROR(__xludf.DUMMYFUNCTION("""COMPUTED_VALUE"""),184578.0)</f>
        <v>184578</v>
      </c>
      <c r="C1561" s="1">
        <f>IFERROR(__xludf.DUMMYFUNCTION("""COMPUTED_VALUE"""),2026.0)</f>
        <v>2026</v>
      </c>
      <c r="D1561" s="1">
        <f>IFERROR(__xludf.DUMMYFUNCTION("""COMPUTED_VALUE"""),46059.0)</f>
        <v>46059</v>
      </c>
      <c r="E1561" s="1" t="str">
        <f>IFERROR(__xludf.DUMMYFUNCTION("""COMPUTED_VALUE"""),"VF")</f>
        <v>VF</v>
      </c>
      <c r="F1561" s="1">
        <f>IFERROR(__xludf.DUMMYFUNCTION("""COMPUTED_VALUE"""),1.0)</f>
        <v>1</v>
      </c>
      <c r="G1561" s="1" t="str">
        <f>IFERROR(__xludf.DUMMYFUNCTION("""COMPUTED_VALUE"""),"PR030")</f>
        <v>PR030</v>
      </c>
      <c r="H1561" s="1" t="str">
        <f>IFERROR(__xludf.DUMMYFUNCTION("""COMPUTED_VALUE"""),"VD032")</f>
        <v>VD032</v>
      </c>
      <c r="I1561" s="1">
        <f>IFERROR(__xludf.DUMMYFUNCTION("""COMPUTED_VALUE"""),16.0)</f>
        <v>16</v>
      </c>
      <c r="J1561" s="1">
        <f>IFERROR(__xludf.DUMMYFUNCTION("""COMPUTED_VALUE"""),4574.24)</f>
        <v>4574.24</v>
      </c>
      <c r="K1561" s="1">
        <f>IFERROR(__xludf.DUMMYFUNCTION("""COMPUTED_VALUE"""),4574.24)</f>
        <v>4574.24</v>
      </c>
    </row>
    <row r="1562">
      <c r="A1562" s="1">
        <f>IFERROR(__xludf.DUMMYFUNCTION("""COMPUTED_VALUE"""),1000.0)</f>
        <v>1000</v>
      </c>
      <c r="B1562" s="1">
        <f>IFERROR(__xludf.DUMMYFUNCTION("""COMPUTED_VALUE"""),184579.0)</f>
        <v>184579</v>
      </c>
      <c r="C1562" s="1">
        <f>IFERROR(__xludf.DUMMYFUNCTION("""COMPUTED_VALUE"""),2026.0)</f>
        <v>2026</v>
      </c>
      <c r="D1562" s="1">
        <f>IFERROR(__xludf.DUMMYFUNCTION("""COMPUTED_VALUE"""),46059.0)</f>
        <v>46059</v>
      </c>
      <c r="E1562" s="1" t="str">
        <f>IFERROR(__xludf.DUMMYFUNCTION("""COMPUTED_VALUE"""),"VF")</f>
        <v>VF</v>
      </c>
      <c r="F1562" s="1">
        <f>IFERROR(__xludf.DUMMYFUNCTION("""COMPUTED_VALUE"""),1.0)</f>
        <v>1</v>
      </c>
      <c r="G1562" s="1" t="str">
        <f>IFERROR(__xludf.DUMMYFUNCTION("""COMPUTED_VALUE"""),"PR056")</f>
        <v>PR056</v>
      </c>
      <c r="H1562" s="1" t="str">
        <f>IFERROR(__xludf.DUMMYFUNCTION("""COMPUTED_VALUE"""),"VD018")</f>
        <v>VD018</v>
      </c>
      <c r="I1562" s="1">
        <f>IFERROR(__xludf.DUMMYFUNCTION("""COMPUTED_VALUE"""),20.0)</f>
        <v>20</v>
      </c>
      <c r="J1562" s="1">
        <f>IFERROR(__xludf.DUMMYFUNCTION("""COMPUTED_VALUE"""),1833.96)</f>
        <v>1833.96</v>
      </c>
      <c r="K1562" s="1">
        <f>IFERROR(__xludf.DUMMYFUNCTION("""COMPUTED_VALUE"""),1833.96)</f>
        <v>1833.96</v>
      </c>
    </row>
    <row r="1563">
      <c r="A1563" s="1">
        <f>IFERROR(__xludf.DUMMYFUNCTION("""COMPUTED_VALUE"""),1000.0)</f>
        <v>1000</v>
      </c>
      <c r="B1563" s="1">
        <f>IFERROR(__xludf.DUMMYFUNCTION("""COMPUTED_VALUE"""),184579.0)</f>
        <v>184579</v>
      </c>
      <c r="C1563" s="1">
        <f>IFERROR(__xludf.DUMMYFUNCTION("""COMPUTED_VALUE"""),2026.0)</f>
        <v>2026</v>
      </c>
      <c r="D1563" s="1">
        <f>IFERROR(__xludf.DUMMYFUNCTION("""COMPUTED_VALUE"""),46059.0)</f>
        <v>46059</v>
      </c>
      <c r="E1563" s="1" t="str">
        <f>IFERROR(__xludf.DUMMYFUNCTION("""COMPUTED_VALUE"""),"VF")</f>
        <v>VF</v>
      </c>
      <c r="F1563" s="1">
        <f>IFERROR(__xludf.DUMMYFUNCTION("""COMPUTED_VALUE"""),2.0)</f>
        <v>2</v>
      </c>
      <c r="G1563" s="1" t="str">
        <f>IFERROR(__xludf.DUMMYFUNCTION("""COMPUTED_VALUE"""),"PR037")</f>
        <v>PR037</v>
      </c>
      <c r="H1563" s="1" t="str">
        <f>IFERROR(__xludf.DUMMYFUNCTION("""COMPUTED_VALUE"""),"VD048")</f>
        <v>VD048</v>
      </c>
      <c r="I1563" s="1">
        <f>IFERROR(__xludf.DUMMYFUNCTION("""COMPUTED_VALUE"""),12.0)</f>
        <v>12</v>
      </c>
      <c r="J1563" s="1">
        <f>IFERROR(__xludf.DUMMYFUNCTION("""COMPUTED_VALUE"""),1764.0)</f>
        <v>1764</v>
      </c>
      <c r="K1563" s="1">
        <f>IFERROR(__xludf.DUMMYFUNCTION("""COMPUTED_VALUE"""),1764.0)</f>
        <v>1764</v>
      </c>
    </row>
    <row r="1564">
      <c r="A1564" s="1">
        <f>IFERROR(__xludf.DUMMYFUNCTION("""COMPUTED_VALUE"""),1000.0)</f>
        <v>1000</v>
      </c>
      <c r="B1564" s="1">
        <f>IFERROR(__xludf.DUMMYFUNCTION("""COMPUTED_VALUE"""),184580.0)</f>
        <v>184580</v>
      </c>
      <c r="C1564" s="1">
        <f>IFERROR(__xludf.DUMMYFUNCTION("""COMPUTED_VALUE"""),2026.0)</f>
        <v>2026</v>
      </c>
      <c r="D1564" s="1">
        <f>IFERROR(__xludf.DUMMYFUNCTION("""COMPUTED_VALUE"""),46059.0)</f>
        <v>46059</v>
      </c>
      <c r="E1564" s="1" t="str">
        <f>IFERROR(__xludf.DUMMYFUNCTION("""COMPUTED_VALUE"""),"VF")</f>
        <v>VF</v>
      </c>
      <c r="F1564" s="1">
        <f>IFERROR(__xludf.DUMMYFUNCTION("""COMPUTED_VALUE"""),1.0)</f>
        <v>1</v>
      </c>
      <c r="G1564" s="1" t="str">
        <f>IFERROR(__xludf.DUMMYFUNCTION("""COMPUTED_VALUE"""),"PR031")</f>
        <v>PR031</v>
      </c>
      <c r="H1564" s="1" t="str">
        <f>IFERROR(__xludf.DUMMYFUNCTION("""COMPUTED_VALUE"""),"VD032")</f>
        <v>VD032</v>
      </c>
      <c r="I1564" s="1">
        <f>IFERROR(__xludf.DUMMYFUNCTION("""COMPUTED_VALUE"""),14.0)</f>
        <v>14</v>
      </c>
      <c r="J1564" s="1">
        <f>IFERROR(__xludf.DUMMYFUNCTION("""COMPUTED_VALUE"""),3430.0)</f>
        <v>3430</v>
      </c>
      <c r="K1564" s="1">
        <f>IFERROR(__xludf.DUMMYFUNCTION("""COMPUTED_VALUE"""),3430.0)</f>
        <v>3430</v>
      </c>
    </row>
    <row r="1565">
      <c r="A1565" s="1">
        <f>IFERROR(__xludf.DUMMYFUNCTION("""COMPUTED_VALUE"""),2000.0)</f>
        <v>2000</v>
      </c>
      <c r="B1565" s="1">
        <f>IFERROR(__xludf.DUMMYFUNCTION("""COMPUTED_VALUE"""),184580.0)</f>
        <v>184580</v>
      </c>
      <c r="C1565" s="1">
        <f>IFERROR(__xludf.DUMMYFUNCTION("""COMPUTED_VALUE"""),2026.0)</f>
        <v>2026</v>
      </c>
      <c r="D1565" s="1">
        <f>IFERROR(__xludf.DUMMYFUNCTION("""COMPUTED_VALUE"""),46058.0)</f>
        <v>46058</v>
      </c>
      <c r="E1565" s="1" t="str">
        <f>IFERROR(__xludf.DUMMYFUNCTION("""COMPUTED_VALUE"""),"VF")</f>
        <v>VF</v>
      </c>
      <c r="F1565" s="1">
        <f>IFERROR(__xludf.DUMMYFUNCTION("""COMPUTED_VALUE"""),2.0)</f>
        <v>2</v>
      </c>
      <c r="G1565" s="1" t="str">
        <f>IFERROR(__xludf.DUMMYFUNCTION("""COMPUTED_VALUE"""),"PR016")</f>
        <v>PR016</v>
      </c>
      <c r="H1565" s="1" t="str">
        <f>IFERROR(__xludf.DUMMYFUNCTION("""COMPUTED_VALUE"""),"VD027")</f>
        <v>VD027</v>
      </c>
      <c r="I1565" s="1">
        <f>IFERROR(__xludf.DUMMYFUNCTION("""COMPUTED_VALUE"""),6.0)</f>
        <v>6</v>
      </c>
      <c r="J1565" s="1">
        <f>IFERROR(__xludf.DUMMYFUNCTION("""COMPUTED_VALUE"""),170.94)</f>
        <v>170.94</v>
      </c>
      <c r="K1565" s="1">
        <f>IFERROR(__xludf.DUMMYFUNCTION("""COMPUTED_VALUE"""),170.94)</f>
        <v>170.94</v>
      </c>
    </row>
    <row r="1566">
      <c r="A1566" s="1">
        <f>IFERROR(__xludf.DUMMYFUNCTION("""COMPUTED_VALUE"""),1000.0)</f>
        <v>1000</v>
      </c>
      <c r="B1566" s="1">
        <f>IFERROR(__xludf.DUMMYFUNCTION("""COMPUTED_VALUE"""),184581.0)</f>
        <v>184581</v>
      </c>
      <c r="C1566" s="1">
        <f>IFERROR(__xludf.DUMMYFUNCTION("""COMPUTED_VALUE"""),2026.0)</f>
        <v>2026</v>
      </c>
      <c r="D1566" s="1">
        <f>IFERROR(__xludf.DUMMYFUNCTION("""COMPUTED_VALUE"""),46058.0)</f>
        <v>46058</v>
      </c>
      <c r="E1566" s="1" t="str">
        <f>IFERROR(__xludf.DUMMYFUNCTION("""COMPUTED_VALUE"""),"VF")</f>
        <v>VF</v>
      </c>
      <c r="F1566" s="1">
        <f>IFERROR(__xludf.DUMMYFUNCTION("""COMPUTED_VALUE"""),1.0)</f>
        <v>1</v>
      </c>
      <c r="G1566" s="1" t="str">
        <f>IFERROR(__xludf.DUMMYFUNCTION("""COMPUTED_VALUE"""),"PR054")</f>
        <v>PR054</v>
      </c>
      <c r="H1566" s="1" t="str">
        <f>IFERROR(__xludf.DUMMYFUNCTION("""COMPUTED_VALUE"""),"VD032")</f>
        <v>VD032</v>
      </c>
      <c r="I1566" s="1">
        <f>IFERROR(__xludf.DUMMYFUNCTION("""COMPUTED_VALUE"""),6.0)</f>
        <v>6</v>
      </c>
      <c r="J1566" s="1">
        <f>IFERROR(__xludf.DUMMYFUNCTION("""COMPUTED_VALUE"""),329.34)</f>
        <v>329.34</v>
      </c>
      <c r="K1566" s="1">
        <f>IFERROR(__xludf.DUMMYFUNCTION("""COMPUTED_VALUE"""),329.34)</f>
        <v>329.34</v>
      </c>
    </row>
    <row r="1567">
      <c r="A1567" s="1">
        <f>IFERROR(__xludf.DUMMYFUNCTION("""COMPUTED_VALUE"""),1000.0)</f>
        <v>1000</v>
      </c>
      <c r="B1567" s="1">
        <f>IFERROR(__xludf.DUMMYFUNCTION("""COMPUTED_VALUE"""),184582.0)</f>
        <v>184582</v>
      </c>
      <c r="C1567" s="1">
        <f>IFERROR(__xludf.DUMMYFUNCTION("""COMPUTED_VALUE"""),2026.0)</f>
        <v>2026</v>
      </c>
      <c r="D1567" s="1">
        <f>IFERROR(__xludf.DUMMYFUNCTION("""COMPUTED_VALUE"""),46057.0)</f>
        <v>46057</v>
      </c>
      <c r="E1567" s="1" t="str">
        <f>IFERROR(__xludf.DUMMYFUNCTION("""COMPUTED_VALUE"""),"VF")</f>
        <v>VF</v>
      </c>
      <c r="F1567" s="1">
        <f>IFERROR(__xludf.DUMMYFUNCTION("""COMPUTED_VALUE"""),1.0)</f>
        <v>1</v>
      </c>
      <c r="G1567" s="1" t="str">
        <f>IFERROR(__xludf.DUMMYFUNCTION("""COMPUTED_VALUE"""),"PR035")</f>
        <v>PR035</v>
      </c>
      <c r="H1567" s="1" t="str">
        <f>IFERROR(__xludf.DUMMYFUNCTION("""COMPUTED_VALUE"""),"VD038")</f>
        <v>VD038</v>
      </c>
      <c r="I1567" s="1">
        <f>IFERROR(__xludf.DUMMYFUNCTION("""COMPUTED_VALUE"""),2.0)</f>
        <v>2</v>
      </c>
      <c r="J1567" s="1">
        <f>IFERROR(__xludf.DUMMYFUNCTION("""COMPUTED_VALUE"""),190.11)</f>
        <v>190.11</v>
      </c>
      <c r="K1567" s="1">
        <f>IFERROR(__xludf.DUMMYFUNCTION("""COMPUTED_VALUE"""),190.11)</f>
        <v>190.11</v>
      </c>
    </row>
    <row r="1568">
      <c r="A1568" s="1">
        <f>IFERROR(__xludf.DUMMYFUNCTION("""COMPUTED_VALUE"""),1000.0)</f>
        <v>1000</v>
      </c>
      <c r="B1568" s="1">
        <f>IFERROR(__xludf.DUMMYFUNCTION("""COMPUTED_VALUE"""),184582.0)</f>
        <v>184582</v>
      </c>
      <c r="C1568" s="1">
        <f>IFERROR(__xludf.DUMMYFUNCTION("""COMPUTED_VALUE"""),2026.0)</f>
        <v>2026</v>
      </c>
      <c r="D1568" s="1">
        <f>IFERROR(__xludf.DUMMYFUNCTION("""COMPUTED_VALUE"""),46057.0)</f>
        <v>46057</v>
      </c>
      <c r="E1568" s="1" t="str">
        <f>IFERROR(__xludf.DUMMYFUNCTION("""COMPUTED_VALUE"""),"VF")</f>
        <v>VF</v>
      </c>
      <c r="F1568" s="1">
        <f>IFERROR(__xludf.DUMMYFUNCTION("""COMPUTED_VALUE"""),2.0)</f>
        <v>2</v>
      </c>
      <c r="G1568" s="1" t="str">
        <f>IFERROR(__xludf.DUMMYFUNCTION("""COMPUTED_VALUE"""),"PR014")</f>
        <v>PR014</v>
      </c>
      <c r="H1568" s="1" t="str">
        <f>IFERROR(__xludf.DUMMYFUNCTION("""COMPUTED_VALUE"""),"VD016")</f>
        <v>VD016</v>
      </c>
      <c r="I1568" s="1">
        <f>IFERROR(__xludf.DUMMYFUNCTION("""COMPUTED_VALUE"""),1.0)</f>
        <v>1</v>
      </c>
      <c r="J1568" s="1">
        <f>IFERROR(__xludf.DUMMYFUNCTION("""COMPUTED_VALUE"""),42.29)</f>
        <v>42.29</v>
      </c>
      <c r="K1568" s="1">
        <f>IFERROR(__xludf.DUMMYFUNCTION("""COMPUTED_VALUE"""),42.29)</f>
        <v>42.29</v>
      </c>
    </row>
    <row r="1569">
      <c r="A1569" s="1">
        <f>IFERROR(__xludf.DUMMYFUNCTION("""COMPUTED_VALUE"""),1000.0)</f>
        <v>1000</v>
      </c>
      <c r="B1569" s="1">
        <f>IFERROR(__xludf.DUMMYFUNCTION("""COMPUTED_VALUE"""),184583.0)</f>
        <v>184583</v>
      </c>
      <c r="C1569" s="1">
        <f>IFERROR(__xludf.DUMMYFUNCTION("""COMPUTED_VALUE"""),2026.0)</f>
        <v>2026</v>
      </c>
      <c r="D1569" s="1">
        <f>IFERROR(__xludf.DUMMYFUNCTION("""COMPUTED_VALUE"""),46057.0)</f>
        <v>46057</v>
      </c>
      <c r="E1569" s="1" t="str">
        <f>IFERROR(__xludf.DUMMYFUNCTION("""COMPUTED_VALUE"""),"VF")</f>
        <v>VF</v>
      </c>
      <c r="F1569" s="1">
        <f>IFERROR(__xludf.DUMMYFUNCTION("""COMPUTED_VALUE"""),1.0)</f>
        <v>1</v>
      </c>
      <c r="G1569" s="1" t="str">
        <f>IFERROR(__xludf.DUMMYFUNCTION("""COMPUTED_VALUE"""),"PR009")</f>
        <v>PR009</v>
      </c>
      <c r="H1569" s="1" t="str">
        <f>IFERROR(__xludf.DUMMYFUNCTION("""COMPUTED_VALUE"""),"VD031")</f>
        <v>VD031</v>
      </c>
      <c r="I1569" s="1">
        <f>IFERROR(__xludf.DUMMYFUNCTION("""COMPUTED_VALUE"""),16.0)</f>
        <v>16</v>
      </c>
      <c r="J1569" s="1">
        <f>IFERROR(__xludf.DUMMYFUNCTION("""COMPUTED_VALUE"""),1516.13)</f>
        <v>1516.13</v>
      </c>
      <c r="K1569" s="1">
        <f>IFERROR(__xludf.DUMMYFUNCTION("""COMPUTED_VALUE"""),1516.13)</f>
        <v>1516.13</v>
      </c>
    </row>
    <row r="1570">
      <c r="A1570" s="1">
        <f>IFERROR(__xludf.DUMMYFUNCTION("""COMPUTED_VALUE"""),1000.0)</f>
        <v>1000</v>
      </c>
      <c r="B1570" s="1">
        <f>IFERROR(__xludf.DUMMYFUNCTION("""COMPUTED_VALUE"""),184584.0)</f>
        <v>184584</v>
      </c>
      <c r="C1570" s="1">
        <f>IFERROR(__xludf.DUMMYFUNCTION("""COMPUTED_VALUE"""),2026.0)</f>
        <v>2026</v>
      </c>
      <c r="D1570" s="1">
        <f>IFERROR(__xludf.DUMMYFUNCTION("""COMPUTED_VALUE"""),46056.0)</f>
        <v>46056</v>
      </c>
      <c r="E1570" s="1" t="str">
        <f>IFERROR(__xludf.DUMMYFUNCTION("""COMPUTED_VALUE"""),"VF")</f>
        <v>VF</v>
      </c>
      <c r="F1570" s="1">
        <f>IFERROR(__xludf.DUMMYFUNCTION("""COMPUTED_VALUE"""),1.0)</f>
        <v>1</v>
      </c>
      <c r="G1570" s="1" t="str">
        <f>IFERROR(__xludf.DUMMYFUNCTION("""COMPUTED_VALUE"""),"PR053")</f>
        <v>PR053</v>
      </c>
      <c r="H1570" s="1" t="str">
        <f>IFERROR(__xludf.DUMMYFUNCTION("""COMPUTED_VALUE"""),"VD036")</f>
        <v>VD036</v>
      </c>
      <c r="I1570" s="1">
        <f>IFERROR(__xludf.DUMMYFUNCTION("""COMPUTED_VALUE"""),18.0)</f>
        <v>18</v>
      </c>
      <c r="J1570" s="1">
        <f>IFERROR(__xludf.DUMMYFUNCTION("""COMPUTED_VALUE"""),961.07)</f>
        <v>961.07</v>
      </c>
      <c r="K1570" s="1">
        <f>IFERROR(__xludf.DUMMYFUNCTION("""COMPUTED_VALUE"""),961.07)</f>
        <v>961.07</v>
      </c>
    </row>
    <row r="1571">
      <c r="A1571" s="1">
        <f>IFERROR(__xludf.DUMMYFUNCTION("""COMPUTED_VALUE"""),1000.0)</f>
        <v>1000</v>
      </c>
      <c r="B1571" s="1">
        <f>IFERROR(__xludf.DUMMYFUNCTION("""COMPUTED_VALUE"""),184585.0)</f>
        <v>184585</v>
      </c>
      <c r="C1571" s="1">
        <f>IFERROR(__xludf.DUMMYFUNCTION("""COMPUTED_VALUE"""),2026.0)</f>
        <v>2026</v>
      </c>
      <c r="D1571" s="1">
        <f>IFERROR(__xludf.DUMMYFUNCTION("""COMPUTED_VALUE"""),46056.0)</f>
        <v>46056</v>
      </c>
      <c r="E1571" s="1" t="str">
        <f>IFERROR(__xludf.DUMMYFUNCTION("""COMPUTED_VALUE"""),"VF")</f>
        <v>VF</v>
      </c>
      <c r="F1571" s="1">
        <f>IFERROR(__xludf.DUMMYFUNCTION("""COMPUTED_VALUE"""),1.0)</f>
        <v>1</v>
      </c>
      <c r="G1571" s="1" t="str">
        <f>IFERROR(__xludf.DUMMYFUNCTION("""COMPUTED_VALUE"""),"PR051")</f>
        <v>PR051</v>
      </c>
      <c r="H1571" s="1" t="str">
        <f>IFERROR(__xludf.DUMMYFUNCTION("""COMPUTED_VALUE"""),"VD038")</f>
        <v>VD038</v>
      </c>
      <c r="I1571" s="1">
        <f>IFERROR(__xludf.DUMMYFUNCTION("""COMPUTED_VALUE"""),8.0)</f>
        <v>8</v>
      </c>
      <c r="J1571" s="1">
        <f>IFERROR(__xludf.DUMMYFUNCTION("""COMPUTED_VALUE"""),271.1)</f>
        <v>271.1</v>
      </c>
      <c r="K1571" s="1">
        <f>IFERROR(__xludf.DUMMYFUNCTION("""COMPUTED_VALUE"""),271.1)</f>
        <v>271.1</v>
      </c>
    </row>
    <row r="1572">
      <c r="A1572" s="1">
        <f>IFERROR(__xludf.DUMMYFUNCTION("""COMPUTED_VALUE"""),1000.0)</f>
        <v>1000</v>
      </c>
      <c r="B1572" s="1">
        <f>IFERROR(__xludf.DUMMYFUNCTION("""COMPUTED_VALUE"""),184585.0)</f>
        <v>184585</v>
      </c>
      <c r="C1572" s="1">
        <f>IFERROR(__xludf.DUMMYFUNCTION("""COMPUTED_VALUE"""),2026.0)</f>
        <v>2026</v>
      </c>
      <c r="D1572" s="1">
        <f>IFERROR(__xludf.DUMMYFUNCTION("""COMPUTED_VALUE"""),46056.0)</f>
        <v>46056</v>
      </c>
      <c r="E1572" s="1" t="str">
        <f>IFERROR(__xludf.DUMMYFUNCTION("""COMPUTED_VALUE"""),"VF")</f>
        <v>VF</v>
      </c>
      <c r="F1572" s="1">
        <f>IFERROR(__xludf.DUMMYFUNCTION("""COMPUTED_VALUE"""),2.0)</f>
        <v>2</v>
      </c>
      <c r="G1572" s="1" t="str">
        <f>IFERROR(__xludf.DUMMYFUNCTION("""COMPUTED_VALUE"""),"PR006")</f>
        <v>PR006</v>
      </c>
      <c r="H1572" s="1" t="str">
        <f>IFERROR(__xludf.DUMMYFUNCTION("""COMPUTED_VALUE"""),"VD035")</f>
        <v>VD035</v>
      </c>
      <c r="I1572" s="1">
        <f>IFERROR(__xludf.DUMMYFUNCTION("""COMPUTED_VALUE"""),5.0)</f>
        <v>5</v>
      </c>
      <c r="J1572" s="1">
        <f>IFERROR(__xludf.DUMMYFUNCTION("""COMPUTED_VALUE"""),215.46)</f>
        <v>215.46</v>
      </c>
      <c r="K1572" s="1">
        <f>IFERROR(__xludf.DUMMYFUNCTION("""COMPUTED_VALUE"""),215.46)</f>
        <v>215.46</v>
      </c>
    </row>
    <row r="1573">
      <c r="A1573" s="1">
        <f>IFERROR(__xludf.DUMMYFUNCTION("""COMPUTED_VALUE"""),1000.0)</f>
        <v>1000</v>
      </c>
      <c r="B1573" s="1">
        <f>IFERROR(__xludf.DUMMYFUNCTION("""COMPUTED_VALUE"""),184586.0)</f>
        <v>184586</v>
      </c>
      <c r="C1573" s="1">
        <f>IFERROR(__xludf.DUMMYFUNCTION("""COMPUTED_VALUE"""),2026.0)</f>
        <v>2026</v>
      </c>
      <c r="D1573" s="1">
        <f>IFERROR(__xludf.DUMMYFUNCTION("""COMPUTED_VALUE"""),46056.0)</f>
        <v>46056</v>
      </c>
      <c r="E1573" s="1" t="str">
        <f>IFERROR(__xludf.DUMMYFUNCTION("""COMPUTED_VALUE"""),"VF")</f>
        <v>VF</v>
      </c>
      <c r="F1573" s="1">
        <f>IFERROR(__xludf.DUMMYFUNCTION("""COMPUTED_VALUE"""),1.0)</f>
        <v>1</v>
      </c>
      <c r="G1573" s="1" t="str">
        <f>IFERROR(__xludf.DUMMYFUNCTION("""COMPUTED_VALUE"""),"PR046")</f>
        <v>PR046</v>
      </c>
      <c r="H1573" s="1" t="str">
        <f>IFERROR(__xludf.DUMMYFUNCTION("""COMPUTED_VALUE"""),"VD040")</f>
        <v>VD040</v>
      </c>
      <c r="I1573" s="1">
        <f>IFERROR(__xludf.DUMMYFUNCTION("""COMPUTED_VALUE"""),2.0)</f>
        <v>2</v>
      </c>
      <c r="J1573" s="1">
        <f>IFERROR(__xludf.DUMMYFUNCTION("""COMPUTED_VALUE"""),614.59)</f>
        <v>614.59</v>
      </c>
      <c r="K1573" s="1">
        <f>IFERROR(__xludf.DUMMYFUNCTION("""COMPUTED_VALUE"""),614.59)</f>
        <v>614.59</v>
      </c>
    </row>
    <row r="1574">
      <c r="A1574" s="1">
        <f>IFERROR(__xludf.DUMMYFUNCTION("""COMPUTED_VALUE"""),1000.0)</f>
        <v>1000</v>
      </c>
      <c r="B1574" s="1">
        <f>IFERROR(__xludf.DUMMYFUNCTION("""COMPUTED_VALUE"""),184587.0)</f>
        <v>184587</v>
      </c>
      <c r="C1574" s="1">
        <f>IFERROR(__xludf.DUMMYFUNCTION("""COMPUTED_VALUE"""),2026.0)</f>
        <v>2026</v>
      </c>
      <c r="D1574" s="1">
        <f>IFERROR(__xludf.DUMMYFUNCTION("""COMPUTED_VALUE"""),46056.0)</f>
        <v>46056</v>
      </c>
      <c r="E1574" s="1" t="str">
        <f>IFERROR(__xludf.DUMMYFUNCTION("""COMPUTED_VALUE"""),"VF")</f>
        <v>VF</v>
      </c>
      <c r="F1574" s="1">
        <f>IFERROR(__xludf.DUMMYFUNCTION("""COMPUTED_VALUE"""),1.0)</f>
        <v>1</v>
      </c>
      <c r="G1574" s="1" t="str">
        <f>IFERROR(__xludf.DUMMYFUNCTION("""COMPUTED_VALUE"""),"PR001")</f>
        <v>PR001</v>
      </c>
      <c r="H1574" s="1" t="str">
        <f>IFERROR(__xludf.DUMMYFUNCTION("""COMPUTED_VALUE"""),"VD020")</f>
        <v>VD020</v>
      </c>
      <c r="I1574" s="1">
        <f>IFERROR(__xludf.DUMMYFUNCTION("""COMPUTED_VALUE"""),12.0)</f>
        <v>12</v>
      </c>
      <c r="J1574" s="1">
        <f>IFERROR(__xludf.DUMMYFUNCTION("""COMPUTED_VALUE"""),806.62)</f>
        <v>806.62</v>
      </c>
      <c r="K1574" s="1">
        <f>IFERROR(__xludf.DUMMYFUNCTION("""COMPUTED_VALUE"""),806.62)</f>
        <v>806.62</v>
      </c>
    </row>
    <row r="1575">
      <c r="A1575" s="1">
        <f>IFERROR(__xludf.DUMMYFUNCTION("""COMPUTED_VALUE"""),1000.0)</f>
        <v>1000</v>
      </c>
      <c r="B1575" s="1">
        <f>IFERROR(__xludf.DUMMYFUNCTION("""COMPUTED_VALUE"""),184587.0)</f>
        <v>184587</v>
      </c>
      <c r="C1575" s="1">
        <f>IFERROR(__xludf.DUMMYFUNCTION("""COMPUTED_VALUE"""),2026.0)</f>
        <v>2026</v>
      </c>
      <c r="D1575" s="1">
        <f>IFERROR(__xludf.DUMMYFUNCTION("""COMPUTED_VALUE"""),46056.0)</f>
        <v>46056</v>
      </c>
      <c r="E1575" s="1" t="str">
        <f>IFERROR(__xludf.DUMMYFUNCTION("""COMPUTED_VALUE"""),"VF")</f>
        <v>VF</v>
      </c>
      <c r="F1575" s="1">
        <f>IFERROR(__xludf.DUMMYFUNCTION("""COMPUTED_VALUE"""),2.0)</f>
        <v>2</v>
      </c>
      <c r="G1575" s="1" t="str">
        <f>IFERROR(__xludf.DUMMYFUNCTION("""COMPUTED_VALUE"""),"PR022")</f>
        <v>PR022</v>
      </c>
      <c r="H1575" s="1" t="str">
        <f>IFERROR(__xludf.DUMMYFUNCTION("""COMPUTED_VALUE"""),"VD036")</f>
        <v>VD036</v>
      </c>
      <c r="I1575" s="1">
        <f>IFERROR(__xludf.DUMMYFUNCTION("""COMPUTED_VALUE"""),4.0)</f>
        <v>4</v>
      </c>
      <c r="J1575" s="1">
        <f>IFERROR(__xludf.DUMMYFUNCTION("""COMPUTED_VALUE"""),1212.0)</f>
        <v>1212</v>
      </c>
      <c r="K1575" s="1">
        <f>IFERROR(__xludf.DUMMYFUNCTION("""COMPUTED_VALUE"""),1212.0)</f>
        <v>1212</v>
      </c>
    </row>
    <row r="1576">
      <c r="A1576" s="1">
        <f>IFERROR(__xludf.DUMMYFUNCTION("""COMPUTED_VALUE"""),1000.0)</f>
        <v>1000</v>
      </c>
      <c r="B1576" s="1">
        <f>IFERROR(__xludf.DUMMYFUNCTION("""COMPUTED_VALUE"""),184588.0)</f>
        <v>184588</v>
      </c>
      <c r="C1576" s="1">
        <f>IFERROR(__xludf.DUMMYFUNCTION("""COMPUTED_VALUE"""),2026.0)</f>
        <v>2026</v>
      </c>
      <c r="D1576" s="1">
        <f>IFERROR(__xludf.DUMMYFUNCTION("""COMPUTED_VALUE"""),46056.0)</f>
        <v>46056</v>
      </c>
      <c r="E1576" s="1" t="str">
        <f>IFERROR(__xludf.DUMMYFUNCTION("""COMPUTED_VALUE"""),"VF")</f>
        <v>VF</v>
      </c>
      <c r="F1576" s="1">
        <f>IFERROR(__xludf.DUMMYFUNCTION("""COMPUTED_VALUE"""),1.0)</f>
        <v>1</v>
      </c>
      <c r="G1576" s="1" t="str">
        <f>IFERROR(__xludf.DUMMYFUNCTION("""COMPUTED_VALUE"""),"PR012")</f>
        <v>PR012</v>
      </c>
      <c r="H1576" s="1" t="str">
        <f>IFERROR(__xludf.DUMMYFUNCTION("""COMPUTED_VALUE"""),"VD036")</f>
        <v>VD036</v>
      </c>
      <c r="I1576" s="1">
        <f>IFERROR(__xludf.DUMMYFUNCTION("""COMPUTED_VALUE"""),20.0)</f>
        <v>20</v>
      </c>
      <c r="J1576" s="1">
        <f>IFERROR(__xludf.DUMMYFUNCTION("""COMPUTED_VALUE"""),987.78)</f>
        <v>987.78</v>
      </c>
      <c r="K1576" s="1">
        <f>IFERROR(__xludf.DUMMYFUNCTION("""COMPUTED_VALUE"""),987.78)</f>
        <v>987.78</v>
      </c>
    </row>
    <row r="1577">
      <c r="A1577" s="1">
        <f>IFERROR(__xludf.DUMMYFUNCTION("""COMPUTED_VALUE"""),1000.0)</f>
        <v>1000</v>
      </c>
      <c r="B1577" s="1">
        <f>IFERROR(__xludf.DUMMYFUNCTION("""COMPUTED_VALUE"""),184589.0)</f>
        <v>184589</v>
      </c>
      <c r="C1577" s="1">
        <f>IFERROR(__xludf.DUMMYFUNCTION("""COMPUTED_VALUE"""),2026.0)</f>
        <v>2026</v>
      </c>
      <c r="D1577" s="1">
        <f>IFERROR(__xludf.DUMMYFUNCTION("""COMPUTED_VALUE"""),46056.0)</f>
        <v>46056</v>
      </c>
      <c r="E1577" s="1" t="str">
        <f>IFERROR(__xludf.DUMMYFUNCTION("""COMPUTED_VALUE"""),"VF")</f>
        <v>VF</v>
      </c>
      <c r="F1577" s="1">
        <f>IFERROR(__xludf.DUMMYFUNCTION("""COMPUTED_VALUE"""),1.0)</f>
        <v>1</v>
      </c>
      <c r="G1577" s="1" t="str">
        <f>IFERROR(__xludf.DUMMYFUNCTION("""COMPUTED_VALUE"""),"PR031")</f>
        <v>PR031</v>
      </c>
      <c r="H1577" s="1" t="str">
        <f>IFERROR(__xludf.DUMMYFUNCTION("""COMPUTED_VALUE"""),"VD044")</f>
        <v>VD044</v>
      </c>
      <c r="I1577" s="1">
        <f>IFERROR(__xludf.DUMMYFUNCTION("""COMPUTED_VALUE"""),4.0)</f>
        <v>4</v>
      </c>
      <c r="J1577" s="1">
        <f>IFERROR(__xludf.DUMMYFUNCTION("""COMPUTED_VALUE"""),1038.8)</f>
        <v>1038.8</v>
      </c>
      <c r="K1577" s="1">
        <f>IFERROR(__xludf.DUMMYFUNCTION("""COMPUTED_VALUE"""),1038.8)</f>
        <v>1038.8</v>
      </c>
    </row>
    <row r="1578">
      <c r="A1578" s="1">
        <f>IFERROR(__xludf.DUMMYFUNCTION("""COMPUTED_VALUE"""),1000.0)</f>
        <v>1000</v>
      </c>
      <c r="B1578" s="1">
        <f>IFERROR(__xludf.DUMMYFUNCTION("""COMPUTED_VALUE"""),184590.0)</f>
        <v>184590</v>
      </c>
      <c r="C1578" s="1">
        <f>IFERROR(__xludf.DUMMYFUNCTION("""COMPUTED_VALUE"""),2026.0)</f>
        <v>2026</v>
      </c>
      <c r="D1578" s="1">
        <f>IFERROR(__xludf.DUMMYFUNCTION("""COMPUTED_VALUE"""),46056.0)</f>
        <v>46056</v>
      </c>
      <c r="E1578" s="1" t="str">
        <f>IFERROR(__xludf.DUMMYFUNCTION("""COMPUTED_VALUE"""),"VF")</f>
        <v>VF</v>
      </c>
      <c r="F1578" s="1">
        <f>IFERROR(__xludf.DUMMYFUNCTION("""COMPUTED_VALUE"""),1.0)</f>
        <v>1</v>
      </c>
      <c r="G1578" s="1" t="str">
        <f>IFERROR(__xludf.DUMMYFUNCTION("""COMPUTED_VALUE"""),"PR052")</f>
        <v>PR052</v>
      </c>
      <c r="H1578" s="1" t="str">
        <f>IFERROR(__xludf.DUMMYFUNCTION("""COMPUTED_VALUE"""),"VD044")</f>
        <v>VD044</v>
      </c>
      <c r="I1578" s="1">
        <f>IFERROR(__xludf.DUMMYFUNCTION("""COMPUTED_VALUE"""),16.0)</f>
        <v>16</v>
      </c>
      <c r="J1578" s="1">
        <f>IFERROR(__xludf.DUMMYFUNCTION("""COMPUTED_VALUE"""),814.37)</f>
        <v>814.37</v>
      </c>
      <c r="K1578" s="1">
        <f>IFERROR(__xludf.DUMMYFUNCTION("""COMPUTED_VALUE"""),814.37)</f>
        <v>814.37</v>
      </c>
    </row>
    <row r="1579">
      <c r="A1579" s="1">
        <f>IFERROR(__xludf.DUMMYFUNCTION("""COMPUTED_VALUE"""),1000.0)</f>
        <v>1000</v>
      </c>
      <c r="B1579" s="1">
        <f>IFERROR(__xludf.DUMMYFUNCTION("""COMPUTED_VALUE"""),184591.0)</f>
        <v>184591</v>
      </c>
      <c r="C1579" s="1">
        <f>IFERROR(__xludf.DUMMYFUNCTION("""COMPUTED_VALUE"""),2026.0)</f>
        <v>2026</v>
      </c>
      <c r="D1579" s="1">
        <f>IFERROR(__xludf.DUMMYFUNCTION("""COMPUTED_VALUE"""),46056.0)</f>
        <v>46056</v>
      </c>
      <c r="E1579" s="1" t="str">
        <f>IFERROR(__xludf.DUMMYFUNCTION("""COMPUTED_VALUE"""),"VF")</f>
        <v>VF</v>
      </c>
      <c r="F1579" s="1">
        <f>IFERROR(__xludf.DUMMYFUNCTION("""COMPUTED_VALUE"""),1.0)</f>
        <v>1</v>
      </c>
      <c r="G1579" s="1" t="str">
        <f>IFERROR(__xludf.DUMMYFUNCTION("""COMPUTED_VALUE"""),"PR005")</f>
        <v>PR005</v>
      </c>
      <c r="H1579" s="1" t="str">
        <f>IFERROR(__xludf.DUMMYFUNCTION("""COMPUTED_VALUE"""),"VD027")</f>
        <v>VD027</v>
      </c>
      <c r="I1579" s="1">
        <f>IFERROR(__xludf.DUMMYFUNCTION("""COMPUTED_VALUE"""),3.0)</f>
        <v>3</v>
      </c>
      <c r="J1579" s="1">
        <f>IFERROR(__xludf.DUMMYFUNCTION("""COMPUTED_VALUE"""),810.89)</f>
        <v>810.89</v>
      </c>
      <c r="K1579" s="1">
        <f>IFERROR(__xludf.DUMMYFUNCTION("""COMPUTED_VALUE"""),810.89)</f>
        <v>810.89</v>
      </c>
    </row>
    <row r="1580">
      <c r="A1580" s="1">
        <f>IFERROR(__xludf.DUMMYFUNCTION("""COMPUTED_VALUE"""),2000.0)</f>
        <v>2000</v>
      </c>
      <c r="B1580" s="1">
        <f>IFERROR(__xludf.DUMMYFUNCTION("""COMPUTED_VALUE"""),184592.0)</f>
        <v>184592</v>
      </c>
      <c r="C1580" s="1">
        <f>IFERROR(__xludf.DUMMYFUNCTION("""COMPUTED_VALUE"""),2026.0)</f>
        <v>2026</v>
      </c>
      <c r="D1580" s="1">
        <f>IFERROR(__xludf.DUMMYFUNCTION("""COMPUTED_VALUE"""),46056.0)</f>
        <v>46056</v>
      </c>
      <c r="E1580" s="1" t="str">
        <f>IFERROR(__xludf.DUMMYFUNCTION("""COMPUTED_VALUE"""),"VF")</f>
        <v>VF</v>
      </c>
      <c r="F1580" s="1">
        <f>IFERROR(__xludf.DUMMYFUNCTION("""COMPUTED_VALUE"""),1.0)</f>
        <v>1</v>
      </c>
      <c r="G1580" s="1" t="str">
        <f>IFERROR(__xludf.DUMMYFUNCTION("""COMPUTED_VALUE"""),"PR037")</f>
        <v>PR037</v>
      </c>
      <c r="H1580" s="1" t="str">
        <f>IFERROR(__xludf.DUMMYFUNCTION("""COMPUTED_VALUE"""),"VD045")</f>
        <v>VD045</v>
      </c>
      <c r="I1580" s="1">
        <f>IFERROR(__xludf.DUMMYFUNCTION("""COMPUTED_VALUE"""),9.0)</f>
        <v>9</v>
      </c>
      <c r="J1580" s="1">
        <f>IFERROR(__xludf.DUMMYFUNCTION("""COMPUTED_VALUE"""),1386.0)</f>
        <v>1386</v>
      </c>
      <c r="K1580" s="1">
        <f>IFERROR(__xludf.DUMMYFUNCTION("""COMPUTED_VALUE"""),1386.0)</f>
        <v>1386</v>
      </c>
    </row>
    <row r="1581">
      <c r="A1581" s="1">
        <f>IFERROR(__xludf.DUMMYFUNCTION("""COMPUTED_VALUE"""),1000.0)</f>
        <v>1000</v>
      </c>
      <c r="B1581" s="1">
        <f>IFERROR(__xludf.DUMMYFUNCTION("""COMPUTED_VALUE"""),184592.0)</f>
        <v>184592</v>
      </c>
      <c r="C1581" s="1">
        <f>IFERROR(__xludf.DUMMYFUNCTION("""COMPUTED_VALUE"""),2026.0)</f>
        <v>2026</v>
      </c>
      <c r="D1581" s="1">
        <f>IFERROR(__xludf.DUMMYFUNCTION("""COMPUTED_VALUE"""),46055.0)</f>
        <v>46055</v>
      </c>
      <c r="E1581" s="1" t="str">
        <f>IFERROR(__xludf.DUMMYFUNCTION("""COMPUTED_VALUE"""),"VF")</f>
        <v>VF</v>
      </c>
      <c r="F1581" s="1">
        <f>IFERROR(__xludf.DUMMYFUNCTION("""COMPUTED_VALUE"""),2.0)</f>
        <v>2</v>
      </c>
      <c r="G1581" s="1" t="str">
        <f>IFERROR(__xludf.DUMMYFUNCTION("""COMPUTED_VALUE"""),"PR014")</f>
        <v>PR014</v>
      </c>
      <c r="H1581" s="1" t="str">
        <f>IFERROR(__xludf.DUMMYFUNCTION("""COMPUTED_VALUE"""),"VD036")</f>
        <v>VD036</v>
      </c>
      <c r="I1581" s="1">
        <f>IFERROR(__xludf.DUMMYFUNCTION("""COMPUTED_VALUE"""),10.0)</f>
        <v>10</v>
      </c>
      <c r="J1581" s="1">
        <f>IFERROR(__xludf.DUMMYFUNCTION("""COMPUTED_VALUE"""),414.96)</f>
        <v>414.96</v>
      </c>
      <c r="K1581" s="1">
        <f>IFERROR(__xludf.DUMMYFUNCTION("""COMPUTED_VALUE"""),414.96)</f>
        <v>414.96</v>
      </c>
    </row>
    <row r="1582">
      <c r="A1582" s="1">
        <f>IFERROR(__xludf.DUMMYFUNCTION("""COMPUTED_VALUE"""),1000.0)</f>
        <v>1000</v>
      </c>
      <c r="B1582" s="1">
        <f>IFERROR(__xludf.DUMMYFUNCTION("""COMPUTED_VALUE"""),184593.0)</f>
        <v>184593</v>
      </c>
      <c r="C1582" s="1">
        <f>IFERROR(__xludf.DUMMYFUNCTION("""COMPUTED_VALUE"""),2026.0)</f>
        <v>2026</v>
      </c>
      <c r="D1582" s="1">
        <f>IFERROR(__xludf.DUMMYFUNCTION("""COMPUTED_VALUE"""),46055.0)</f>
        <v>46055</v>
      </c>
      <c r="E1582" s="1" t="str">
        <f>IFERROR(__xludf.DUMMYFUNCTION("""COMPUTED_VALUE"""),"VF")</f>
        <v>VF</v>
      </c>
      <c r="F1582" s="1">
        <f>IFERROR(__xludf.DUMMYFUNCTION("""COMPUTED_VALUE"""),1.0)</f>
        <v>1</v>
      </c>
      <c r="G1582" s="1" t="str">
        <f>IFERROR(__xludf.DUMMYFUNCTION("""COMPUTED_VALUE"""),"PR013")</f>
        <v>PR013</v>
      </c>
      <c r="H1582" s="1" t="str">
        <f>IFERROR(__xludf.DUMMYFUNCTION("""COMPUTED_VALUE"""),"VD036")</f>
        <v>VD036</v>
      </c>
      <c r="I1582" s="1">
        <f>IFERROR(__xludf.DUMMYFUNCTION("""COMPUTED_VALUE"""),16.0)</f>
        <v>16</v>
      </c>
      <c r="J1582" s="1">
        <f>IFERROR(__xludf.DUMMYFUNCTION("""COMPUTED_VALUE"""),670.32)</f>
        <v>670.32</v>
      </c>
      <c r="K1582" s="1">
        <f>IFERROR(__xludf.DUMMYFUNCTION("""COMPUTED_VALUE"""),670.32)</f>
        <v>670.32</v>
      </c>
    </row>
    <row r="1583">
      <c r="A1583" s="1">
        <f>IFERROR(__xludf.DUMMYFUNCTION("""COMPUTED_VALUE"""),2000.0)</f>
        <v>2000</v>
      </c>
      <c r="B1583" s="1">
        <f>IFERROR(__xludf.DUMMYFUNCTION("""COMPUTED_VALUE"""),184593.0)</f>
        <v>184593</v>
      </c>
      <c r="C1583" s="1">
        <f>IFERROR(__xludf.DUMMYFUNCTION("""COMPUTED_VALUE"""),2026.0)</f>
        <v>2026</v>
      </c>
      <c r="D1583" s="1">
        <f>IFERROR(__xludf.DUMMYFUNCTION("""COMPUTED_VALUE"""),46055.0)</f>
        <v>46055</v>
      </c>
      <c r="E1583" s="1" t="str">
        <f>IFERROR(__xludf.DUMMYFUNCTION("""COMPUTED_VALUE"""),"VF")</f>
        <v>VF</v>
      </c>
      <c r="F1583" s="1">
        <f>IFERROR(__xludf.DUMMYFUNCTION("""COMPUTED_VALUE"""),2.0)</f>
        <v>2</v>
      </c>
      <c r="G1583" s="1" t="str">
        <f>IFERROR(__xludf.DUMMYFUNCTION("""COMPUTED_VALUE"""),"PR001")</f>
        <v>PR001</v>
      </c>
      <c r="H1583" s="1" t="str">
        <f>IFERROR(__xludf.DUMMYFUNCTION("""COMPUTED_VALUE"""),"VD030")</f>
        <v>VD030</v>
      </c>
      <c r="I1583" s="1">
        <f>IFERROR(__xludf.DUMMYFUNCTION("""COMPUTED_VALUE"""),20.0)</f>
        <v>20</v>
      </c>
      <c r="J1583" s="1">
        <f>IFERROR(__xludf.DUMMYFUNCTION("""COMPUTED_VALUE"""),1423.44)</f>
        <v>1423.44</v>
      </c>
      <c r="K1583" s="1">
        <f>IFERROR(__xludf.DUMMYFUNCTION("""COMPUTED_VALUE"""),1423.44)</f>
        <v>1423.44</v>
      </c>
    </row>
    <row r="1584">
      <c r="A1584" s="1">
        <f>IFERROR(__xludf.DUMMYFUNCTION("""COMPUTED_VALUE"""),1000.0)</f>
        <v>1000</v>
      </c>
      <c r="B1584" s="1">
        <f>IFERROR(__xludf.DUMMYFUNCTION("""COMPUTED_VALUE"""),184594.0)</f>
        <v>184594</v>
      </c>
      <c r="C1584" s="1">
        <f>IFERROR(__xludf.DUMMYFUNCTION("""COMPUTED_VALUE"""),2026.0)</f>
        <v>2026</v>
      </c>
      <c r="D1584" s="1">
        <f>IFERROR(__xludf.DUMMYFUNCTION("""COMPUTED_VALUE"""),46055.0)</f>
        <v>46055</v>
      </c>
      <c r="E1584" s="1" t="str">
        <f>IFERROR(__xludf.DUMMYFUNCTION("""COMPUTED_VALUE"""),"VF")</f>
        <v>VF</v>
      </c>
      <c r="F1584" s="1">
        <f>IFERROR(__xludf.DUMMYFUNCTION("""COMPUTED_VALUE"""),1.0)</f>
        <v>1</v>
      </c>
      <c r="G1584" s="1" t="str">
        <f>IFERROR(__xludf.DUMMYFUNCTION("""COMPUTED_VALUE"""),"PR029")</f>
        <v>PR029</v>
      </c>
      <c r="H1584" s="1" t="str">
        <f>IFERROR(__xludf.DUMMYFUNCTION("""COMPUTED_VALUE"""),"VD024")</f>
        <v>VD024</v>
      </c>
      <c r="I1584" s="1">
        <f>IFERROR(__xludf.DUMMYFUNCTION("""COMPUTED_VALUE"""),4.0)</f>
        <v>4</v>
      </c>
      <c r="J1584" s="1">
        <f>IFERROR(__xludf.DUMMYFUNCTION("""COMPUTED_VALUE"""),1060.8)</f>
        <v>1060.8</v>
      </c>
      <c r="K1584" s="1">
        <f>IFERROR(__xludf.DUMMYFUNCTION("""COMPUTED_VALUE"""),1060.8)</f>
        <v>1060.8</v>
      </c>
    </row>
    <row r="1585">
      <c r="A1585" s="1">
        <f>IFERROR(__xludf.DUMMYFUNCTION("""COMPUTED_VALUE"""),1000.0)</f>
        <v>1000</v>
      </c>
      <c r="B1585" s="1">
        <f>IFERROR(__xludf.DUMMYFUNCTION("""COMPUTED_VALUE"""),184595.0)</f>
        <v>184595</v>
      </c>
      <c r="C1585" s="1">
        <f>IFERROR(__xludf.DUMMYFUNCTION("""COMPUTED_VALUE"""),2026.0)</f>
        <v>2026</v>
      </c>
      <c r="D1585" s="1">
        <f>IFERROR(__xludf.DUMMYFUNCTION("""COMPUTED_VALUE"""),46054.0)</f>
        <v>46054</v>
      </c>
      <c r="E1585" s="1" t="str">
        <f>IFERROR(__xludf.DUMMYFUNCTION("""COMPUTED_VALUE"""),"VF")</f>
        <v>VF</v>
      </c>
      <c r="F1585" s="1">
        <f>IFERROR(__xludf.DUMMYFUNCTION("""COMPUTED_VALUE"""),1.0)</f>
        <v>1</v>
      </c>
      <c r="G1585" s="1" t="str">
        <f>IFERROR(__xludf.DUMMYFUNCTION("""COMPUTED_VALUE"""),"PR008")</f>
        <v>PR008</v>
      </c>
      <c r="H1585" s="1" t="str">
        <f>IFERROR(__xludf.DUMMYFUNCTION("""COMPUTED_VALUE"""),"VD014")</f>
        <v>VD014</v>
      </c>
      <c r="I1585" s="1">
        <f>IFERROR(__xludf.DUMMYFUNCTION("""COMPUTED_VALUE"""),10.0)</f>
        <v>10</v>
      </c>
      <c r="J1585" s="1">
        <f>IFERROR(__xludf.DUMMYFUNCTION("""COMPUTED_VALUE"""),899.0)</f>
        <v>899</v>
      </c>
      <c r="K1585" s="1">
        <f>IFERROR(__xludf.DUMMYFUNCTION("""COMPUTED_VALUE"""),899.0)</f>
        <v>899</v>
      </c>
    </row>
    <row r="1586">
      <c r="A1586" s="1">
        <f>IFERROR(__xludf.DUMMYFUNCTION("""COMPUTED_VALUE"""),1000.0)</f>
        <v>1000</v>
      </c>
      <c r="B1586" s="1">
        <f>IFERROR(__xludf.DUMMYFUNCTION("""COMPUTED_VALUE"""),184596.0)</f>
        <v>184596</v>
      </c>
      <c r="C1586" s="1">
        <f>IFERROR(__xludf.DUMMYFUNCTION("""COMPUTED_VALUE"""),2026.0)</f>
        <v>2026</v>
      </c>
      <c r="D1586" s="1">
        <f>IFERROR(__xludf.DUMMYFUNCTION("""COMPUTED_VALUE"""),46054.0)</f>
        <v>46054</v>
      </c>
      <c r="E1586" s="1" t="str">
        <f>IFERROR(__xludf.DUMMYFUNCTION("""COMPUTED_VALUE"""),"VF")</f>
        <v>VF</v>
      </c>
      <c r="F1586" s="1">
        <f>IFERROR(__xludf.DUMMYFUNCTION("""COMPUTED_VALUE"""),1.0)</f>
        <v>1</v>
      </c>
      <c r="G1586" s="1" t="str">
        <f>IFERROR(__xludf.DUMMYFUNCTION("""COMPUTED_VALUE"""),"PR004")</f>
        <v>PR004</v>
      </c>
      <c r="H1586" s="1" t="str">
        <f>IFERROR(__xludf.DUMMYFUNCTION("""COMPUTED_VALUE"""),"VD042")</f>
        <v>VD042</v>
      </c>
      <c r="I1586" s="1">
        <f>IFERROR(__xludf.DUMMYFUNCTION("""COMPUTED_VALUE"""),2.0)</f>
        <v>2</v>
      </c>
      <c r="J1586" s="1">
        <f>IFERROR(__xludf.DUMMYFUNCTION("""COMPUTED_VALUE"""),301.6)</f>
        <v>301.6</v>
      </c>
      <c r="K1586" s="1">
        <f>IFERROR(__xludf.DUMMYFUNCTION("""COMPUTED_VALUE"""),301.6)</f>
        <v>301.6</v>
      </c>
    </row>
    <row r="1587">
      <c r="A1587" s="1">
        <f>IFERROR(__xludf.DUMMYFUNCTION("""COMPUTED_VALUE"""),1000.0)</f>
        <v>1000</v>
      </c>
      <c r="B1587" s="1">
        <f>IFERROR(__xludf.DUMMYFUNCTION("""COMPUTED_VALUE"""),184596.0)</f>
        <v>184596</v>
      </c>
      <c r="C1587" s="1">
        <f>IFERROR(__xludf.DUMMYFUNCTION("""COMPUTED_VALUE"""),2026.0)</f>
        <v>2026</v>
      </c>
      <c r="D1587" s="1">
        <f>IFERROR(__xludf.DUMMYFUNCTION("""COMPUTED_VALUE"""),46054.0)</f>
        <v>46054</v>
      </c>
      <c r="E1587" s="1" t="str">
        <f>IFERROR(__xludf.DUMMYFUNCTION("""COMPUTED_VALUE"""),"VF")</f>
        <v>VF</v>
      </c>
      <c r="F1587" s="1">
        <f>IFERROR(__xludf.DUMMYFUNCTION("""COMPUTED_VALUE"""),2.0)</f>
        <v>2</v>
      </c>
      <c r="G1587" s="1" t="str">
        <f>IFERROR(__xludf.DUMMYFUNCTION("""COMPUTED_VALUE"""),"PR007")</f>
        <v>PR007</v>
      </c>
      <c r="H1587" s="1" t="str">
        <f>IFERROR(__xludf.DUMMYFUNCTION("""COMPUTED_VALUE"""),"VD045")</f>
        <v>VD045</v>
      </c>
      <c r="I1587" s="1">
        <f>IFERROR(__xludf.DUMMYFUNCTION("""COMPUTED_VALUE"""),14.0)</f>
        <v>14</v>
      </c>
      <c r="J1587" s="1">
        <f>IFERROR(__xludf.DUMMYFUNCTION("""COMPUTED_VALUE"""),1226.65)</f>
        <v>1226.65</v>
      </c>
      <c r="K1587" s="1">
        <f>IFERROR(__xludf.DUMMYFUNCTION("""COMPUTED_VALUE"""),1226.65)</f>
        <v>1226.65</v>
      </c>
    </row>
    <row r="1588">
      <c r="A1588" s="1">
        <f>IFERROR(__xludf.DUMMYFUNCTION("""COMPUTED_VALUE"""),1000.0)</f>
        <v>1000</v>
      </c>
      <c r="B1588" s="1">
        <f>IFERROR(__xludf.DUMMYFUNCTION("""COMPUTED_VALUE"""),184597.0)</f>
        <v>184597</v>
      </c>
      <c r="C1588" s="1">
        <f>IFERROR(__xludf.DUMMYFUNCTION("""COMPUTED_VALUE"""),2026.0)</f>
        <v>2026</v>
      </c>
      <c r="D1588" s="1">
        <f>IFERROR(__xludf.DUMMYFUNCTION("""COMPUTED_VALUE"""),46054.0)</f>
        <v>46054</v>
      </c>
      <c r="E1588" s="1" t="str">
        <f>IFERROR(__xludf.DUMMYFUNCTION("""COMPUTED_VALUE"""),"VF")</f>
        <v>VF</v>
      </c>
      <c r="F1588" s="1">
        <f>IFERROR(__xludf.DUMMYFUNCTION("""COMPUTED_VALUE"""),1.0)</f>
        <v>1</v>
      </c>
      <c r="G1588" s="1" t="str">
        <f>IFERROR(__xludf.DUMMYFUNCTION("""COMPUTED_VALUE"""),"PR060")</f>
        <v>PR060</v>
      </c>
      <c r="H1588" s="1" t="str">
        <f>IFERROR(__xludf.DUMMYFUNCTION("""COMPUTED_VALUE"""),"VD011")</f>
        <v>VD011</v>
      </c>
      <c r="I1588" s="1">
        <f>IFERROR(__xludf.DUMMYFUNCTION("""COMPUTED_VALUE"""),10.0)</f>
        <v>10</v>
      </c>
      <c r="J1588" s="1">
        <f>IFERROR(__xludf.DUMMYFUNCTION("""COMPUTED_VALUE"""),1926.0)</f>
        <v>1926</v>
      </c>
      <c r="K1588" s="1">
        <f>IFERROR(__xludf.DUMMYFUNCTION("""COMPUTED_VALUE"""),1926.0)</f>
        <v>1926</v>
      </c>
    </row>
    <row r="1589">
      <c r="A1589" s="1">
        <f>IFERROR(__xludf.DUMMYFUNCTION("""COMPUTED_VALUE"""),1000.0)</f>
        <v>1000</v>
      </c>
      <c r="B1589" s="1">
        <f>IFERROR(__xludf.DUMMYFUNCTION("""COMPUTED_VALUE"""),184598.0)</f>
        <v>184598</v>
      </c>
      <c r="C1589" s="1">
        <f>IFERROR(__xludf.DUMMYFUNCTION("""COMPUTED_VALUE"""),2026.0)</f>
        <v>2026</v>
      </c>
      <c r="D1589" s="1">
        <f>IFERROR(__xludf.DUMMYFUNCTION("""COMPUTED_VALUE"""),46054.0)</f>
        <v>46054</v>
      </c>
      <c r="E1589" s="1" t="str">
        <f>IFERROR(__xludf.DUMMYFUNCTION("""COMPUTED_VALUE"""),"VF")</f>
        <v>VF</v>
      </c>
      <c r="F1589" s="1">
        <f>IFERROR(__xludf.DUMMYFUNCTION("""COMPUTED_VALUE"""),1.0)</f>
        <v>1</v>
      </c>
      <c r="G1589" s="1" t="str">
        <f>IFERROR(__xludf.DUMMYFUNCTION("""COMPUTED_VALUE"""),"PR057")</f>
        <v>PR057</v>
      </c>
      <c r="H1589" s="1" t="str">
        <f>IFERROR(__xludf.DUMMYFUNCTION("""COMPUTED_VALUE"""),"VD036")</f>
        <v>VD036</v>
      </c>
      <c r="I1589" s="1">
        <f>IFERROR(__xludf.DUMMYFUNCTION("""COMPUTED_VALUE"""),10.0)</f>
        <v>10</v>
      </c>
      <c r="J1589" s="1">
        <f>IFERROR(__xludf.DUMMYFUNCTION("""COMPUTED_VALUE"""),979.91)</f>
        <v>979.91</v>
      </c>
      <c r="K1589" s="1">
        <f>IFERROR(__xludf.DUMMYFUNCTION("""COMPUTED_VALUE"""),979.91)</f>
        <v>979.91</v>
      </c>
    </row>
    <row r="1590">
      <c r="A1590" s="1">
        <f>IFERROR(__xludf.DUMMYFUNCTION("""COMPUTED_VALUE"""),1000.0)</f>
        <v>1000</v>
      </c>
      <c r="B1590" s="1">
        <f>IFERROR(__xludf.DUMMYFUNCTION("""COMPUTED_VALUE"""),184599.0)</f>
        <v>184599</v>
      </c>
      <c r="C1590" s="1">
        <f>IFERROR(__xludf.DUMMYFUNCTION("""COMPUTED_VALUE"""),2026.0)</f>
        <v>2026</v>
      </c>
      <c r="D1590" s="1">
        <f>IFERROR(__xludf.DUMMYFUNCTION("""COMPUTED_VALUE"""),46053.0)</f>
        <v>46053</v>
      </c>
      <c r="E1590" s="1" t="str">
        <f>IFERROR(__xludf.DUMMYFUNCTION("""COMPUTED_VALUE"""),"VF")</f>
        <v>VF</v>
      </c>
      <c r="F1590" s="1">
        <f>IFERROR(__xludf.DUMMYFUNCTION("""COMPUTED_VALUE"""),1.0)</f>
        <v>1</v>
      </c>
      <c r="G1590" s="1" t="str">
        <f>IFERROR(__xludf.DUMMYFUNCTION("""COMPUTED_VALUE"""),"PR036")</f>
        <v>PR036</v>
      </c>
      <c r="H1590" s="1" t="str">
        <f>IFERROR(__xludf.DUMMYFUNCTION("""COMPUTED_VALUE"""),"VD017")</f>
        <v>VD017</v>
      </c>
      <c r="I1590" s="1">
        <f>IFERROR(__xludf.DUMMYFUNCTION("""COMPUTED_VALUE"""),10.0)</f>
        <v>10</v>
      </c>
      <c r="J1590" s="1">
        <f>IFERROR(__xludf.DUMMYFUNCTION("""COMPUTED_VALUE"""),981.75)</f>
        <v>981.75</v>
      </c>
      <c r="K1590" s="1">
        <f>IFERROR(__xludf.DUMMYFUNCTION("""COMPUTED_VALUE"""),981.75)</f>
        <v>981.75</v>
      </c>
    </row>
    <row r="1591">
      <c r="A1591" s="1">
        <f>IFERROR(__xludf.DUMMYFUNCTION("""COMPUTED_VALUE"""),1000.0)</f>
        <v>1000</v>
      </c>
      <c r="B1591" s="1">
        <f>IFERROR(__xludf.DUMMYFUNCTION("""COMPUTED_VALUE"""),184599.0)</f>
        <v>184599</v>
      </c>
      <c r="C1591" s="1">
        <f>IFERROR(__xludf.DUMMYFUNCTION("""COMPUTED_VALUE"""),2026.0)</f>
        <v>2026</v>
      </c>
      <c r="D1591" s="1">
        <f>IFERROR(__xludf.DUMMYFUNCTION("""COMPUTED_VALUE"""),46053.0)</f>
        <v>46053</v>
      </c>
      <c r="E1591" s="1" t="str">
        <f>IFERROR(__xludf.DUMMYFUNCTION("""COMPUTED_VALUE"""),"VF")</f>
        <v>VF</v>
      </c>
      <c r="F1591" s="1">
        <f>IFERROR(__xludf.DUMMYFUNCTION("""COMPUTED_VALUE"""),2.0)</f>
        <v>2</v>
      </c>
      <c r="G1591" s="1" t="str">
        <f>IFERROR(__xludf.DUMMYFUNCTION("""COMPUTED_VALUE"""),"PR045")</f>
        <v>PR045</v>
      </c>
      <c r="H1591" s="1" t="str">
        <f>IFERROR(__xludf.DUMMYFUNCTION("""COMPUTED_VALUE"""),"VD019")</f>
        <v>VD019</v>
      </c>
      <c r="I1591" s="1">
        <f>IFERROR(__xludf.DUMMYFUNCTION("""COMPUTED_VALUE"""),4.0)</f>
        <v>4</v>
      </c>
      <c r="J1591" s="1">
        <f>IFERROR(__xludf.DUMMYFUNCTION("""COMPUTED_VALUE"""),292.9)</f>
        <v>292.9</v>
      </c>
      <c r="K1591" s="1">
        <f>IFERROR(__xludf.DUMMYFUNCTION("""COMPUTED_VALUE"""),292.9)</f>
        <v>292.9</v>
      </c>
    </row>
    <row r="1592">
      <c r="A1592" s="1">
        <f>IFERROR(__xludf.DUMMYFUNCTION("""COMPUTED_VALUE"""),1000.0)</f>
        <v>1000</v>
      </c>
      <c r="B1592" s="1">
        <f>IFERROR(__xludf.DUMMYFUNCTION("""COMPUTED_VALUE"""),184600.0)</f>
        <v>184600</v>
      </c>
      <c r="C1592" s="1">
        <f>IFERROR(__xludf.DUMMYFUNCTION("""COMPUTED_VALUE"""),2026.0)</f>
        <v>2026</v>
      </c>
      <c r="D1592" s="1">
        <f>IFERROR(__xludf.DUMMYFUNCTION("""COMPUTED_VALUE"""),46053.0)</f>
        <v>46053</v>
      </c>
      <c r="E1592" s="1" t="str">
        <f>IFERROR(__xludf.DUMMYFUNCTION("""COMPUTED_VALUE"""),"VF")</f>
        <v>VF</v>
      </c>
      <c r="F1592" s="1">
        <f>IFERROR(__xludf.DUMMYFUNCTION("""COMPUTED_VALUE"""),1.0)</f>
        <v>1</v>
      </c>
      <c r="G1592" s="1" t="str">
        <f>IFERROR(__xludf.DUMMYFUNCTION("""COMPUTED_VALUE"""),"PR058")</f>
        <v>PR058</v>
      </c>
      <c r="H1592" s="1" t="str">
        <f>IFERROR(__xludf.DUMMYFUNCTION("""COMPUTED_VALUE"""),"VD029")</f>
        <v>VD029</v>
      </c>
      <c r="I1592" s="1">
        <f>IFERROR(__xludf.DUMMYFUNCTION("""COMPUTED_VALUE"""),18.0)</f>
        <v>18</v>
      </c>
      <c r="J1592" s="1">
        <f>IFERROR(__xludf.DUMMYFUNCTION("""COMPUTED_VALUE"""),3434.4)</f>
        <v>3434.4</v>
      </c>
      <c r="K1592" s="1">
        <f>IFERROR(__xludf.DUMMYFUNCTION("""COMPUTED_VALUE"""),3434.4)</f>
        <v>3434.4</v>
      </c>
    </row>
    <row r="1593">
      <c r="A1593" s="1">
        <f>IFERROR(__xludf.DUMMYFUNCTION("""COMPUTED_VALUE"""),1000.0)</f>
        <v>1000</v>
      </c>
      <c r="B1593" s="1">
        <f>IFERROR(__xludf.DUMMYFUNCTION("""COMPUTED_VALUE"""),184600.0)</f>
        <v>184600</v>
      </c>
      <c r="C1593" s="1">
        <f>IFERROR(__xludf.DUMMYFUNCTION("""COMPUTED_VALUE"""),2026.0)</f>
        <v>2026</v>
      </c>
      <c r="D1593" s="1">
        <f>IFERROR(__xludf.DUMMYFUNCTION("""COMPUTED_VALUE"""),46053.0)</f>
        <v>46053</v>
      </c>
      <c r="E1593" s="1" t="str">
        <f>IFERROR(__xludf.DUMMYFUNCTION("""COMPUTED_VALUE"""),"VF")</f>
        <v>VF</v>
      </c>
      <c r="F1593" s="1">
        <f>IFERROR(__xludf.DUMMYFUNCTION("""COMPUTED_VALUE"""),2.0)</f>
        <v>2</v>
      </c>
      <c r="G1593" s="1" t="str">
        <f>IFERROR(__xludf.DUMMYFUNCTION("""COMPUTED_VALUE"""),"PR010")</f>
        <v>PR010</v>
      </c>
      <c r="H1593" s="1" t="str">
        <f>IFERROR(__xludf.DUMMYFUNCTION("""COMPUTED_VALUE"""),"VD046")</f>
        <v>VD046</v>
      </c>
      <c r="I1593" s="1">
        <f>IFERROR(__xludf.DUMMYFUNCTION("""COMPUTED_VALUE"""),14.0)</f>
        <v>14</v>
      </c>
      <c r="J1593" s="1">
        <f>IFERROR(__xludf.DUMMYFUNCTION("""COMPUTED_VALUE"""),666.32)</f>
        <v>666.32</v>
      </c>
      <c r="K1593" s="1">
        <f>IFERROR(__xludf.DUMMYFUNCTION("""COMPUTED_VALUE"""),666.32)</f>
        <v>666.32</v>
      </c>
    </row>
    <row r="1594">
      <c r="A1594" s="1">
        <f>IFERROR(__xludf.DUMMYFUNCTION("""COMPUTED_VALUE"""),1000.0)</f>
        <v>1000</v>
      </c>
      <c r="B1594" s="1">
        <f>IFERROR(__xludf.DUMMYFUNCTION("""COMPUTED_VALUE"""),184601.0)</f>
        <v>184601</v>
      </c>
      <c r="C1594" s="1">
        <f>IFERROR(__xludf.DUMMYFUNCTION("""COMPUTED_VALUE"""),2026.0)</f>
        <v>2026</v>
      </c>
      <c r="D1594" s="1">
        <f>IFERROR(__xludf.DUMMYFUNCTION("""COMPUTED_VALUE"""),46052.0)</f>
        <v>46052</v>
      </c>
      <c r="E1594" s="1" t="str">
        <f>IFERROR(__xludf.DUMMYFUNCTION("""COMPUTED_VALUE"""),"VF")</f>
        <v>VF</v>
      </c>
      <c r="F1594" s="1">
        <f>IFERROR(__xludf.DUMMYFUNCTION("""COMPUTED_VALUE"""),1.0)</f>
        <v>1</v>
      </c>
      <c r="G1594" s="1" t="str">
        <f>IFERROR(__xludf.DUMMYFUNCTION("""COMPUTED_VALUE"""),"PR036")</f>
        <v>PR036</v>
      </c>
      <c r="H1594" s="1" t="str">
        <f>IFERROR(__xludf.DUMMYFUNCTION("""COMPUTED_VALUE"""),"VD017")</f>
        <v>VD017</v>
      </c>
      <c r="I1594" s="1">
        <f>IFERROR(__xludf.DUMMYFUNCTION("""COMPUTED_VALUE"""),5.0)</f>
        <v>5</v>
      </c>
      <c r="J1594" s="1">
        <f>IFERROR(__xludf.DUMMYFUNCTION("""COMPUTED_VALUE"""),486.2)</f>
        <v>486.2</v>
      </c>
      <c r="K1594" s="1">
        <f>IFERROR(__xludf.DUMMYFUNCTION("""COMPUTED_VALUE"""),486.2)</f>
        <v>486.2</v>
      </c>
    </row>
    <row r="1595">
      <c r="A1595" s="1">
        <f>IFERROR(__xludf.DUMMYFUNCTION("""COMPUTED_VALUE"""),1000.0)</f>
        <v>1000</v>
      </c>
      <c r="B1595" s="1">
        <f>IFERROR(__xludf.DUMMYFUNCTION("""COMPUTED_VALUE"""),184602.0)</f>
        <v>184602</v>
      </c>
      <c r="C1595" s="1">
        <f>IFERROR(__xludf.DUMMYFUNCTION("""COMPUTED_VALUE"""),2026.0)</f>
        <v>2026</v>
      </c>
      <c r="D1595" s="1">
        <f>IFERROR(__xludf.DUMMYFUNCTION("""COMPUTED_VALUE"""),46052.0)</f>
        <v>46052</v>
      </c>
      <c r="E1595" s="1" t="str">
        <f>IFERROR(__xludf.DUMMYFUNCTION("""COMPUTED_VALUE"""),"VF")</f>
        <v>VF</v>
      </c>
      <c r="F1595" s="1">
        <f>IFERROR(__xludf.DUMMYFUNCTION("""COMPUTED_VALUE"""),1.0)</f>
        <v>1</v>
      </c>
      <c r="G1595" s="1" t="str">
        <f>IFERROR(__xludf.DUMMYFUNCTION("""COMPUTED_VALUE"""),"PR014")</f>
        <v>PR014</v>
      </c>
      <c r="H1595" s="1" t="str">
        <f>IFERROR(__xludf.DUMMYFUNCTION("""COMPUTED_VALUE"""),"VD048")</f>
        <v>VD048</v>
      </c>
      <c r="I1595" s="1">
        <f>IFERROR(__xludf.DUMMYFUNCTION("""COMPUTED_VALUE"""),4.0)</f>
        <v>4</v>
      </c>
      <c r="J1595" s="1">
        <f>IFERROR(__xludf.DUMMYFUNCTION("""COMPUTED_VALUE"""),172.37)</f>
        <v>172.37</v>
      </c>
      <c r="K1595" s="1">
        <f>IFERROR(__xludf.DUMMYFUNCTION("""COMPUTED_VALUE"""),172.37)</f>
        <v>172.37</v>
      </c>
    </row>
    <row r="1596">
      <c r="A1596" s="1">
        <f>IFERROR(__xludf.DUMMYFUNCTION("""COMPUTED_VALUE"""),1000.0)</f>
        <v>1000</v>
      </c>
      <c r="B1596" s="1">
        <f>IFERROR(__xludf.DUMMYFUNCTION("""COMPUTED_VALUE"""),184603.0)</f>
        <v>184603</v>
      </c>
      <c r="C1596" s="1">
        <f>IFERROR(__xludf.DUMMYFUNCTION("""COMPUTED_VALUE"""),2026.0)</f>
        <v>2026</v>
      </c>
      <c r="D1596" s="1">
        <f>IFERROR(__xludf.DUMMYFUNCTION("""COMPUTED_VALUE"""),46052.0)</f>
        <v>46052</v>
      </c>
      <c r="E1596" s="1" t="str">
        <f>IFERROR(__xludf.DUMMYFUNCTION("""COMPUTED_VALUE"""),"VF")</f>
        <v>VF</v>
      </c>
      <c r="F1596" s="1">
        <f>IFERROR(__xludf.DUMMYFUNCTION("""COMPUTED_VALUE"""),1.0)</f>
        <v>1</v>
      </c>
      <c r="G1596" s="1" t="str">
        <f>IFERROR(__xludf.DUMMYFUNCTION("""COMPUTED_VALUE"""),"PR041")</f>
        <v>PR041</v>
      </c>
      <c r="H1596" s="1" t="str">
        <f>IFERROR(__xludf.DUMMYFUNCTION("""COMPUTED_VALUE"""),"VD042")</f>
        <v>VD042</v>
      </c>
      <c r="I1596" s="1">
        <f>IFERROR(__xludf.DUMMYFUNCTION("""COMPUTED_VALUE"""),2.0)</f>
        <v>2</v>
      </c>
      <c r="J1596" s="1">
        <f>IFERROR(__xludf.DUMMYFUNCTION("""COMPUTED_VALUE"""),120.78)</f>
        <v>120.78</v>
      </c>
      <c r="K1596" s="1">
        <f>IFERROR(__xludf.DUMMYFUNCTION("""COMPUTED_VALUE"""),120.78)</f>
        <v>120.78</v>
      </c>
    </row>
    <row r="1597">
      <c r="A1597" s="1">
        <f>IFERROR(__xludf.DUMMYFUNCTION("""COMPUTED_VALUE"""),1000.0)</f>
        <v>1000</v>
      </c>
      <c r="B1597" s="1">
        <f>IFERROR(__xludf.DUMMYFUNCTION("""COMPUTED_VALUE"""),184604.0)</f>
        <v>184604</v>
      </c>
      <c r="C1597" s="1">
        <f>IFERROR(__xludf.DUMMYFUNCTION("""COMPUTED_VALUE"""),2026.0)</f>
        <v>2026</v>
      </c>
      <c r="D1597" s="1">
        <f>IFERROR(__xludf.DUMMYFUNCTION("""COMPUTED_VALUE"""),46052.0)</f>
        <v>46052</v>
      </c>
      <c r="E1597" s="1" t="str">
        <f>IFERROR(__xludf.DUMMYFUNCTION("""COMPUTED_VALUE"""),"VF")</f>
        <v>VF</v>
      </c>
      <c r="F1597" s="1">
        <f>IFERROR(__xludf.DUMMYFUNCTION("""COMPUTED_VALUE"""),1.0)</f>
        <v>1</v>
      </c>
      <c r="G1597" s="1" t="str">
        <f>IFERROR(__xludf.DUMMYFUNCTION("""COMPUTED_VALUE"""),"PR019")</f>
        <v>PR019</v>
      </c>
      <c r="H1597" s="1" t="str">
        <f>IFERROR(__xludf.DUMMYFUNCTION("""COMPUTED_VALUE"""),"VD034")</f>
        <v>VD034</v>
      </c>
      <c r="I1597" s="1">
        <f>IFERROR(__xludf.DUMMYFUNCTION("""COMPUTED_VALUE"""),7.0)</f>
        <v>7</v>
      </c>
      <c r="J1597" s="1">
        <f>IFERROR(__xludf.DUMMYFUNCTION("""COMPUTED_VALUE"""),373.75)</f>
        <v>373.75</v>
      </c>
      <c r="K1597" s="1">
        <f>IFERROR(__xludf.DUMMYFUNCTION("""COMPUTED_VALUE"""),373.75)</f>
        <v>373.75</v>
      </c>
    </row>
    <row r="1598">
      <c r="A1598" s="1">
        <f>IFERROR(__xludf.DUMMYFUNCTION("""COMPUTED_VALUE"""),1000.0)</f>
        <v>1000</v>
      </c>
      <c r="B1598" s="1">
        <f>IFERROR(__xludf.DUMMYFUNCTION("""COMPUTED_VALUE"""),184605.0)</f>
        <v>184605</v>
      </c>
      <c r="C1598" s="1">
        <f>IFERROR(__xludf.DUMMYFUNCTION("""COMPUTED_VALUE"""),2026.0)</f>
        <v>2026</v>
      </c>
      <c r="D1598" s="1">
        <f>IFERROR(__xludf.DUMMYFUNCTION("""COMPUTED_VALUE"""),46052.0)</f>
        <v>46052</v>
      </c>
      <c r="E1598" s="1" t="str">
        <f>IFERROR(__xludf.DUMMYFUNCTION("""COMPUTED_VALUE"""),"VF")</f>
        <v>VF</v>
      </c>
      <c r="F1598" s="1">
        <f>IFERROR(__xludf.DUMMYFUNCTION("""COMPUTED_VALUE"""),1.0)</f>
        <v>1</v>
      </c>
      <c r="G1598" s="1" t="str">
        <f>IFERROR(__xludf.DUMMYFUNCTION("""COMPUTED_VALUE"""),"PR024")</f>
        <v>PR024</v>
      </c>
      <c r="H1598" s="1" t="str">
        <f>IFERROR(__xludf.DUMMYFUNCTION("""COMPUTED_VALUE"""),"VD048")</f>
        <v>VD048</v>
      </c>
      <c r="I1598" s="1">
        <f>IFERROR(__xludf.DUMMYFUNCTION("""COMPUTED_VALUE"""),3.0)</f>
        <v>3</v>
      </c>
      <c r="J1598" s="1">
        <f>IFERROR(__xludf.DUMMYFUNCTION("""COMPUTED_VALUE"""),795.29)</f>
        <v>795.29</v>
      </c>
      <c r="K1598" s="1">
        <f>IFERROR(__xludf.DUMMYFUNCTION("""COMPUTED_VALUE"""),795.29)</f>
        <v>795.29</v>
      </c>
    </row>
    <row r="1599">
      <c r="A1599" s="1">
        <f>IFERROR(__xludf.DUMMYFUNCTION("""COMPUTED_VALUE"""),1000.0)</f>
        <v>1000</v>
      </c>
      <c r="B1599" s="1">
        <f>IFERROR(__xludf.DUMMYFUNCTION("""COMPUTED_VALUE"""),184606.0)</f>
        <v>184606</v>
      </c>
      <c r="C1599" s="1">
        <f>IFERROR(__xludf.DUMMYFUNCTION("""COMPUTED_VALUE"""),2026.0)</f>
        <v>2026</v>
      </c>
      <c r="D1599" s="1">
        <f>IFERROR(__xludf.DUMMYFUNCTION("""COMPUTED_VALUE"""),46051.0)</f>
        <v>46051</v>
      </c>
      <c r="E1599" s="1" t="str">
        <f>IFERROR(__xludf.DUMMYFUNCTION("""COMPUTED_VALUE"""),"VF")</f>
        <v>VF</v>
      </c>
      <c r="F1599" s="1">
        <f>IFERROR(__xludf.DUMMYFUNCTION("""COMPUTED_VALUE"""),1.0)</f>
        <v>1</v>
      </c>
      <c r="G1599" s="1" t="str">
        <f>IFERROR(__xludf.DUMMYFUNCTION("""COMPUTED_VALUE"""),"PR044")</f>
        <v>PR044</v>
      </c>
      <c r="H1599" s="1" t="str">
        <f>IFERROR(__xludf.DUMMYFUNCTION("""COMPUTED_VALUE"""),"VD046")</f>
        <v>VD046</v>
      </c>
      <c r="I1599" s="1">
        <f>IFERROR(__xludf.DUMMYFUNCTION("""COMPUTED_VALUE"""),14.0)</f>
        <v>14</v>
      </c>
      <c r="J1599" s="1">
        <f>IFERROR(__xludf.DUMMYFUNCTION("""COMPUTED_VALUE"""),1055.6)</f>
        <v>1055.6</v>
      </c>
      <c r="K1599" s="1">
        <f>IFERROR(__xludf.DUMMYFUNCTION("""COMPUTED_VALUE"""),1055.6)</f>
        <v>1055.6</v>
      </c>
    </row>
    <row r="1600">
      <c r="A1600" s="1">
        <f>IFERROR(__xludf.DUMMYFUNCTION("""COMPUTED_VALUE"""),1000.0)</f>
        <v>1000</v>
      </c>
      <c r="B1600" s="1">
        <f>IFERROR(__xludf.DUMMYFUNCTION("""COMPUTED_VALUE"""),184607.0)</f>
        <v>184607</v>
      </c>
      <c r="C1600" s="1">
        <f>IFERROR(__xludf.DUMMYFUNCTION("""COMPUTED_VALUE"""),2026.0)</f>
        <v>2026</v>
      </c>
      <c r="D1600" s="1">
        <f>IFERROR(__xludf.DUMMYFUNCTION("""COMPUTED_VALUE"""),46051.0)</f>
        <v>46051</v>
      </c>
      <c r="E1600" s="1" t="str">
        <f>IFERROR(__xludf.DUMMYFUNCTION("""COMPUTED_VALUE"""),"VF")</f>
        <v>VF</v>
      </c>
      <c r="F1600" s="1">
        <f>IFERROR(__xludf.DUMMYFUNCTION("""COMPUTED_VALUE"""),1.0)</f>
        <v>1</v>
      </c>
      <c r="G1600" s="1" t="str">
        <f>IFERROR(__xludf.DUMMYFUNCTION("""COMPUTED_VALUE"""),"PR042")</f>
        <v>PR042</v>
      </c>
      <c r="H1600" s="1" t="str">
        <f>IFERROR(__xludf.DUMMYFUNCTION("""COMPUTED_VALUE"""),"VD048")</f>
        <v>VD048</v>
      </c>
      <c r="I1600" s="1">
        <f>IFERROR(__xludf.DUMMYFUNCTION("""COMPUTED_VALUE"""),7.0)</f>
        <v>7</v>
      </c>
      <c r="J1600" s="1">
        <f>IFERROR(__xludf.DUMMYFUNCTION("""COMPUTED_VALUE"""),399.67)</f>
        <v>399.67</v>
      </c>
      <c r="K1600" s="1">
        <f>IFERROR(__xludf.DUMMYFUNCTION("""COMPUTED_VALUE"""),399.67)</f>
        <v>399.67</v>
      </c>
    </row>
    <row r="1601">
      <c r="A1601" s="1">
        <f>IFERROR(__xludf.DUMMYFUNCTION("""COMPUTED_VALUE"""),2000.0)</f>
        <v>2000</v>
      </c>
      <c r="B1601" s="1">
        <f>IFERROR(__xludf.DUMMYFUNCTION("""COMPUTED_VALUE"""),184607.0)</f>
        <v>184607</v>
      </c>
      <c r="C1601" s="1">
        <f>IFERROR(__xludf.DUMMYFUNCTION("""COMPUTED_VALUE"""),2026.0)</f>
        <v>2026</v>
      </c>
      <c r="D1601" s="1">
        <f>IFERROR(__xludf.DUMMYFUNCTION("""COMPUTED_VALUE"""),46051.0)</f>
        <v>46051</v>
      </c>
      <c r="E1601" s="1" t="str">
        <f>IFERROR(__xludf.DUMMYFUNCTION("""COMPUTED_VALUE"""),"VF")</f>
        <v>VF</v>
      </c>
      <c r="F1601" s="1">
        <f>IFERROR(__xludf.DUMMYFUNCTION("""COMPUTED_VALUE"""),2.0)</f>
        <v>2</v>
      </c>
      <c r="G1601" s="1" t="str">
        <f>IFERROR(__xludf.DUMMYFUNCTION("""COMPUTED_VALUE"""),"PR014")</f>
        <v>PR014</v>
      </c>
      <c r="H1601" s="1" t="str">
        <f>IFERROR(__xludf.DUMMYFUNCTION("""COMPUTED_VALUE"""),"VD017")</f>
        <v>VD017</v>
      </c>
      <c r="I1601" s="1">
        <f>IFERROR(__xludf.DUMMYFUNCTION("""COMPUTED_VALUE"""),10.0)</f>
        <v>10</v>
      </c>
      <c r="J1601" s="1">
        <f>IFERROR(__xludf.DUMMYFUNCTION("""COMPUTED_VALUE"""),438.9)</f>
        <v>438.9</v>
      </c>
      <c r="K1601" s="1">
        <f>IFERROR(__xludf.DUMMYFUNCTION("""COMPUTED_VALUE"""),438.9)</f>
        <v>438.9</v>
      </c>
    </row>
    <row r="1602">
      <c r="A1602" s="1">
        <f>IFERROR(__xludf.DUMMYFUNCTION("""COMPUTED_VALUE"""),1000.0)</f>
        <v>1000</v>
      </c>
      <c r="B1602" s="1">
        <f>IFERROR(__xludf.DUMMYFUNCTION("""COMPUTED_VALUE"""),184608.0)</f>
        <v>184608</v>
      </c>
      <c r="C1602" s="1">
        <f>IFERROR(__xludf.DUMMYFUNCTION("""COMPUTED_VALUE"""),2026.0)</f>
        <v>2026</v>
      </c>
      <c r="D1602" s="1">
        <f>IFERROR(__xludf.DUMMYFUNCTION("""COMPUTED_VALUE"""),46051.0)</f>
        <v>46051</v>
      </c>
      <c r="E1602" s="1" t="str">
        <f>IFERROR(__xludf.DUMMYFUNCTION("""COMPUTED_VALUE"""),"VF")</f>
        <v>VF</v>
      </c>
      <c r="F1602" s="1">
        <f>IFERROR(__xludf.DUMMYFUNCTION("""COMPUTED_VALUE"""),1.0)</f>
        <v>1</v>
      </c>
      <c r="G1602" s="1" t="str">
        <f>IFERROR(__xludf.DUMMYFUNCTION("""COMPUTED_VALUE"""),"PR015")</f>
        <v>PR015</v>
      </c>
      <c r="H1602" s="1" t="str">
        <f>IFERROR(__xludf.DUMMYFUNCTION("""COMPUTED_VALUE"""),"VD022")</f>
        <v>VD022</v>
      </c>
      <c r="I1602" s="1">
        <f>IFERROR(__xludf.DUMMYFUNCTION("""COMPUTED_VALUE"""),6.0)</f>
        <v>6</v>
      </c>
      <c r="J1602" s="1">
        <f>IFERROR(__xludf.DUMMYFUNCTION("""COMPUTED_VALUE"""),262.65)</f>
        <v>262.65</v>
      </c>
      <c r="K1602" s="1">
        <f>IFERROR(__xludf.DUMMYFUNCTION("""COMPUTED_VALUE"""),262.65)</f>
        <v>262.65</v>
      </c>
    </row>
    <row r="1603">
      <c r="A1603" s="1">
        <f>IFERROR(__xludf.DUMMYFUNCTION("""COMPUTED_VALUE"""),1000.0)</f>
        <v>1000</v>
      </c>
      <c r="B1603" s="1">
        <f>IFERROR(__xludf.DUMMYFUNCTION("""COMPUTED_VALUE"""),184609.0)</f>
        <v>184609</v>
      </c>
      <c r="C1603" s="1">
        <f>IFERROR(__xludf.DUMMYFUNCTION("""COMPUTED_VALUE"""),2026.0)</f>
        <v>2026</v>
      </c>
      <c r="D1603" s="1">
        <f>IFERROR(__xludf.DUMMYFUNCTION("""COMPUTED_VALUE"""),46051.0)</f>
        <v>46051</v>
      </c>
      <c r="E1603" s="1" t="str">
        <f>IFERROR(__xludf.DUMMYFUNCTION("""COMPUTED_VALUE"""),"VF")</f>
        <v>VF</v>
      </c>
      <c r="F1603" s="1">
        <f>IFERROR(__xludf.DUMMYFUNCTION("""COMPUTED_VALUE"""),1.0)</f>
        <v>1</v>
      </c>
      <c r="G1603" s="1" t="str">
        <f>IFERROR(__xludf.DUMMYFUNCTION("""COMPUTED_VALUE"""),"PR025")</f>
        <v>PR025</v>
      </c>
      <c r="H1603" s="1" t="str">
        <f>IFERROR(__xludf.DUMMYFUNCTION("""COMPUTED_VALUE"""),"VD034")</f>
        <v>VD034</v>
      </c>
      <c r="I1603" s="1">
        <f>IFERROR(__xludf.DUMMYFUNCTION("""COMPUTED_VALUE"""),4.0)</f>
        <v>4</v>
      </c>
      <c r="J1603" s="1">
        <f>IFERROR(__xludf.DUMMYFUNCTION("""COMPUTED_VALUE"""),1295.57)</f>
        <v>1295.57</v>
      </c>
      <c r="K1603" s="1">
        <f>IFERROR(__xludf.DUMMYFUNCTION("""COMPUTED_VALUE"""),1295.57)</f>
        <v>1295.57</v>
      </c>
    </row>
    <row r="1604">
      <c r="A1604" s="1">
        <f>IFERROR(__xludf.DUMMYFUNCTION("""COMPUTED_VALUE"""),1000.0)</f>
        <v>1000</v>
      </c>
      <c r="B1604" s="1">
        <f>IFERROR(__xludf.DUMMYFUNCTION("""COMPUTED_VALUE"""),184610.0)</f>
        <v>184610</v>
      </c>
      <c r="C1604" s="1">
        <f>IFERROR(__xludf.DUMMYFUNCTION("""COMPUTED_VALUE"""),2026.0)</f>
        <v>2026</v>
      </c>
      <c r="D1604" s="1">
        <f>IFERROR(__xludf.DUMMYFUNCTION("""COMPUTED_VALUE"""),46051.0)</f>
        <v>46051</v>
      </c>
      <c r="E1604" s="1" t="str">
        <f>IFERROR(__xludf.DUMMYFUNCTION("""COMPUTED_VALUE"""),"VF")</f>
        <v>VF</v>
      </c>
      <c r="F1604" s="1">
        <f>IFERROR(__xludf.DUMMYFUNCTION("""COMPUTED_VALUE"""),1.0)</f>
        <v>1</v>
      </c>
      <c r="G1604" s="1" t="str">
        <f>IFERROR(__xludf.DUMMYFUNCTION("""COMPUTED_VALUE"""),"PR001")</f>
        <v>PR001</v>
      </c>
      <c r="H1604" s="1" t="str">
        <f>IFERROR(__xludf.DUMMYFUNCTION("""COMPUTED_VALUE"""),"VD022")</f>
        <v>VD022</v>
      </c>
      <c r="I1604" s="1">
        <f>IFERROR(__xludf.DUMMYFUNCTION("""COMPUTED_VALUE"""),9.0)</f>
        <v>9</v>
      </c>
      <c r="J1604" s="1">
        <f>IFERROR(__xludf.DUMMYFUNCTION("""COMPUTED_VALUE"""),640.55)</f>
        <v>640.55</v>
      </c>
      <c r="K1604" s="1">
        <f>IFERROR(__xludf.DUMMYFUNCTION("""COMPUTED_VALUE"""),640.55)</f>
        <v>640.55</v>
      </c>
    </row>
    <row r="1605">
      <c r="A1605" s="1">
        <f>IFERROR(__xludf.DUMMYFUNCTION("""COMPUTED_VALUE"""),1000.0)</f>
        <v>1000</v>
      </c>
      <c r="B1605" s="1">
        <f>IFERROR(__xludf.DUMMYFUNCTION("""COMPUTED_VALUE"""),184611.0)</f>
        <v>184611</v>
      </c>
      <c r="C1605" s="1">
        <f>IFERROR(__xludf.DUMMYFUNCTION("""COMPUTED_VALUE"""),2026.0)</f>
        <v>2026</v>
      </c>
      <c r="D1605" s="1">
        <f>IFERROR(__xludf.DUMMYFUNCTION("""COMPUTED_VALUE"""),46051.0)</f>
        <v>46051</v>
      </c>
      <c r="E1605" s="1" t="str">
        <f>IFERROR(__xludf.DUMMYFUNCTION("""COMPUTED_VALUE"""),"VF")</f>
        <v>VF</v>
      </c>
      <c r="F1605" s="1">
        <f>IFERROR(__xludf.DUMMYFUNCTION("""COMPUTED_VALUE"""),1.0)</f>
        <v>1</v>
      </c>
      <c r="G1605" s="1" t="str">
        <f>IFERROR(__xludf.DUMMYFUNCTION("""COMPUTED_VALUE"""),"PR013")</f>
        <v>PR013</v>
      </c>
      <c r="H1605" s="1" t="str">
        <f>IFERROR(__xludf.DUMMYFUNCTION("""COMPUTED_VALUE"""),"VD019")</f>
        <v>VD019</v>
      </c>
      <c r="I1605" s="1">
        <f>IFERROR(__xludf.DUMMYFUNCTION("""COMPUTED_VALUE"""),20.0)</f>
        <v>20</v>
      </c>
      <c r="J1605" s="1">
        <f>IFERROR(__xludf.DUMMYFUNCTION("""COMPUTED_VALUE"""),869.82)</f>
        <v>869.82</v>
      </c>
      <c r="K1605" s="1">
        <f>IFERROR(__xludf.DUMMYFUNCTION("""COMPUTED_VALUE"""),869.82)</f>
        <v>869.82</v>
      </c>
    </row>
    <row r="1606">
      <c r="A1606" s="1">
        <f>IFERROR(__xludf.DUMMYFUNCTION("""COMPUTED_VALUE"""),1000.0)</f>
        <v>1000</v>
      </c>
      <c r="B1606" s="1">
        <f>IFERROR(__xludf.DUMMYFUNCTION("""COMPUTED_VALUE"""),184612.0)</f>
        <v>184612</v>
      </c>
      <c r="C1606" s="1">
        <f>IFERROR(__xludf.DUMMYFUNCTION("""COMPUTED_VALUE"""),2026.0)</f>
        <v>2026</v>
      </c>
      <c r="D1606" s="1">
        <f>IFERROR(__xludf.DUMMYFUNCTION("""COMPUTED_VALUE"""),46051.0)</f>
        <v>46051</v>
      </c>
      <c r="E1606" s="1" t="str">
        <f>IFERROR(__xludf.DUMMYFUNCTION("""COMPUTED_VALUE"""),"VF")</f>
        <v>VF</v>
      </c>
      <c r="F1606" s="1">
        <f>IFERROR(__xludf.DUMMYFUNCTION("""COMPUTED_VALUE"""),1.0)</f>
        <v>1</v>
      </c>
      <c r="G1606" s="1" t="str">
        <f>IFERROR(__xludf.DUMMYFUNCTION("""COMPUTED_VALUE"""),"PR058")</f>
        <v>PR058</v>
      </c>
      <c r="H1606" s="1" t="str">
        <f>IFERROR(__xludf.DUMMYFUNCTION("""COMPUTED_VALUE"""),"VD042")</f>
        <v>VD042</v>
      </c>
      <c r="I1606" s="1">
        <f>IFERROR(__xludf.DUMMYFUNCTION("""COMPUTED_VALUE"""),3.0)</f>
        <v>3</v>
      </c>
      <c r="J1606" s="1">
        <f>IFERROR(__xludf.DUMMYFUNCTION("""COMPUTED_VALUE"""),577.8)</f>
        <v>577.8</v>
      </c>
      <c r="K1606" s="1">
        <f>IFERROR(__xludf.DUMMYFUNCTION("""COMPUTED_VALUE"""),577.8)</f>
        <v>577.8</v>
      </c>
    </row>
    <row r="1607">
      <c r="A1607" s="1">
        <f>IFERROR(__xludf.DUMMYFUNCTION("""COMPUTED_VALUE"""),2000.0)</f>
        <v>2000</v>
      </c>
      <c r="B1607" s="1">
        <f>IFERROR(__xludf.DUMMYFUNCTION("""COMPUTED_VALUE"""),184613.0)</f>
        <v>184613</v>
      </c>
      <c r="C1607" s="1">
        <f>IFERROR(__xludf.DUMMYFUNCTION("""COMPUTED_VALUE"""),2026.0)</f>
        <v>2026</v>
      </c>
      <c r="D1607" s="1">
        <f>IFERROR(__xludf.DUMMYFUNCTION("""COMPUTED_VALUE"""),46051.0)</f>
        <v>46051</v>
      </c>
      <c r="E1607" s="1" t="str">
        <f>IFERROR(__xludf.DUMMYFUNCTION("""COMPUTED_VALUE"""),"VF")</f>
        <v>VF</v>
      </c>
      <c r="F1607" s="1">
        <f>IFERROR(__xludf.DUMMYFUNCTION("""COMPUTED_VALUE"""),1.0)</f>
        <v>1</v>
      </c>
      <c r="G1607" s="1" t="str">
        <f>IFERROR(__xludf.DUMMYFUNCTION("""COMPUTED_VALUE"""),"PR053")</f>
        <v>PR053</v>
      </c>
      <c r="H1607" s="1" t="str">
        <f>IFERROR(__xludf.DUMMYFUNCTION("""COMPUTED_VALUE"""),"VD022")</f>
        <v>VD022</v>
      </c>
      <c r="I1607" s="1">
        <f>IFERROR(__xludf.DUMMYFUNCTION("""COMPUTED_VALUE"""),4.0)</f>
        <v>4</v>
      </c>
      <c r="J1607" s="1">
        <f>IFERROR(__xludf.DUMMYFUNCTION("""COMPUTED_VALUE"""),217.56)</f>
        <v>217.56</v>
      </c>
      <c r="K1607" s="1">
        <f>IFERROR(__xludf.DUMMYFUNCTION("""COMPUTED_VALUE"""),217.56)</f>
        <v>217.56</v>
      </c>
    </row>
    <row r="1608">
      <c r="A1608" s="1">
        <f>IFERROR(__xludf.DUMMYFUNCTION("""COMPUTED_VALUE"""),1000.0)</f>
        <v>1000</v>
      </c>
      <c r="B1608" s="1">
        <f>IFERROR(__xludf.DUMMYFUNCTION("""COMPUTED_VALUE"""),184614.0)</f>
        <v>184614</v>
      </c>
      <c r="C1608" s="1">
        <f>IFERROR(__xludf.DUMMYFUNCTION("""COMPUTED_VALUE"""),2026.0)</f>
        <v>2026</v>
      </c>
      <c r="D1608" s="1">
        <f>IFERROR(__xludf.DUMMYFUNCTION("""COMPUTED_VALUE"""),46051.0)</f>
        <v>46051</v>
      </c>
      <c r="E1608" s="1" t="str">
        <f>IFERROR(__xludf.DUMMYFUNCTION("""COMPUTED_VALUE"""),"VF")</f>
        <v>VF</v>
      </c>
      <c r="F1608" s="1">
        <f>IFERROR(__xludf.DUMMYFUNCTION("""COMPUTED_VALUE"""),1.0)</f>
        <v>1</v>
      </c>
      <c r="G1608" s="1" t="str">
        <f>IFERROR(__xludf.DUMMYFUNCTION("""COMPUTED_VALUE"""),"PR047")</f>
        <v>PR047</v>
      </c>
      <c r="H1608" s="1" t="str">
        <f>IFERROR(__xludf.DUMMYFUNCTION("""COMPUTED_VALUE"""),"VD025")</f>
        <v>VD025</v>
      </c>
      <c r="I1608" s="1">
        <f>IFERROR(__xludf.DUMMYFUNCTION("""COMPUTED_VALUE"""),2.0)</f>
        <v>2</v>
      </c>
      <c r="J1608" s="1">
        <f>IFERROR(__xludf.DUMMYFUNCTION("""COMPUTED_VALUE"""),631.98)</f>
        <v>631.98</v>
      </c>
      <c r="K1608" s="1">
        <f>IFERROR(__xludf.DUMMYFUNCTION("""COMPUTED_VALUE"""),631.98)</f>
        <v>631.98</v>
      </c>
    </row>
    <row r="1609">
      <c r="A1609" s="1">
        <f>IFERROR(__xludf.DUMMYFUNCTION("""COMPUTED_VALUE"""),1000.0)</f>
        <v>1000</v>
      </c>
      <c r="B1609" s="1">
        <f>IFERROR(__xludf.DUMMYFUNCTION("""COMPUTED_VALUE"""),184615.0)</f>
        <v>184615</v>
      </c>
      <c r="C1609" s="1">
        <f>IFERROR(__xludf.DUMMYFUNCTION("""COMPUTED_VALUE"""),2026.0)</f>
        <v>2026</v>
      </c>
      <c r="D1609" s="1">
        <f>IFERROR(__xludf.DUMMYFUNCTION("""COMPUTED_VALUE"""),46051.0)</f>
        <v>46051</v>
      </c>
      <c r="E1609" s="1" t="str">
        <f>IFERROR(__xludf.DUMMYFUNCTION("""COMPUTED_VALUE"""),"VF")</f>
        <v>VF</v>
      </c>
      <c r="F1609" s="1">
        <f>IFERROR(__xludf.DUMMYFUNCTION("""COMPUTED_VALUE"""),1.0)</f>
        <v>1</v>
      </c>
      <c r="G1609" s="1" t="str">
        <f>IFERROR(__xludf.DUMMYFUNCTION("""COMPUTED_VALUE"""),"PR044")</f>
        <v>PR044</v>
      </c>
      <c r="H1609" s="1" t="str">
        <f>IFERROR(__xludf.DUMMYFUNCTION("""COMPUTED_VALUE"""),"VD026")</f>
        <v>VD026</v>
      </c>
      <c r="I1609" s="1">
        <f>IFERROR(__xludf.DUMMYFUNCTION("""COMPUTED_VALUE"""),7.0)</f>
        <v>7</v>
      </c>
      <c r="J1609" s="1">
        <f>IFERROR(__xludf.DUMMYFUNCTION("""COMPUTED_VALUE"""),522.73)</f>
        <v>522.73</v>
      </c>
      <c r="K1609" s="1">
        <f>IFERROR(__xludf.DUMMYFUNCTION("""COMPUTED_VALUE"""),522.73)</f>
        <v>522.73</v>
      </c>
    </row>
    <row r="1610">
      <c r="A1610" s="1">
        <f>IFERROR(__xludf.DUMMYFUNCTION("""COMPUTED_VALUE"""),1000.0)</f>
        <v>1000</v>
      </c>
      <c r="B1610" s="1">
        <f>IFERROR(__xludf.DUMMYFUNCTION("""COMPUTED_VALUE"""),184616.0)</f>
        <v>184616</v>
      </c>
      <c r="C1610" s="1">
        <f>IFERROR(__xludf.DUMMYFUNCTION("""COMPUTED_VALUE"""),2026.0)</f>
        <v>2026</v>
      </c>
      <c r="D1610" s="1">
        <f>IFERROR(__xludf.DUMMYFUNCTION("""COMPUTED_VALUE"""),46051.0)</f>
        <v>46051</v>
      </c>
      <c r="E1610" s="1" t="str">
        <f>IFERROR(__xludf.DUMMYFUNCTION("""COMPUTED_VALUE"""),"VF")</f>
        <v>VF</v>
      </c>
      <c r="F1610" s="1">
        <f>IFERROR(__xludf.DUMMYFUNCTION("""COMPUTED_VALUE"""),1.0)</f>
        <v>1</v>
      </c>
      <c r="G1610" s="1" t="str">
        <f>IFERROR(__xludf.DUMMYFUNCTION("""COMPUTED_VALUE"""),"PR050")</f>
        <v>PR050</v>
      </c>
      <c r="H1610" s="1" t="str">
        <f>IFERROR(__xludf.DUMMYFUNCTION("""COMPUTED_VALUE"""),"VD039")</f>
        <v>VD039</v>
      </c>
      <c r="I1610" s="1">
        <f>IFERROR(__xludf.DUMMYFUNCTION("""COMPUTED_VALUE"""),12.0)</f>
        <v>12</v>
      </c>
      <c r="J1610" s="1">
        <f>IFERROR(__xludf.DUMMYFUNCTION("""COMPUTED_VALUE"""),410.59)</f>
        <v>410.59</v>
      </c>
      <c r="K1610" s="1">
        <f>IFERROR(__xludf.DUMMYFUNCTION("""COMPUTED_VALUE"""),410.59)</f>
        <v>410.59</v>
      </c>
    </row>
    <row r="1611">
      <c r="A1611" s="1">
        <f>IFERROR(__xludf.DUMMYFUNCTION("""COMPUTED_VALUE"""),1000.0)</f>
        <v>1000</v>
      </c>
      <c r="B1611" s="1">
        <f>IFERROR(__xludf.DUMMYFUNCTION("""COMPUTED_VALUE"""),184616.0)</f>
        <v>184616</v>
      </c>
      <c r="C1611" s="1">
        <f>IFERROR(__xludf.DUMMYFUNCTION("""COMPUTED_VALUE"""),2026.0)</f>
        <v>2026</v>
      </c>
      <c r="D1611" s="1">
        <f>IFERROR(__xludf.DUMMYFUNCTION("""COMPUTED_VALUE"""),46051.0)</f>
        <v>46051</v>
      </c>
      <c r="E1611" s="1" t="str">
        <f>IFERROR(__xludf.DUMMYFUNCTION("""COMPUTED_VALUE"""),"VF")</f>
        <v>VF</v>
      </c>
      <c r="F1611" s="1">
        <f>IFERROR(__xludf.DUMMYFUNCTION("""COMPUTED_VALUE"""),2.0)</f>
        <v>2</v>
      </c>
      <c r="G1611" s="1" t="str">
        <f>IFERROR(__xludf.DUMMYFUNCTION("""COMPUTED_VALUE"""),"PR042")</f>
        <v>PR042</v>
      </c>
      <c r="H1611" s="1" t="str">
        <f>IFERROR(__xludf.DUMMYFUNCTION("""COMPUTED_VALUE"""),"VD040")</f>
        <v>VD040</v>
      </c>
      <c r="I1611" s="1">
        <f>IFERROR(__xludf.DUMMYFUNCTION("""COMPUTED_VALUE"""),8.0)</f>
        <v>8</v>
      </c>
      <c r="J1611" s="1">
        <f>IFERROR(__xludf.DUMMYFUNCTION("""COMPUTED_VALUE"""),447.98)</f>
        <v>447.98</v>
      </c>
      <c r="K1611" s="1">
        <f>IFERROR(__xludf.DUMMYFUNCTION("""COMPUTED_VALUE"""),447.98)</f>
        <v>447.98</v>
      </c>
    </row>
    <row r="1612">
      <c r="A1612" s="1">
        <f>IFERROR(__xludf.DUMMYFUNCTION("""COMPUTED_VALUE"""),2000.0)</f>
        <v>2000</v>
      </c>
      <c r="B1612" s="1">
        <f>IFERROR(__xludf.DUMMYFUNCTION("""COMPUTED_VALUE"""),184616.0)</f>
        <v>184616</v>
      </c>
      <c r="C1612" s="1">
        <f>IFERROR(__xludf.DUMMYFUNCTION("""COMPUTED_VALUE"""),2026.0)</f>
        <v>2026</v>
      </c>
      <c r="D1612" s="1">
        <f>IFERROR(__xludf.DUMMYFUNCTION("""COMPUTED_VALUE"""),46050.0)</f>
        <v>46050</v>
      </c>
      <c r="E1612" s="1" t="str">
        <f>IFERROR(__xludf.DUMMYFUNCTION("""COMPUTED_VALUE"""),"VF")</f>
        <v>VF</v>
      </c>
      <c r="F1612" s="1">
        <f>IFERROR(__xludf.DUMMYFUNCTION("""COMPUTED_VALUE"""),3.0)</f>
        <v>3</v>
      </c>
      <c r="G1612" s="1" t="str">
        <f>IFERROR(__xludf.DUMMYFUNCTION("""COMPUTED_VALUE"""),"PR003")</f>
        <v>PR003</v>
      </c>
      <c r="H1612" s="1" t="str">
        <f>IFERROR(__xludf.DUMMYFUNCTION("""COMPUTED_VALUE"""),"VD038")</f>
        <v>VD038</v>
      </c>
      <c r="I1612" s="1">
        <f>IFERROR(__xludf.DUMMYFUNCTION("""COMPUTED_VALUE"""),2.0)</f>
        <v>2</v>
      </c>
      <c r="J1612" s="1">
        <f>IFERROR(__xludf.DUMMYFUNCTION("""COMPUTED_VALUE"""),143.22)</f>
        <v>143.22</v>
      </c>
      <c r="K1612" s="1">
        <f>IFERROR(__xludf.DUMMYFUNCTION("""COMPUTED_VALUE"""),143.22)</f>
        <v>143.22</v>
      </c>
    </row>
    <row r="1613">
      <c r="A1613" s="1">
        <f>IFERROR(__xludf.DUMMYFUNCTION("""COMPUTED_VALUE"""),1000.0)</f>
        <v>1000</v>
      </c>
      <c r="B1613" s="1">
        <f>IFERROR(__xludf.DUMMYFUNCTION("""COMPUTED_VALUE"""),184617.0)</f>
        <v>184617</v>
      </c>
      <c r="C1613" s="1">
        <f>IFERROR(__xludf.DUMMYFUNCTION("""COMPUTED_VALUE"""),2026.0)</f>
        <v>2026</v>
      </c>
      <c r="D1613" s="1">
        <f>IFERROR(__xludf.DUMMYFUNCTION("""COMPUTED_VALUE"""),46050.0)</f>
        <v>46050</v>
      </c>
      <c r="E1613" s="1" t="str">
        <f>IFERROR(__xludf.DUMMYFUNCTION("""COMPUTED_VALUE"""),"VF")</f>
        <v>VF</v>
      </c>
      <c r="F1613" s="1">
        <f>IFERROR(__xludf.DUMMYFUNCTION("""COMPUTED_VALUE"""),1.0)</f>
        <v>1</v>
      </c>
      <c r="G1613" s="1" t="str">
        <f>IFERROR(__xludf.DUMMYFUNCTION("""COMPUTED_VALUE"""),"PR010")</f>
        <v>PR010</v>
      </c>
      <c r="H1613" s="1" t="str">
        <f>IFERROR(__xludf.DUMMYFUNCTION("""COMPUTED_VALUE"""),"VD025")</f>
        <v>VD025</v>
      </c>
      <c r="I1613" s="1">
        <f>IFERROR(__xludf.DUMMYFUNCTION("""COMPUTED_VALUE"""),6.0)</f>
        <v>6</v>
      </c>
      <c r="J1613" s="1">
        <f>IFERROR(__xludf.DUMMYFUNCTION("""COMPUTED_VALUE"""),274.79)</f>
        <v>274.79</v>
      </c>
      <c r="K1613" s="1">
        <f>IFERROR(__xludf.DUMMYFUNCTION("""COMPUTED_VALUE"""),274.79)</f>
        <v>274.79</v>
      </c>
    </row>
    <row r="1614">
      <c r="A1614" s="1">
        <f>IFERROR(__xludf.DUMMYFUNCTION("""COMPUTED_VALUE"""),1000.0)</f>
        <v>1000</v>
      </c>
      <c r="B1614" s="1">
        <f>IFERROR(__xludf.DUMMYFUNCTION("""COMPUTED_VALUE"""),184618.0)</f>
        <v>184618</v>
      </c>
      <c r="C1614" s="1">
        <f>IFERROR(__xludf.DUMMYFUNCTION("""COMPUTED_VALUE"""),2026.0)</f>
        <v>2026</v>
      </c>
      <c r="D1614" s="1">
        <f>IFERROR(__xludf.DUMMYFUNCTION("""COMPUTED_VALUE"""),46050.0)</f>
        <v>46050</v>
      </c>
      <c r="E1614" s="1" t="str">
        <f>IFERROR(__xludf.DUMMYFUNCTION("""COMPUTED_VALUE"""),"VF")</f>
        <v>VF</v>
      </c>
      <c r="F1614" s="1">
        <f>IFERROR(__xludf.DUMMYFUNCTION("""COMPUTED_VALUE"""),1.0)</f>
        <v>1</v>
      </c>
      <c r="G1614" s="1" t="str">
        <f>IFERROR(__xludf.DUMMYFUNCTION("""COMPUTED_VALUE"""),"PR043")</f>
        <v>PR043</v>
      </c>
      <c r="H1614" s="1" t="str">
        <f>IFERROR(__xludf.DUMMYFUNCTION("""COMPUTED_VALUE"""),"VD013")</f>
        <v>VD013</v>
      </c>
      <c r="I1614" s="1">
        <f>IFERROR(__xludf.DUMMYFUNCTION("""COMPUTED_VALUE"""),6.0)</f>
        <v>6</v>
      </c>
      <c r="J1614" s="1">
        <f>IFERROR(__xludf.DUMMYFUNCTION("""COMPUTED_VALUE"""),439.35)</f>
        <v>439.35</v>
      </c>
      <c r="K1614" s="1">
        <f>IFERROR(__xludf.DUMMYFUNCTION("""COMPUTED_VALUE"""),439.35)</f>
        <v>439.35</v>
      </c>
    </row>
    <row r="1615">
      <c r="A1615" s="1">
        <f>IFERROR(__xludf.DUMMYFUNCTION("""COMPUTED_VALUE"""),1000.0)</f>
        <v>1000</v>
      </c>
      <c r="B1615" s="1">
        <f>IFERROR(__xludf.DUMMYFUNCTION("""COMPUTED_VALUE"""),184619.0)</f>
        <v>184619</v>
      </c>
      <c r="C1615" s="1">
        <f>IFERROR(__xludf.DUMMYFUNCTION("""COMPUTED_VALUE"""),2026.0)</f>
        <v>2026</v>
      </c>
      <c r="D1615" s="1">
        <f>IFERROR(__xludf.DUMMYFUNCTION("""COMPUTED_VALUE"""),46049.0)</f>
        <v>46049</v>
      </c>
      <c r="E1615" s="1" t="str">
        <f>IFERROR(__xludf.DUMMYFUNCTION("""COMPUTED_VALUE"""),"VF")</f>
        <v>VF</v>
      </c>
      <c r="F1615" s="1">
        <f>IFERROR(__xludf.DUMMYFUNCTION("""COMPUTED_VALUE"""),1.0)</f>
        <v>1</v>
      </c>
      <c r="G1615" s="1" t="str">
        <f>IFERROR(__xludf.DUMMYFUNCTION("""COMPUTED_VALUE"""),"PR012")</f>
        <v>PR012</v>
      </c>
      <c r="H1615" s="1" t="str">
        <f>IFERROR(__xludf.DUMMYFUNCTION("""COMPUTED_VALUE"""),"VD035")</f>
        <v>VD035</v>
      </c>
      <c r="I1615" s="1">
        <f>IFERROR(__xludf.DUMMYFUNCTION("""COMPUTED_VALUE"""),6.0)</f>
        <v>6</v>
      </c>
      <c r="J1615" s="1">
        <f>IFERROR(__xludf.DUMMYFUNCTION("""COMPUTED_VALUE"""),293.4)</f>
        <v>293.4</v>
      </c>
      <c r="K1615" s="1">
        <f>IFERROR(__xludf.DUMMYFUNCTION("""COMPUTED_VALUE"""),293.4)</f>
        <v>293.4</v>
      </c>
    </row>
    <row r="1616">
      <c r="A1616" s="1">
        <f>IFERROR(__xludf.DUMMYFUNCTION("""COMPUTED_VALUE"""),1000.0)</f>
        <v>1000</v>
      </c>
      <c r="B1616" s="1">
        <f>IFERROR(__xludf.DUMMYFUNCTION("""COMPUTED_VALUE"""),184620.0)</f>
        <v>184620</v>
      </c>
      <c r="C1616" s="1">
        <f>IFERROR(__xludf.DUMMYFUNCTION("""COMPUTED_VALUE"""),2026.0)</f>
        <v>2026</v>
      </c>
      <c r="D1616" s="1">
        <f>IFERROR(__xludf.DUMMYFUNCTION("""COMPUTED_VALUE"""),46049.0)</f>
        <v>46049</v>
      </c>
      <c r="E1616" s="1" t="str">
        <f>IFERROR(__xludf.DUMMYFUNCTION("""COMPUTED_VALUE"""),"VF")</f>
        <v>VF</v>
      </c>
      <c r="F1616" s="1">
        <f>IFERROR(__xludf.DUMMYFUNCTION("""COMPUTED_VALUE"""),1.0)</f>
        <v>1</v>
      </c>
      <c r="G1616" s="1" t="str">
        <f>IFERROR(__xludf.DUMMYFUNCTION("""COMPUTED_VALUE"""),"PR007")</f>
        <v>PR007</v>
      </c>
      <c r="H1616" s="1" t="str">
        <f>IFERROR(__xludf.DUMMYFUNCTION("""COMPUTED_VALUE"""),"VD017")</f>
        <v>VD017</v>
      </c>
      <c r="I1616" s="1">
        <f>IFERROR(__xludf.DUMMYFUNCTION("""COMPUTED_VALUE"""),12.0)</f>
        <v>12</v>
      </c>
      <c r="J1616" s="1">
        <f>IFERROR(__xludf.DUMMYFUNCTION("""COMPUTED_VALUE"""),1123.57)</f>
        <v>1123.57</v>
      </c>
      <c r="K1616" s="1">
        <f>IFERROR(__xludf.DUMMYFUNCTION("""COMPUTED_VALUE"""),1123.57)</f>
        <v>1123.57</v>
      </c>
    </row>
    <row r="1617">
      <c r="A1617" s="1">
        <f>IFERROR(__xludf.DUMMYFUNCTION("""COMPUTED_VALUE"""),1000.0)</f>
        <v>1000</v>
      </c>
      <c r="B1617" s="1">
        <f>IFERROR(__xludf.DUMMYFUNCTION("""COMPUTED_VALUE"""),184621.0)</f>
        <v>184621</v>
      </c>
      <c r="C1617" s="1">
        <f>IFERROR(__xludf.DUMMYFUNCTION("""COMPUTED_VALUE"""),2026.0)</f>
        <v>2026</v>
      </c>
      <c r="D1617" s="1">
        <f>IFERROR(__xludf.DUMMYFUNCTION("""COMPUTED_VALUE"""),46049.0)</f>
        <v>46049</v>
      </c>
      <c r="E1617" s="1" t="str">
        <f>IFERROR(__xludf.DUMMYFUNCTION("""COMPUTED_VALUE"""),"VF")</f>
        <v>VF</v>
      </c>
      <c r="F1617" s="1">
        <f>IFERROR(__xludf.DUMMYFUNCTION("""COMPUTED_VALUE"""),1.0)</f>
        <v>1</v>
      </c>
      <c r="G1617" s="1" t="str">
        <f>IFERROR(__xludf.DUMMYFUNCTION("""COMPUTED_VALUE"""),"PR042")</f>
        <v>PR042</v>
      </c>
      <c r="H1617" s="1" t="str">
        <f>IFERROR(__xludf.DUMMYFUNCTION("""COMPUTED_VALUE"""),"VD021")</f>
        <v>VD021</v>
      </c>
      <c r="I1617" s="1">
        <f>IFERROR(__xludf.DUMMYFUNCTION("""COMPUTED_VALUE"""),14.0)</f>
        <v>14</v>
      </c>
      <c r="J1617" s="1">
        <f>IFERROR(__xludf.DUMMYFUNCTION("""COMPUTED_VALUE"""),791.66)</f>
        <v>791.66</v>
      </c>
      <c r="K1617" s="1">
        <f>IFERROR(__xludf.DUMMYFUNCTION("""COMPUTED_VALUE"""),791.66)</f>
        <v>791.66</v>
      </c>
    </row>
    <row r="1618">
      <c r="A1618" s="1">
        <f>IFERROR(__xludf.DUMMYFUNCTION("""COMPUTED_VALUE"""),1000.0)</f>
        <v>1000</v>
      </c>
      <c r="B1618" s="1">
        <f>IFERROR(__xludf.DUMMYFUNCTION("""COMPUTED_VALUE"""),184622.0)</f>
        <v>184622</v>
      </c>
      <c r="C1618" s="1">
        <f>IFERROR(__xludf.DUMMYFUNCTION("""COMPUTED_VALUE"""),2026.0)</f>
        <v>2026</v>
      </c>
      <c r="D1618" s="1">
        <f>IFERROR(__xludf.DUMMYFUNCTION("""COMPUTED_VALUE"""),46049.0)</f>
        <v>46049</v>
      </c>
      <c r="E1618" s="1" t="str">
        <f>IFERROR(__xludf.DUMMYFUNCTION("""COMPUTED_VALUE"""),"VF")</f>
        <v>VF</v>
      </c>
      <c r="F1618" s="1">
        <f>IFERROR(__xludf.DUMMYFUNCTION("""COMPUTED_VALUE"""),1.0)</f>
        <v>1</v>
      </c>
      <c r="G1618" s="1" t="str">
        <f>IFERROR(__xludf.DUMMYFUNCTION("""COMPUTED_VALUE"""),"PR035")</f>
        <v>PR035</v>
      </c>
      <c r="H1618" s="1" t="str">
        <f>IFERROR(__xludf.DUMMYFUNCTION("""COMPUTED_VALUE"""),"VD033")</f>
        <v>VD033</v>
      </c>
      <c r="I1618" s="1">
        <f>IFERROR(__xludf.DUMMYFUNCTION("""COMPUTED_VALUE"""),4.0)</f>
        <v>4</v>
      </c>
      <c r="J1618" s="1">
        <f>IFERROR(__xludf.DUMMYFUNCTION("""COMPUTED_VALUE"""),391.19)</f>
        <v>391.19</v>
      </c>
      <c r="K1618" s="1">
        <f>IFERROR(__xludf.DUMMYFUNCTION("""COMPUTED_VALUE"""),391.19)</f>
        <v>391.19</v>
      </c>
    </row>
    <row r="1619">
      <c r="A1619" s="1">
        <f>IFERROR(__xludf.DUMMYFUNCTION("""COMPUTED_VALUE"""),1000.0)</f>
        <v>1000</v>
      </c>
      <c r="B1619" s="1">
        <f>IFERROR(__xludf.DUMMYFUNCTION("""COMPUTED_VALUE"""),184622.0)</f>
        <v>184622</v>
      </c>
      <c r="C1619" s="1">
        <f>IFERROR(__xludf.DUMMYFUNCTION("""COMPUTED_VALUE"""),2026.0)</f>
        <v>2026</v>
      </c>
      <c r="D1619" s="1">
        <f>IFERROR(__xludf.DUMMYFUNCTION("""COMPUTED_VALUE"""),46049.0)</f>
        <v>46049</v>
      </c>
      <c r="E1619" s="1" t="str">
        <f>IFERROR(__xludf.DUMMYFUNCTION("""COMPUTED_VALUE"""),"VF")</f>
        <v>VF</v>
      </c>
      <c r="F1619" s="1">
        <f>IFERROR(__xludf.DUMMYFUNCTION("""COMPUTED_VALUE"""),2.0)</f>
        <v>2</v>
      </c>
      <c r="G1619" s="1" t="str">
        <f>IFERROR(__xludf.DUMMYFUNCTION("""COMPUTED_VALUE"""),"PR040")</f>
        <v>PR040</v>
      </c>
      <c r="H1619" s="1" t="str">
        <f>IFERROR(__xludf.DUMMYFUNCTION("""COMPUTED_VALUE"""),"VD027")</f>
        <v>VD027</v>
      </c>
      <c r="I1619" s="1">
        <f>IFERROR(__xludf.DUMMYFUNCTION("""COMPUTED_VALUE"""),16.0)</f>
        <v>16</v>
      </c>
      <c r="J1619" s="1">
        <f>IFERROR(__xludf.DUMMYFUNCTION("""COMPUTED_VALUE"""),1176.0)</f>
        <v>1176</v>
      </c>
      <c r="K1619" s="1">
        <f>IFERROR(__xludf.DUMMYFUNCTION("""COMPUTED_VALUE"""),1176.0)</f>
        <v>1176</v>
      </c>
    </row>
    <row r="1620">
      <c r="A1620" s="1">
        <f>IFERROR(__xludf.DUMMYFUNCTION("""COMPUTED_VALUE"""),1000.0)</f>
        <v>1000</v>
      </c>
      <c r="B1620" s="1">
        <f>IFERROR(__xludf.DUMMYFUNCTION("""COMPUTED_VALUE"""),184623.0)</f>
        <v>184623</v>
      </c>
      <c r="C1620" s="1">
        <f>IFERROR(__xludf.DUMMYFUNCTION("""COMPUTED_VALUE"""),2026.0)</f>
        <v>2026</v>
      </c>
      <c r="D1620" s="1">
        <f>IFERROR(__xludf.DUMMYFUNCTION("""COMPUTED_VALUE"""),46049.0)</f>
        <v>46049</v>
      </c>
      <c r="E1620" s="1" t="str">
        <f>IFERROR(__xludf.DUMMYFUNCTION("""COMPUTED_VALUE"""),"VF")</f>
        <v>VF</v>
      </c>
      <c r="F1620" s="1">
        <f>IFERROR(__xludf.DUMMYFUNCTION("""COMPUTED_VALUE"""),1.0)</f>
        <v>1</v>
      </c>
      <c r="G1620" s="1" t="str">
        <f>IFERROR(__xludf.DUMMYFUNCTION("""COMPUTED_VALUE"""),"PR027")</f>
        <v>PR027</v>
      </c>
      <c r="H1620" s="1" t="str">
        <f>IFERROR(__xludf.DUMMYFUNCTION("""COMPUTED_VALUE"""),"VD022")</f>
        <v>VD022</v>
      </c>
      <c r="I1620" s="1">
        <f>IFERROR(__xludf.DUMMYFUNCTION("""COMPUTED_VALUE"""),6.0)</f>
        <v>6</v>
      </c>
      <c r="J1620" s="1">
        <f>IFERROR(__xludf.DUMMYFUNCTION("""COMPUTED_VALUE"""),763.2)</f>
        <v>763.2</v>
      </c>
      <c r="K1620" s="1">
        <f>IFERROR(__xludf.DUMMYFUNCTION("""COMPUTED_VALUE"""),763.2)</f>
        <v>763.2</v>
      </c>
    </row>
    <row r="1621">
      <c r="A1621" s="1">
        <f>IFERROR(__xludf.DUMMYFUNCTION("""COMPUTED_VALUE"""),1000.0)</f>
        <v>1000</v>
      </c>
      <c r="B1621" s="1">
        <f>IFERROR(__xludf.DUMMYFUNCTION("""COMPUTED_VALUE"""),184624.0)</f>
        <v>184624</v>
      </c>
      <c r="C1621" s="1">
        <f>IFERROR(__xludf.DUMMYFUNCTION("""COMPUTED_VALUE"""),2026.0)</f>
        <v>2026</v>
      </c>
      <c r="D1621" s="1">
        <f>IFERROR(__xludf.DUMMYFUNCTION("""COMPUTED_VALUE"""),46049.0)</f>
        <v>46049</v>
      </c>
      <c r="E1621" s="1" t="str">
        <f>IFERROR(__xludf.DUMMYFUNCTION("""COMPUTED_VALUE"""),"VF")</f>
        <v>VF</v>
      </c>
      <c r="F1621" s="1">
        <f>IFERROR(__xludf.DUMMYFUNCTION("""COMPUTED_VALUE"""),1.0)</f>
        <v>1</v>
      </c>
      <c r="G1621" s="1" t="str">
        <f>IFERROR(__xludf.DUMMYFUNCTION("""COMPUTED_VALUE"""),"PR006")</f>
        <v>PR006</v>
      </c>
      <c r="H1621" s="1" t="str">
        <f>IFERROR(__xludf.DUMMYFUNCTION("""COMPUTED_VALUE"""),"VD020")</f>
        <v>VD020</v>
      </c>
      <c r="I1621" s="1">
        <f>IFERROR(__xludf.DUMMYFUNCTION("""COMPUTED_VALUE"""),7.0)</f>
        <v>7</v>
      </c>
      <c r="J1621" s="1">
        <f>IFERROR(__xludf.DUMMYFUNCTION("""COMPUTED_VALUE"""),279.3)</f>
        <v>279.3</v>
      </c>
      <c r="K1621" s="1">
        <f>IFERROR(__xludf.DUMMYFUNCTION("""COMPUTED_VALUE"""),279.3)</f>
        <v>279.3</v>
      </c>
    </row>
    <row r="1622">
      <c r="A1622" s="1">
        <f>IFERROR(__xludf.DUMMYFUNCTION("""COMPUTED_VALUE"""),1000.0)</f>
        <v>1000</v>
      </c>
      <c r="B1622" s="1">
        <f>IFERROR(__xludf.DUMMYFUNCTION("""COMPUTED_VALUE"""),184625.0)</f>
        <v>184625</v>
      </c>
      <c r="C1622" s="1">
        <f>IFERROR(__xludf.DUMMYFUNCTION("""COMPUTED_VALUE"""),2026.0)</f>
        <v>2026</v>
      </c>
      <c r="D1622" s="1">
        <f>IFERROR(__xludf.DUMMYFUNCTION("""COMPUTED_VALUE"""),46048.0)</f>
        <v>46048</v>
      </c>
      <c r="E1622" s="1" t="str">
        <f>IFERROR(__xludf.DUMMYFUNCTION("""COMPUTED_VALUE"""),"VF")</f>
        <v>VF</v>
      </c>
      <c r="F1622" s="1">
        <f>IFERROR(__xludf.DUMMYFUNCTION("""COMPUTED_VALUE"""),1.0)</f>
        <v>1</v>
      </c>
      <c r="G1622" s="1" t="str">
        <f>IFERROR(__xludf.DUMMYFUNCTION("""COMPUTED_VALUE"""),"PR005")</f>
        <v>PR005</v>
      </c>
      <c r="H1622" s="1" t="str">
        <f>IFERROR(__xludf.DUMMYFUNCTION("""COMPUTED_VALUE"""),"VD018")</f>
        <v>VD018</v>
      </c>
      <c r="I1622" s="1">
        <f>IFERROR(__xludf.DUMMYFUNCTION("""COMPUTED_VALUE"""),18.0)</f>
        <v>18</v>
      </c>
      <c r="J1622" s="1">
        <f>IFERROR(__xludf.DUMMYFUNCTION("""COMPUTED_VALUE"""),4958.89)</f>
        <v>4958.89</v>
      </c>
      <c r="K1622" s="1">
        <f>IFERROR(__xludf.DUMMYFUNCTION("""COMPUTED_VALUE"""),4958.89)</f>
        <v>4958.89</v>
      </c>
    </row>
    <row r="1623">
      <c r="A1623" s="1">
        <f>IFERROR(__xludf.DUMMYFUNCTION("""COMPUTED_VALUE"""),1000.0)</f>
        <v>1000</v>
      </c>
      <c r="B1623" s="1">
        <f>IFERROR(__xludf.DUMMYFUNCTION("""COMPUTED_VALUE"""),184625.0)</f>
        <v>184625</v>
      </c>
      <c r="C1623" s="1">
        <f>IFERROR(__xludf.DUMMYFUNCTION("""COMPUTED_VALUE"""),2026.0)</f>
        <v>2026</v>
      </c>
      <c r="D1623" s="1">
        <f>IFERROR(__xludf.DUMMYFUNCTION("""COMPUTED_VALUE"""),46048.0)</f>
        <v>46048</v>
      </c>
      <c r="E1623" s="1" t="str">
        <f>IFERROR(__xludf.DUMMYFUNCTION("""COMPUTED_VALUE"""),"VF")</f>
        <v>VF</v>
      </c>
      <c r="F1623" s="1">
        <f>IFERROR(__xludf.DUMMYFUNCTION("""COMPUTED_VALUE"""),2.0)</f>
        <v>2</v>
      </c>
      <c r="G1623" s="1" t="str">
        <f>IFERROR(__xludf.DUMMYFUNCTION("""COMPUTED_VALUE"""),"PR046")</f>
        <v>PR046</v>
      </c>
      <c r="H1623" s="1" t="str">
        <f>IFERROR(__xludf.DUMMYFUNCTION("""COMPUTED_VALUE"""),"VD034")</f>
        <v>VD034</v>
      </c>
      <c r="I1623" s="1">
        <f>IFERROR(__xludf.DUMMYFUNCTION("""COMPUTED_VALUE"""),20.0)</f>
        <v>20</v>
      </c>
      <c r="J1623" s="1">
        <f>IFERROR(__xludf.DUMMYFUNCTION("""COMPUTED_VALUE"""),6261.84)</f>
        <v>6261.84</v>
      </c>
      <c r="K1623" s="1">
        <f>IFERROR(__xludf.DUMMYFUNCTION("""COMPUTED_VALUE"""),6261.84)</f>
        <v>6261.84</v>
      </c>
    </row>
    <row r="1624">
      <c r="A1624" s="1">
        <f>IFERROR(__xludf.DUMMYFUNCTION("""COMPUTED_VALUE"""),1000.0)</f>
        <v>1000</v>
      </c>
      <c r="B1624" s="1">
        <f>IFERROR(__xludf.DUMMYFUNCTION("""COMPUTED_VALUE"""),184626.0)</f>
        <v>184626</v>
      </c>
      <c r="C1624" s="1">
        <f>IFERROR(__xludf.DUMMYFUNCTION("""COMPUTED_VALUE"""),2026.0)</f>
        <v>2026</v>
      </c>
      <c r="D1624" s="1">
        <f>IFERROR(__xludf.DUMMYFUNCTION("""COMPUTED_VALUE"""),46048.0)</f>
        <v>46048</v>
      </c>
      <c r="E1624" s="1" t="str">
        <f>IFERROR(__xludf.DUMMYFUNCTION("""COMPUTED_VALUE"""),"VF")</f>
        <v>VF</v>
      </c>
      <c r="F1624" s="1">
        <f>IFERROR(__xludf.DUMMYFUNCTION("""COMPUTED_VALUE"""),1.0)</f>
        <v>1</v>
      </c>
      <c r="G1624" s="1" t="str">
        <f>IFERROR(__xludf.DUMMYFUNCTION("""COMPUTED_VALUE"""),"PR001")</f>
        <v>PR001</v>
      </c>
      <c r="H1624" s="1" t="str">
        <f>IFERROR(__xludf.DUMMYFUNCTION("""COMPUTED_VALUE"""),"VD041")</f>
        <v>VD041</v>
      </c>
      <c r="I1624" s="1">
        <f>IFERROR(__xludf.DUMMYFUNCTION("""COMPUTED_VALUE"""),10.0)</f>
        <v>10</v>
      </c>
      <c r="J1624" s="1">
        <f>IFERROR(__xludf.DUMMYFUNCTION("""COMPUTED_VALUE"""),705.13)</f>
        <v>705.13</v>
      </c>
      <c r="K1624" s="1">
        <f>IFERROR(__xludf.DUMMYFUNCTION("""COMPUTED_VALUE"""),705.13)</f>
        <v>705.13</v>
      </c>
    </row>
    <row r="1625">
      <c r="A1625" s="1">
        <f>IFERROR(__xludf.DUMMYFUNCTION("""COMPUTED_VALUE"""),1000.0)</f>
        <v>1000</v>
      </c>
      <c r="B1625" s="1">
        <f>IFERROR(__xludf.DUMMYFUNCTION("""COMPUTED_VALUE"""),184626.0)</f>
        <v>184626</v>
      </c>
      <c r="C1625" s="1">
        <f>IFERROR(__xludf.DUMMYFUNCTION("""COMPUTED_VALUE"""),2026.0)</f>
        <v>2026</v>
      </c>
      <c r="D1625" s="1">
        <f>IFERROR(__xludf.DUMMYFUNCTION("""COMPUTED_VALUE"""),46048.0)</f>
        <v>46048</v>
      </c>
      <c r="E1625" s="1" t="str">
        <f>IFERROR(__xludf.DUMMYFUNCTION("""COMPUTED_VALUE"""),"VF")</f>
        <v>VF</v>
      </c>
      <c r="F1625" s="1">
        <f>IFERROR(__xludf.DUMMYFUNCTION("""COMPUTED_VALUE"""),2.0)</f>
        <v>2</v>
      </c>
      <c r="G1625" s="1" t="str">
        <f>IFERROR(__xludf.DUMMYFUNCTION("""COMPUTED_VALUE"""),"PR037")</f>
        <v>PR037</v>
      </c>
      <c r="H1625" s="1" t="str">
        <f>IFERROR(__xludf.DUMMYFUNCTION("""COMPUTED_VALUE"""),"VD028")</f>
        <v>VD028</v>
      </c>
      <c r="I1625" s="1">
        <f>IFERROR(__xludf.DUMMYFUNCTION("""COMPUTED_VALUE"""),12.0)</f>
        <v>12</v>
      </c>
      <c r="J1625" s="1">
        <f>IFERROR(__xludf.DUMMYFUNCTION("""COMPUTED_VALUE"""),1680.0)</f>
        <v>1680</v>
      </c>
      <c r="K1625" s="1">
        <f>IFERROR(__xludf.DUMMYFUNCTION("""COMPUTED_VALUE"""),1680.0)</f>
        <v>1680</v>
      </c>
    </row>
    <row r="1626">
      <c r="A1626" s="1">
        <f>IFERROR(__xludf.DUMMYFUNCTION("""COMPUTED_VALUE"""),1000.0)</f>
        <v>1000</v>
      </c>
      <c r="B1626" s="1">
        <f>IFERROR(__xludf.DUMMYFUNCTION("""COMPUTED_VALUE"""),184627.0)</f>
        <v>184627</v>
      </c>
      <c r="C1626" s="1">
        <f>IFERROR(__xludf.DUMMYFUNCTION("""COMPUTED_VALUE"""),2026.0)</f>
        <v>2026</v>
      </c>
      <c r="D1626" s="1">
        <f>IFERROR(__xludf.DUMMYFUNCTION("""COMPUTED_VALUE"""),46048.0)</f>
        <v>46048</v>
      </c>
      <c r="E1626" s="1" t="str">
        <f>IFERROR(__xludf.DUMMYFUNCTION("""COMPUTED_VALUE"""),"VF")</f>
        <v>VF</v>
      </c>
      <c r="F1626" s="1">
        <f>IFERROR(__xludf.DUMMYFUNCTION("""COMPUTED_VALUE"""),1.0)</f>
        <v>1</v>
      </c>
      <c r="G1626" s="1" t="str">
        <f>IFERROR(__xludf.DUMMYFUNCTION("""COMPUTED_VALUE"""),"PR036")</f>
        <v>PR036</v>
      </c>
      <c r="H1626" s="1" t="str">
        <f>IFERROR(__xludf.DUMMYFUNCTION("""COMPUTED_VALUE"""),"VD038")</f>
        <v>VD038</v>
      </c>
      <c r="I1626" s="1">
        <f>IFERROR(__xludf.DUMMYFUNCTION("""COMPUTED_VALUE"""),4.0)</f>
        <v>4</v>
      </c>
      <c r="J1626" s="1">
        <f>IFERROR(__xludf.DUMMYFUNCTION("""COMPUTED_VALUE"""),388.96)</f>
        <v>388.96</v>
      </c>
      <c r="K1626" s="1">
        <f>IFERROR(__xludf.DUMMYFUNCTION("""COMPUTED_VALUE"""),388.96)</f>
        <v>388.96</v>
      </c>
    </row>
    <row r="1627">
      <c r="A1627" s="1">
        <f>IFERROR(__xludf.DUMMYFUNCTION("""COMPUTED_VALUE"""),1000.0)</f>
        <v>1000</v>
      </c>
      <c r="B1627" s="1">
        <f>IFERROR(__xludf.DUMMYFUNCTION("""COMPUTED_VALUE"""),184628.0)</f>
        <v>184628</v>
      </c>
      <c r="C1627" s="1">
        <f>IFERROR(__xludf.DUMMYFUNCTION("""COMPUTED_VALUE"""),2026.0)</f>
        <v>2026</v>
      </c>
      <c r="D1627" s="1">
        <f>IFERROR(__xludf.DUMMYFUNCTION("""COMPUTED_VALUE"""),46048.0)</f>
        <v>46048</v>
      </c>
      <c r="E1627" s="1" t="str">
        <f>IFERROR(__xludf.DUMMYFUNCTION("""COMPUTED_VALUE"""),"VF")</f>
        <v>VF</v>
      </c>
      <c r="F1627" s="1">
        <f>IFERROR(__xludf.DUMMYFUNCTION("""COMPUTED_VALUE"""),1.0)</f>
        <v>1</v>
      </c>
      <c r="G1627" s="1" t="str">
        <f>IFERROR(__xludf.DUMMYFUNCTION("""COMPUTED_VALUE"""),"PR035")</f>
        <v>PR035</v>
      </c>
      <c r="H1627" s="1" t="str">
        <f>IFERROR(__xludf.DUMMYFUNCTION("""COMPUTED_VALUE"""),"VD018")</f>
        <v>VD018</v>
      </c>
      <c r="I1627" s="1">
        <f>IFERROR(__xludf.DUMMYFUNCTION("""COMPUTED_VALUE"""),6.0)</f>
        <v>6</v>
      </c>
      <c r="J1627" s="1">
        <f>IFERROR(__xludf.DUMMYFUNCTION("""COMPUTED_VALUE"""),548.4)</f>
        <v>548.4</v>
      </c>
      <c r="K1627" s="1">
        <f>IFERROR(__xludf.DUMMYFUNCTION("""COMPUTED_VALUE"""),548.4)</f>
        <v>548.4</v>
      </c>
    </row>
    <row r="1628">
      <c r="A1628" s="1">
        <f>IFERROR(__xludf.DUMMYFUNCTION("""COMPUTED_VALUE"""),1000.0)</f>
        <v>1000</v>
      </c>
      <c r="B1628" s="1">
        <f>IFERROR(__xludf.DUMMYFUNCTION("""COMPUTED_VALUE"""),184629.0)</f>
        <v>184629</v>
      </c>
      <c r="C1628" s="1">
        <f>IFERROR(__xludf.DUMMYFUNCTION("""COMPUTED_VALUE"""),2026.0)</f>
        <v>2026</v>
      </c>
      <c r="D1628" s="1">
        <f>IFERROR(__xludf.DUMMYFUNCTION("""COMPUTED_VALUE"""),46047.0)</f>
        <v>46047</v>
      </c>
      <c r="E1628" s="1" t="str">
        <f>IFERROR(__xludf.DUMMYFUNCTION("""COMPUTED_VALUE"""),"VF")</f>
        <v>VF</v>
      </c>
      <c r="F1628" s="1">
        <f>IFERROR(__xludf.DUMMYFUNCTION("""COMPUTED_VALUE"""),1.0)</f>
        <v>1</v>
      </c>
      <c r="G1628" s="1" t="str">
        <f>IFERROR(__xludf.DUMMYFUNCTION("""COMPUTED_VALUE"""),"PR057")</f>
        <v>PR057</v>
      </c>
      <c r="H1628" s="1" t="str">
        <f>IFERROR(__xludf.DUMMYFUNCTION("""COMPUTED_VALUE"""),"VD014")</f>
        <v>VD014</v>
      </c>
      <c r="I1628" s="1">
        <f>IFERROR(__xludf.DUMMYFUNCTION("""COMPUTED_VALUE"""),3.0)</f>
        <v>3</v>
      </c>
      <c r="J1628" s="1">
        <f>IFERROR(__xludf.DUMMYFUNCTION("""COMPUTED_VALUE"""),285.88)</f>
        <v>285.88</v>
      </c>
      <c r="K1628" s="1">
        <f>IFERROR(__xludf.DUMMYFUNCTION("""COMPUTED_VALUE"""),285.88)</f>
        <v>285.88</v>
      </c>
    </row>
    <row r="1629">
      <c r="A1629" s="1">
        <f>IFERROR(__xludf.DUMMYFUNCTION("""COMPUTED_VALUE"""),2000.0)</f>
        <v>2000</v>
      </c>
      <c r="B1629" s="1">
        <f>IFERROR(__xludf.DUMMYFUNCTION("""COMPUTED_VALUE"""),184630.0)</f>
        <v>184630</v>
      </c>
      <c r="C1629" s="1">
        <f>IFERROR(__xludf.DUMMYFUNCTION("""COMPUTED_VALUE"""),2026.0)</f>
        <v>2026</v>
      </c>
      <c r="D1629" s="1">
        <f>IFERROR(__xludf.DUMMYFUNCTION("""COMPUTED_VALUE"""),46047.0)</f>
        <v>46047</v>
      </c>
      <c r="E1629" s="1" t="str">
        <f>IFERROR(__xludf.DUMMYFUNCTION("""COMPUTED_VALUE"""),"VF")</f>
        <v>VF</v>
      </c>
      <c r="F1629" s="1">
        <f>IFERROR(__xludf.DUMMYFUNCTION("""COMPUTED_VALUE"""),1.0)</f>
        <v>1</v>
      </c>
      <c r="G1629" s="1" t="str">
        <f>IFERROR(__xludf.DUMMYFUNCTION("""COMPUTED_VALUE"""),"PR033")</f>
        <v>PR033</v>
      </c>
      <c r="H1629" s="1" t="str">
        <f>IFERROR(__xludf.DUMMYFUNCTION("""COMPUTED_VALUE"""),"VD043")</f>
        <v>VD043</v>
      </c>
      <c r="I1629" s="1">
        <f>IFERROR(__xludf.DUMMYFUNCTION("""COMPUTED_VALUE"""),20.0)</f>
        <v>20</v>
      </c>
      <c r="J1629" s="1">
        <f>IFERROR(__xludf.DUMMYFUNCTION("""COMPUTED_VALUE"""),5717.8)</f>
        <v>5717.8</v>
      </c>
      <c r="K1629" s="1">
        <f>IFERROR(__xludf.DUMMYFUNCTION("""COMPUTED_VALUE"""),5717.8)</f>
        <v>5717.8</v>
      </c>
    </row>
    <row r="1630">
      <c r="A1630" s="1">
        <f>IFERROR(__xludf.DUMMYFUNCTION("""COMPUTED_VALUE"""),1000.0)</f>
        <v>1000</v>
      </c>
      <c r="B1630" s="1">
        <f>IFERROR(__xludf.DUMMYFUNCTION("""COMPUTED_VALUE"""),184631.0)</f>
        <v>184631</v>
      </c>
      <c r="C1630" s="1">
        <f>IFERROR(__xludf.DUMMYFUNCTION("""COMPUTED_VALUE"""),2026.0)</f>
        <v>2026</v>
      </c>
      <c r="D1630" s="1">
        <f>IFERROR(__xludf.DUMMYFUNCTION("""COMPUTED_VALUE"""),46047.0)</f>
        <v>46047</v>
      </c>
      <c r="E1630" s="1" t="str">
        <f>IFERROR(__xludf.DUMMYFUNCTION("""COMPUTED_VALUE"""),"VF")</f>
        <v>VF</v>
      </c>
      <c r="F1630" s="1">
        <f>IFERROR(__xludf.DUMMYFUNCTION("""COMPUTED_VALUE"""),1.0)</f>
        <v>1</v>
      </c>
      <c r="G1630" s="1" t="str">
        <f>IFERROR(__xludf.DUMMYFUNCTION("""COMPUTED_VALUE"""),"PR041")</f>
        <v>PR041</v>
      </c>
      <c r="H1630" s="1" t="str">
        <f>IFERROR(__xludf.DUMMYFUNCTION("""COMPUTED_VALUE"""),"VD022")</f>
        <v>VD022</v>
      </c>
      <c r="I1630" s="1">
        <f>IFERROR(__xludf.DUMMYFUNCTION("""COMPUTED_VALUE"""),6.0)</f>
        <v>6</v>
      </c>
      <c r="J1630" s="1">
        <f>IFERROR(__xludf.DUMMYFUNCTION("""COMPUTED_VALUE"""),345.87)</f>
        <v>345.87</v>
      </c>
      <c r="K1630" s="1">
        <f>IFERROR(__xludf.DUMMYFUNCTION("""COMPUTED_VALUE"""),345.87)</f>
        <v>345.87</v>
      </c>
    </row>
    <row r="1631">
      <c r="A1631" s="1">
        <f>IFERROR(__xludf.DUMMYFUNCTION("""COMPUTED_VALUE"""),1000.0)</f>
        <v>1000</v>
      </c>
      <c r="B1631" s="1">
        <f>IFERROR(__xludf.DUMMYFUNCTION("""COMPUTED_VALUE"""),184632.0)</f>
        <v>184632</v>
      </c>
      <c r="C1631" s="1">
        <f>IFERROR(__xludf.DUMMYFUNCTION("""COMPUTED_VALUE"""),2026.0)</f>
        <v>2026</v>
      </c>
      <c r="D1631" s="1">
        <f>IFERROR(__xludf.DUMMYFUNCTION("""COMPUTED_VALUE"""),46046.0)</f>
        <v>46046</v>
      </c>
      <c r="E1631" s="1" t="str">
        <f>IFERROR(__xludf.DUMMYFUNCTION("""COMPUTED_VALUE"""),"VF")</f>
        <v>VF</v>
      </c>
      <c r="F1631" s="1">
        <f>IFERROR(__xludf.DUMMYFUNCTION("""COMPUTED_VALUE"""),1.0)</f>
        <v>1</v>
      </c>
      <c r="G1631" s="1" t="str">
        <f>IFERROR(__xludf.DUMMYFUNCTION("""COMPUTED_VALUE"""),"PR010")</f>
        <v>PR010</v>
      </c>
      <c r="H1631" s="1" t="str">
        <f>IFERROR(__xludf.DUMMYFUNCTION("""COMPUTED_VALUE"""),"VD030")</f>
        <v>VD030</v>
      </c>
      <c r="I1631" s="1">
        <f>IFERROR(__xludf.DUMMYFUNCTION("""COMPUTED_VALUE"""),4.0)</f>
        <v>4</v>
      </c>
      <c r="J1631" s="1">
        <f>IFERROR(__xludf.DUMMYFUNCTION("""COMPUTED_VALUE"""),183.19)</f>
        <v>183.19</v>
      </c>
      <c r="K1631" s="1">
        <f>IFERROR(__xludf.DUMMYFUNCTION("""COMPUTED_VALUE"""),183.19)</f>
        <v>183.19</v>
      </c>
    </row>
    <row r="1632">
      <c r="A1632" s="1">
        <f>IFERROR(__xludf.DUMMYFUNCTION("""COMPUTED_VALUE"""),1000.0)</f>
        <v>1000</v>
      </c>
      <c r="B1632" s="1">
        <f>IFERROR(__xludf.DUMMYFUNCTION("""COMPUTED_VALUE"""),184633.0)</f>
        <v>184633</v>
      </c>
      <c r="C1632" s="1">
        <f>IFERROR(__xludf.DUMMYFUNCTION("""COMPUTED_VALUE"""),2026.0)</f>
        <v>2026</v>
      </c>
      <c r="D1632" s="1">
        <f>IFERROR(__xludf.DUMMYFUNCTION("""COMPUTED_VALUE"""),46046.0)</f>
        <v>46046</v>
      </c>
      <c r="E1632" s="1" t="str">
        <f>IFERROR(__xludf.DUMMYFUNCTION("""COMPUTED_VALUE"""),"VF")</f>
        <v>VF</v>
      </c>
      <c r="F1632" s="1">
        <f>IFERROR(__xludf.DUMMYFUNCTION("""COMPUTED_VALUE"""),1.0)</f>
        <v>1</v>
      </c>
      <c r="G1632" s="1" t="str">
        <f>IFERROR(__xludf.DUMMYFUNCTION("""COMPUTED_VALUE"""),"PR026")</f>
        <v>PR026</v>
      </c>
      <c r="H1632" s="1" t="str">
        <f>IFERROR(__xludf.DUMMYFUNCTION("""COMPUTED_VALUE"""),"VD010")</f>
        <v>VD010</v>
      </c>
      <c r="I1632" s="1">
        <f>IFERROR(__xludf.DUMMYFUNCTION("""COMPUTED_VALUE"""),16.0)</f>
        <v>16</v>
      </c>
      <c r="J1632" s="1">
        <f>IFERROR(__xludf.DUMMYFUNCTION("""COMPUTED_VALUE"""),6102.26)</f>
        <v>6102.26</v>
      </c>
      <c r="K1632" s="1">
        <f>IFERROR(__xludf.DUMMYFUNCTION("""COMPUTED_VALUE"""),6102.26)</f>
        <v>6102.26</v>
      </c>
    </row>
    <row r="1633">
      <c r="A1633" s="1">
        <f>IFERROR(__xludf.DUMMYFUNCTION("""COMPUTED_VALUE"""),1000.0)</f>
        <v>1000</v>
      </c>
      <c r="B1633" s="1">
        <f>IFERROR(__xludf.DUMMYFUNCTION("""COMPUTED_VALUE"""),184634.0)</f>
        <v>184634</v>
      </c>
      <c r="C1633" s="1">
        <f>IFERROR(__xludf.DUMMYFUNCTION("""COMPUTED_VALUE"""),2026.0)</f>
        <v>2026</v>
      </c>
      <c r="D1633" s="1">
        <f>IFERROR(__xludf.DUMMYFUNCTION("""COMPUTED_VALUE"""),46045.0)</f>
        <v>46045</v>
      </c>
      <c r="E1633" s="1" t="str">
        <f>IFERROR(__xludf.DUMMYFUNCTION("""COMPUTED_VALUE"""),"VF")</f>
        <v>VF</v>
      </c>
      <c r="F1633" s="1">
        <f>IFERROR(__xludf.DUMMYFUNCTION("""COMPUTED_VALUE"""),1.0)</f>
        <v>1</v>
      </c>
      <c r="G1633" s="1" t="str">
        <f>IFERROR(__xludf.DUMMYFUNCTION("""COMPUTED_VALUE"""),"PR052")</f>
        <v>PR052</v>
      </c>
      <c r="H1633" s="1" t="str">
        <f>IFERROR(__xludf.DUMMYFUNCTION("""COMPUTED_VALUE"""),"VD043")</f>
        <v>VD043</v>
      </c>
      <c r="I1633" s="1">
        <f>IFERROR(__xludf.DUMMYFUNCTION("""COMPUTED_VALUE"""),1.0)</f>
        <v>1</v>
      </c>
      <c r="J1633" s="1">
        <f>IFERROR(__xludf.DUMMYFUNCTION("""COMPUTED_VALUE"""),54.89)</f>
        <v>54.89</v>
      </c>
      <c r="K1633" s="1">
        <f>IFERROR(__xludf.DUMMYFUNCTION("""COMPUTED_VALUE"""),54.89)</f>
        <v>54.89</v>
      </c>
    </row>
    <row r="1634">
      <c r="A1634" s="1">
        <f>IFERROR(__xludf.DUMMYFUNCTION("""COMPUTED_VALUE"""),1000.0)</f>
        <v>1000</v>
      </c>
      <c r="B1634" s="1">
        <f>IFERROR(__xludf.DUMMYFUNCTION("""COMPUTED_VALUE"""),184635.0)</f>
        <v>184635</v>
      </c>
      <c r="C1634" s="1">
        <f>IFERROR(__xludf.DUMMYFUNCTION("""COMPUTED_VALUE"""),2026.0)</f>
        <v>2026</v>
      </c>
      <c r="D1634" s="1">
        <f>IFERROR(__xludf.DUMMYFUNCTION("""COMPUTED_VALUE"""),46045.0)</f>
        <v>46045</v>
      </c>
      <c r="E1634" s="1" t="str">
        <f>IFERROR(__xludf.DUMMYFUNCTION("""COMPUTED_VALUE"""),"VF")</f>
        <v>VF</v>
      </c>
      <c r="F1634" s="1">
        <f>IFERROR(__xludf.DUMMYFUNCTION("""COMPUTED_VALUE"""),1.0)</f>
        <v>1</v>
      </c>
      <c r="G1634" s="1" t="str">
        <f>IFERROR(__xludf.DUMMYFUNCTION("""COMPUTED_VALUE"""),"PR015")</f>
        <v>PR015</v>
      </c>
      <c r="H1634" s="1" t="str">
        <f>IFERROR(__xludf.DUMMYFUNCTION("""COMPUTED_VALUE"""),"VD041")</f>
        <v>VD041</v>
      </c>
      <c r="I1634" s="1">
        <f>IFERROR(__xludf.DUMMYFUNCTION("""COMPUTED_VALUE"""),4.0)</f>
        <v>4</v>
      </c>
      <c r="J1634" s="1">
        <f>IFERROR(__xludf.DUMMYFUNCTION("""COMPUTED_VALUE"""),187.0)</f>
        <v>187</v>
      </c>
      <c r="K1634" s="1">
        <f>IFERROR(__xludf.DUMMYFUNCTION("""COMPUTED_VALUE"""),187.0)</f>
        <v>187</v>
      </c>
    </row>
    <row r="1635">
      <c r="A1635" s="1">
        <f>IFERROR(__xludf.DUMMYFUNCTION("""COMPUTED_VALUE"""),2000.0)</f>
        <v>2000</v>
      </c>
      <c r="B1635" s="1">
        <f>IFERROR(__xludf.DUMMYFUNCTION("""COMPUTED_VALUE"""),184636.0)</f>
        <v>184636</v>
      </c>
      <c r="C1635" s="1">
        <f>IFERROR(__xludf.DUMMYFUNCTION("""COMPUTED_VALUE"""),2026.0)</f>
        <v>2026</v>
      </c>
      <c r="D1635" s="1">
        <f>IFERROR(__xludf.DUMMYFUNCTION("""COMPUTED_VALUE"""),46044.0)</f>
        <v>46044</v>
      </c>
      <c r="E1635" s="1" t="str">
        <f>IFERROR(__xludf.DUMMYFUNCTION("""COMPUTED_VALUE"""),"VF")</f>
        <v>VF</v>
      </c>
      <c r="F1635" s="1">
        <f>IFERROR(__xludf.DUMMYFUNCTION("""COMPUTED_VALUE"""),1.0)</f>
        <v>1</v>
      </c>
      <c r="G1635" s="1" t="str">
        <f>IFERROR(__xludf.DUMMYFUNCTION("""COMPUTED_VALUE"""),"PR034")</f>
        <v>PR034</v>
      </c>
      <c r="H1635" s="1" t="str">
        <f>IFERROR(__xludf.DUMMYFUNCTION("""COMPUTED_VALUE"""),"VD020")</f>
        <v>VD020</v>
      </c>
      <c r="I1635" s="1">
        <f>IFERROR(__xludf.DUMMYFUNCTION("""COMPUTED_VALUE"""),3.0)</f>
        <v>3</v>
      </c>
      <c r="J1635" s="1">
        <f>IFERROR(__xludf.DUMMYFUNCTION("""COMPUTED_VALUE"""),272.4)</f>
        <v>272.4</v>
      </c>
      <c r="K1635" s="1">
        <f>IFERROR(__xludf.DUMMYFUNCTION("""COMPUTED_VALUE"""),272.4)</f>
        <v>272.4</v>
      </c>
    </row>
    <row r="1636">
      <c r="A1636" s="1">
        <f>IFERROR(__xludf.DUMMYFUNCTION("""COMPUTED_VALUE"""),1000.0)</f>
        <v>1000</v>
      </c>
      <c r="B1636" s="1">
        <f>IFERROR(__xludf.DUMMYFUNCTION("""COMPUTED_VALUE"""),184637.0)</f>
        <v>184637</v>
      </c>
      <c r="C1636" s="1">
        <f>IFERROR(__xludf.DUMMYFUNCTION("""COMPUTED_VALUE"""),2026.0)</f>
        <v>2026</v>
      </c>
      <c r="D1636" s="1">
        <f>IFERROR(__xludf.DUMMYFUNCTION("""COMPUTED_VALUE"""),46044.0)</f>
        <v>46044</v>
      </c>
      <c r="E1636" s="1" t="str">
        <f>IFERROR(__xludf.DUMMYFUNCTION("""COMPUTED_VALUE"""),"VF")</f>
        <v>VF</v>
      </c>
      <c r="F1636" s="1">
        <f>IFERROR(__xludf.DUMMYFUNCTION("""COMPUTED_VALUE"""),1.0)</f>
        <v>1</v>
      </c>
      <c r="G1636" s="1" t="str">
        <f>IFERROR(__xludf.DUMMYFUNCTION("""COMPUTED_VALUE"""),"PR013")</f>
        <v>PR013</v>
      </c>
      <c r="H1636" s="1" t="str">
        <f>IFERROR(__xludf.DUMMYFUNCTION("""COMPUTED_VALUE"""),"VD044")</f>
        <v>VD044</v>
      </c>
      <c r="I1636" s="1">
        <f>IFERROR(__xludf.DUMMYFUNCTION("""COMPUTED_VALUE"""),2.0)</f>
        <v>2</v>
      </c>
      <c r="J1636" s="1">
        <f>IFERROR(__xludf.DUMMYFUNCTION("""COMPUTED_VALUE"""),84.59)</f>
        <v>84.59</v>
      </c>
      <c r="K1636" s="1">
        <f>IFERROR(__xludf.DUMMYFUNCTION("""COMPUTED_VALUE"""),84.59)</f>
        <v>84.59</v>
      </c>
    </row>
    <row r="1637">
      <c r="A1637" s="1">
        <f>IFERROR(__xludf.DUMMYFUNCTION("""COMPUTED_VALUE"""),2000.0)</f>
        <v>2000</v>
      </c>
      <c r="B1637" s="1">
        <f>IFERROR(__xludf.DUMMYFUNCTION("""COMPUTED_VALUE"""),184638.0)</f>
        <v>184638</v>
      </c>
      <c r="C1637" s="1">
        <f>IFERROR(__xludf.DUMMYFUNCTION("""COMPUTED_VALUE"""),2026.0)</f>
        <v>2026</v>
      </c>
      <c r="D1637" s="1">
        <f>IFERROR(__xludf.DUMMYFUNCTION("""COMPUTED_VALUE"""),46043.0)</f>
        <v>46043</v>
      </c>
      <c r="E1637" s="1" t="str">
        <f>IFERROR(__xludf.DUMMYFUNCTION("""COMPUTED_VALUE"""),"VF")</f>
        <v>VF</v>
      </c>
      <c r="F1637" s="1">
        <f>IFERROR(__xludf.DUMMYFUNCTION("""COMPUTED_VALUE"""),1.0)</f>
        <v>1</v>
      </c>
      <c r="G1637" s="1" t="str">
        <f>IFERROR(__xludf.DUMMYFUNCTION("""COMPUTED_VALUE"""),"PR054")</f>
        <v>PR054</v>
      </c>
      <c r="H1637" s="1" t="str">
        <f>IFERROR(__xludf.DUMMYFUNCTION("""COMPUTED_VALUE"""),"VD031")</f>
        <v>VD031</v>
      </c>
      <c r="I1637" s="1">
        <f>IFERROR(__xludf.DUMMYFUNCTION("""COMPUTED_VALUE"""),6.0)</f>
        <v>6</v>
      </c>
      <c r="J1637" s="1">
        <f>IFERROR(__xludf.DUMMYFUNCTION("""COMPUTED_VALUE"""),305.39)</f>
        <v>305.39</v>
      </c>
      <c r="K1637" s="1">
        <f>IFERROR(__xludf.DUMMYFUNCTION("""COMPUTED_VALUE"""),305.39)</f>
        <v>305.39</v>
      </c>
    </row>
    <row r="1638">
      <c r="A1638" s="1">
        <f>IFERROR(__xludf.DUMMYFUNCTION("""COMPUTED_VALUE"""),1000.0)</f>
        <v>1000</v>
      </c>
      <c r="B1638" s="1">
        <f>IFERROR(__xludf.DUMMYFUNCTION("""COMPUTED_VALUE"""),184639.0)</f>
        <v>184639</v>
      </c>
      <c r="C1638" s="1">
        <f>IFERROR(__xludf.DUMMYFUNCTION("""COMPUTED_VALUE"""),2026.0)</f>
        <v>2026</v>
      </c>
      <c r="D1638" s="1">
        <f>IFERROR(__xludf.DUMMYFUNCTION("""COMPUTED_VALUE"""),46043.0)</f>
        <v>46043</v>
      </c>
      <c r="E1638" s="1" t="str">
        <f>IFERROR(__xludf.DUMMYFUNCTION("""COMPUTED_VALUE"""),"VF")</f>
        <v>VF</v>
      </c>
      <c r="F1638" s="1">
        <f>IFERROR(__xludf.DUMMYFUNCTION("""COMPUTED_VALUE"""),1.0)</f>
        <v>1</v>
      </c>
      <c r="G1638" s="1" t="str">
        <f>IFERROR(__xludf.DUMMYFUNCTION("""COMPUTED_VALUE"""),"PR005")</f>
        <v>PR005</v>
      </c>
      <c r="H1638" s="1" t="str">
        <f>IFERROR(__xludf.DUMMYFUNCTION("""COMPUTED_VALUE"""),"VD039")</f>
        <v>VD039</v>
      </c>
      <c r="I1638" s="1">
        <f>IFERROR(__xludf.DUMMYFUNCTION("""COMPUTED_VALUE"""),10.0)</f>
        <v>10</v>
      </c>
      <c r="J1638" s="1">
        <f>IFERROR(__xludf.DUMMYFUNCTION("""COMPUTED_VALUE"""),2806.92)</f>
        <v>2806.92</v>
      </c>
      <c r="K1638" s="1">
        <f>IFERROR(__xludf.DUMMYFUNCTION("""COMPUTED_VALUE"""),2806.92)</f>
        <v>2806.92</v>
      </c>
    </row>
    <row r="1639">
      <c r="A1639" s="1">
        <f>IFERROR(__xludf.DUMMYFUNCTION("""COMPUTED_VALUE"""),1000.0)</f>
        <v>1000</v>
      </c>
      <c r="B1639" s="1">
        <f>IFERROR(__xludf.DUMMYFUNCTION("""COMPUTED_VALUE"""),184640.0)</f>
        <v>184640</v>
      </c>
      <c r="C1639" s="1">
        <f>IFERROR(__xludf.DUMMYFUNCTION("""COMPUTED_VALUE"""),2026.0)</f>
        <v>2026</v>
      </c>
      <c r="D1639" s="1">
        <f>IFERROR(__xludf.DUMMYFUNCTION("""COMPUTED_VALUE"""),46043.0)</f>
        <v>46043</v>
      </c>
      <c r="E1639" s="1" t="str">
        <f>IFERROR(__xludf.DUMMYFUNCTION("""COMPUTED_VALUE"""),"VF")</f>
        <v>VF</v>
      </c>
      <c r="F1639" s="1">
        <f>IFERROR(__xludf.DUMMYFUNCTION("""COMPUTED_VALUE"""),1.0)</f>
        <v>1</v>
      </c>
      <c r="G1639" s="1" t="str">
        <f>IFERROR(__xludf.DUMMYFUNCTION("""COMPUTED_VALUE"""),"PR046")</f>
        <v>PR046</v>
      </c>
      <c r="H1639" s="1" t="str">
        <f>IFERROR(__xludf.DUMMYFUNCTION("""COMPUTED_VALUE"""),"VD027")</f>
        <v>VD027</v>
      </c>
      <c r="I1639" s="1">
        <f>IFERROR(__xludf.DUMMYFUNCTION("""COMPUTED_VALUE"""),14.0)</f>
        <v>14</v>
      </c>
      <c r="J1639" s="1">
        <f>IFERROR(__xludf.DUMMYFUNCTION("""COMPUTED_VALUE"""),4383.29)</f>
        <v>4383.29</v>
      </c>
      <c r="K1639" s="1">
        <f>IFERROR(__xludf.DUMMYFUNCTION("""COMPUTED_VALUE"""),4383.29)</f>
        <v>4383.29</v>
      </c>
    </row>
    <row r="1640">
      <c r="A1640" s="1">
        <f>IFERROR(__xludf.DUMMYFUNCTION("""COMPUTED_VALUE"""),2000.0)</f>
        <v>2000</v>
      </c>
      <c r="B1640" s="1">
        <f>IFERROR(__xludf.DUMMYFUNCTION("""COMPUTED_VALUE"""),184640.0)</f>
        <v>184640</v>
      </c>
      <c r="C1640" s="1">
        <f>IFERROR(__xludf.DUMMYFUNCTION("""COMPUTED_VALUE"""),2026.0)</f>
        <v>2026</v>
      </c>
      <c r="D1640" s="1">
        <f>IFERROR(__xludf.DUMMYFUNCTION("""COMPUTED_VALUE"""),46043.0)</f>
        <v>46043</v>
      </c>
      <c r="E1640" s="1" t="str">
        <f>IFERROR(__xludf.DUMMYFUNCTION("""COMPUTED_VALUE"""),"VF")</f>
        <v>VF</v>
      </c>
      <c r="F1640" s="1">
        <f>IFERROR(__xludf.DUMMYFUNCTION("""COMPUTED_VALUE"""),2.0)</f>
        <v>2</v>
      </c>
      <c r="G1640" s="1" t="str">
        <f>IFERROR(__xludf.DUMMYFUNCTION("""COMPUTED_VALUE"""),"PR019")</f>
        <v>PR019</v>
      </c>
      <c r="H1640" s="1" t="str">
        <f>IFERROR(__xludf.DUMMYFUNCTION("""COMPUTED_VALUE"""),"VD015")</f>
        <v>VD015</v>
      </c>
      <c r="I1640" s="1">
        <f>IFERROR(__xludf.DUMMYFUNCTION("""COMPUTED_VALUE"""),9.0)</f>
        <v>9</v>
      </c>
      <c r="J1640" s="1">
        <f>IFERROR(__xludf.DUMMYFUNCTION("""COMPUTED_VALUE"""),485.03)</f>
        <v>485.03</v>
      </c>
      <c r="K1640" s="1">
        <f>IFERROR(__xludf.DUMMYFUNCTION("""COMPUTED_VALUE"""),485.03)</f>
        <v>485.03</v>
      </c>
    </row>
    <row r="1641">
      <c r="A1641" s="1">
        <f>IFERROR(__xludf.DUMMYFUNCTION("""COMPUTED_VALUE"""),1000.0)</f>
        <v>1000</v>
      </c>
      <c r="B1641" s="1">
        <f>IFERROR(__xludf.DUMMYFUNCTION("""COMPUTED_VALUE"""),184641.0)</f>
        <v>184641</v>
      </c>
      <c r="C1641" s="1">
        <f>IFERROR(__xludf.DUMMYFUNCTION("""COMPUTED_VALUE"""),2026.0)</f>
        <v>2026</v>
      </c>
      <c r="D1641" s="1">
        <f>IFERROR(__xludf.DUMMYFUNCTION("""COMPUTED_VALUE"""),46042.0)</f>
        <v>46042</v>
      </c>
      <c r="E1641" s="1" t="str">
        <f>IFERROR(__xludf.DUMMYFUNCTION("""COMPUTED_VALUE"""),"VF")</f>
        <v>VF</v>
      </c>
      <c r="F1641" s="1">
        <f>IFERROR(__xludf.DUMMYFUNCTION("""COMPUTED_VALUE"""),1.0)</f>
        <v>1</v>
      </c>
      <c r="G1641" s="1" t="str">
        <f>IFERROR(__xludf.DUMMYFUNCTION("""COMPUTED_VALUE"""),"PR047")</f>
        <v>PR047</v>
      </c>
      <c r="H1641" s="1" t="str">
        <f>IFERROR(__xludf.DUMMYFUNCTION("""COMPUTED_VALUE"""),"VD026")</f>
        <v>VD026</v>
      </c>
      <c r="I1641" s="1">
        <f>IFERROR(__xludf.DUMMYFUNCTION("""COMPUTED_VALUE"""),2.0)</f>
        <v>2</v>
      </c>
      <c r="J1641" s="1">
        <f>IFERROR(__xludf.DUMMYFUNCTION("""COMPUTED_VALUE"""),608.79)</f>
        <v>608.79</v>
      </c>
      <c r="K1641" s="1">
        <f>IFERROR(__xludf.DUMMYFUNCTION("""COMPUTED_VALUE"""),608.79)</f>
        <v>608.79</v>
      </c>
    </row>
    <row r="1642">
      <c r="A1642" s="1">
        <f>IFERROR(__xludf.DUMMYFUNCTION("""COMPUTED_VALUE"""),1000.0)</f>
        <v>1000</v>
      </c>
      <c r="B1642" s="1">
        <f>IFERROR(__xludf.DUMMYFUNCTION("""COMPUTED_VALUE"""),184642.0)</f>
        <v>184642</v>
      </c>
      <c r="C1642" s="1">
        <f>IFERROR(__xludf.DUMMYFUNCTION("""COMPUTED_VALUE"""),2026.0)</f>
        <v>2026</v>
      </c>
      <c r="D1642" s="1">
        <f>IFERROR(__xludf.DUMMYFUNCTION("""COMPUTED_VALUE"""),46042.0)</f>
        <v>46042</v>
      </c>
      <c r="E1642" s="1" t="str">
        <f>IFERROR(__xludf.DUMMYFUNCTION("""COMPUTED_VALUE"""),"VF")</f>
        <v>VF</v>
      </c>
      <c r="F1642" s="1">
        <f>IFERROR(__xludf.DUMMYFUNCTION("""COMPUTED_VALUE"""),1.0)</f>
        <v>1</v>
      </c>
      <c r="G1642" s="1" t="str">
        <f>IFERROR(__xludf.DUMMYFUNCTION("""COMPUTED_VALUE"""),"PR058")</f>
        <v>PR058</v>
      </c>
      <c r="H1642" s="1" t="str">
        <f>IFERROR(__xludf.DUMMYFUNCTION("""COMPUTED_VALUE"""),"VD037")</f>
        <v>VD037</v>
      </c>
      <c r="I1642" s="1">
        <f>IFERROR(__xludf.DUMMYFUNCTION("""COMPUTED_VALUE"""),16.0)</f>
        <v>16</v>
      </c>
      <c r="J1642" s="1">
        <f>IFERROR(__xludf.DUMMYFUNCTION("""COMPUTED_VALUE"""),3139.2)</f>
        <v>3139.2</v>
      </c>
      <c r="K1642" s="1">
        <f>IFERROR(__xludf.DUMMYFUNCTION("""COMPUTED_VALUE"""),3139.2)</f>
        <v>3139.2</v>
      </c>
    </row>
    <row r="1643">
      <c r="A1643" s="1">
        <f>IFERROR(__xludf.DUMMYFUNCTION("""COMPUTED_VALUE"""),1000.0)</f>
        <v>1000</v>
      </c>
      <c r="B1643" s="1">
        <f>IFERROR(__xludf.DUMMYFUNCTION("""COMPUTED_VALUE"""),184643.0)</f>
        <v>184643</v>
      </c>
      <c r="C1643" s="1">
        <f>IFERROR(__xludf.DUMMYFUNCTION("""COMPUTED_VALUE"""),2026.0)</f>
        <v>2026</v>
      </c>
      <c r="D1643" s="1">
        <f>IFERROR(__xludf.DUMMYFUNCTION("""COMPUTED_VALUE"""),46042.0)</f>
        <v>46042</v>
      </c>
      <c r="E1643" s="1" t="str">
        <f>IFERROR(__xludf.DUMMYFUNCTION("""COMPUTED_VALUE"""),"VF")</f>
        <v>VF</v>
      </c>
      <c r="F1643" s="1">
        <f>IFERROR(__xludf.DUMMYFUNCTION("""COMPUTED_VALUE"""),1.0)</f>
        <v>1</v>
      </c>
      <c r="G1643" s="1" t="str">
        <f>IFERROR(__xludf.DUMMYFUNCTION("""COMPUTED_VALUE"""),"PR030")</f>
        <v>PR030</v>
      </c>
      <c r="H1643" s="1" t="str">
        <f>IFERROR(__xludf.DUMMYFUNCTION("""COMPUTED_VALUE"""),"VD035")</f>
        <v>VD035</v>
      </c>
      <c r="I1643" s="1">
        <f>IFERROR(__xludf.DUMMYFUNCTION("""COMPUTED_VALUE"""),8.0)</f>
        <v>8</v>
      </c>
      <c r="J1643" s="1">
        <f>IFERROR(__xludf.DUMMYFUNCTION("""COMPUTED_VALUE"""),2287.12)</f>
        <v>2287.12</v>
      </c>
      <c r="K1643" s="1">
        <f>IFERROR(__xludf.DUMMYFUNCTION("""COMPUTED_VALUE"""),2287.12)</f>
        <v>2287.12</v>
      </c>
    </row>
    <row r="1644">
      <c r="A1644" s="1">
        <f>IFERROR(__xludf.DUMMYFUNCTION("""COMPUTED_VALUE"""),2000.0)</f>
        <v>2000</v>
      </c>
      <c r="B1644" s="1">
        <f>IFERROR(__xludf.DUMMYFUNCTION("""COMPUTED_VALUE"""),184644.0)</f>
        <v>184644</v>
      </c>
      <c r="C1644" s="1">
        <f>IFERROR(__xludf.DUMMYFUNCTION("""COMPUTED_VALUE"""),2026.0)</f>
        <v>2026</v>
      </c>
      <c r="D1644" s="1">
        <f>IFERROR(__xludf.DUMMYFUNCTION("""COMPUTED_VALUE"""),46042.0)</f>
        <v>46042</v>
      </c>
      <c r="E1644" s="1" t="str">
        <f>IFERROR(__xludf.DUMMYFUNCTION("""COMPUTED_VALUE"""),"VF")</f>
        <v>VF</v>
      </c>
      <c r="F1644" s="1">
        <f>IFERROR(__xludf.DUMMYFUNCTION("""COMPUTED_VALUE"""),1.0)</f>
        <v>1</v>
      </c>
      <c r="G1644" s="1" t="str">
        <f>IFERROR(__xludf.DUMMYFUNCTION("""COMPUTED_VALUE"""),"PR031")</f>
        <v>PR031</v>
      </c>
      <c r="H1644" s="1" t="str">
        <f>IFERROR(__xludf.DUMMYFUNCTION("""COMPUTED_VALUE"""),"VD043")</f>
        <v>VD043</v>
      </c>
      <c r="I1644" s="1">
        <f>IFERROR(__xludf.DUMMYFUNCTION("""COMPUTED_VALUE"""),20.0)</f>
        <v>20</v>
      </c>
      <c r="J1644" s="1">
        <f>IFERROR(__xludf.DUMMYFUNCTION("""COMPUTED_VALUE"""),5047.0)</f>
        <v>5047</v>
      </c>
      <c r="K1644" s="1">
        <f>IFERROR(__xludf.DUMMYFUNCTION("""COMPUTED_VALUE"""),5047.0)</f>
        <v>5047</v>
      </c>
    </row>
    <row r="1645">
      <c r="A1645" s="1">
        <f>IFERROR(__xludf.DUMMYFUNCTION("""COMPUTED_VALUE"""),2000.0)</f>
        <v>2000</v>
      </c>
      <c r="B1645" s="1">
        <f>IFERROR(__xludf.DUMMYFUNCTION("""COMPUTED_VALUE"""),184645.0)</f>
        <v>184645</v>
      </c>
      <c r="C1645" s="1">
        <f>IFERROR(__xludf.DUMMYFUNCTION("""COMPUTED_VALUE"""),2026.0)</f>
        <v>2026</v>
      </c>
      <c r="D1645" s="1">
        <f>IFERROR(__xludf.DUMMYFUNCTION("""COMPUTED_VALUE"""),46042.0)</f>
        <v>46042</v>
      </c>
      <c r="E1645" s="1" t="str">
        <f>IFERROR(__xludf.DUMMYFUNCTION("""COMPUTED_VALUE"""),"VF")</f>
        <v>VF</v>
      </c>
      <c r="F1645" s="1">
        <f>IFERROR(__xludf.DUMMYFUNCTION("""COMPUTED_VALUE"""),1.0)</f>
        <v>1</v>
      </c>
      <c r="G1645" s="1" t="str">
        <f>IFERROR(__xludf.DUMMYFUNCTION("""COMPUTED_VALUE"""),"PR013")</f>
        <v>PR013</v>
      </c>
      <c r="H1645" s="1" t="str">
        <f>IFERROR(__xludf.DUMMYFUNCTION("""COMPUTED_VALUE"""),"VD034")</f>
        <v>VD034</v>
      </c>
      <c r="I1645" s="1">
        <f>IFERROR(__xludf.DUMMYFUNCTION("""COMPUTED_VALUE"""),4.0)</f>
        <v>4</v>
      </c>
      <c r="J1645" s="1">
        <f>IFERROR(__xludf.DUMMYFUNCTION("""COMPUTED_VALUE"""),167.58)</f>
        <v>167.58</v>
      </c>
      <c r="K1645" s="1">
        <f>IFERROR(__xludf.DUMMYFUNCTION("""COMPUTED_VALUE"""),167.58)</f>
        <v>167.58</v>
      </c>
    </row>
    <row r="1646">
      <c r="A1646" s="1">
        <f>IFERROR(__xludf.DUMMYFUNCTION("""COMPUTED_VALUE"""),1000.0)</f>
        <v>1000</v>
      </c>
      <c r="B1646" s="1">
        <f>IFERROR(__xludf.DUMMYFUNCTION("""COMPUTED_VALUE"""),184646.0)</f>
        <v>184646</v>
      </c>
      <c r="C1646" s="1">
        <f>IFERROR(__xludf.DUMMYFUNCTION("""COMPUTED_VALUE"""),2026.0)</f>
        <v>2026</v>
      </c>
      <c r="D1646" s="1">
        <f>IFERROR(__xludf.DUMMYFUNCTION("""COMPUTED_VALUE"""),46041.0)</f>
        <v>46041</v>
      </c>
      <c r="E1646" s="1" t="str">
        <f>IFERROR(__xludf.DUMMYFUNCTION("""COMPUTED_VALUE"""),"VF")</f>
        <v>VF</v>
      </c>
      <c r="F1646" s="1">
        <f>IFERROR(__xludf.DUMMYFUNCTION("""COMPUTED_VALUE"""),1.0)</f>
        <v>1</v>
      </c>
      <c r="G1646" s="1" t="str">
        <f>IFERROR(__xludf.DUMMYFUNCTION("""COMPUTED_VALUE"""),"PR036")</f>
        <v>PR036</v>
      </c>
      <c r="H1646" s="1" t="str">
        <f>IFERROR(__xludf.DUMMYFUNCTION("""COMPUTED_VALUE"""),"VD039")</f>
        <v>VD039</v>
      </c>
      <c r="I1646" s="1">
        <f>IFERROR(__xludf.DUMMYFUNCTION("""COMPUTED_VALUE"""),7.0)</f>
        <v>7</v>
      </c>
      <c r="J1646" s="1">
        <f>IFERROR(__xludf.DUMMYFUNCTION("""COMPUTED_VALUE"""),706.86)</f>
        <v>706.86</v>
      </c>
      <c r="K1646" s="1">
        <f>IFERROR(__xludf.DUMMYFUNCTION("""COMPUTED_VALUE"""),706.86)</f>
        <v>706.86</v>
      </c>
    </row>
    <row r="1647">
      <c r="A1647" s="1">
        <f>IFERROR(__xludf.DUMMYFUNCTION("""COMPUTED_VALUE"""),1000.0)</f>
        <v>1000</v>
      </c>
      <c r="B1647" s="1">
        <f>IFERROR(__xludf.DUMMYFUNCTION("""COMPUTED_VALUE"""),184647.0)</f>
        <v>184647</v>
      </c>
      <c r="C1647" s="1">
        <f>IFERROR(__xludf.DUMMYFUNCTION("""COMPUTED_VALUE"""),2026.0)</f>
        <v>2026</v>
      </c>
      <c r="D1647" s="1">
        <f>IFERROR(__xludf.DUMMYFUNCTION("""COMPUTED_VALUE"""),46041.0)</f>
        <v>46041</v>
      </c>
      <c r="E1647" s="1" t="str">
        <f>IFERROR(__xludf.DUMMYFUNCTION("""COMPUTED_VALUE"""),"VF")</f>
        <v>VF</v>
      </c>
      <c r="F1647" s="1">
        <f>IFERROR(__xludf.DUMMYFUNCTION("""COMPUTED_VALUE"""),1.0)</f>
        <v>1</v>
      </c>
      <c r="G1647" s="1" t="str">
        <f>IFERROR(__xludf.DUMMYFUNCTION("""COMPUTED_VALUE"""),"PR050")</f>
        <v>PR050</v>
      </c>
      <c r="H1647" s="1" t="str">
        <f>IFERROR(__xludf.DUMMYFUNCTION("""COMPUTED_VALUE"""),"VD025")</f>
        <v>VD025</v>
      </c>
      <c r="I1647" s="1">
        <f>IFERROR(__xludf.DUMMYFUNCTION("""COMPUTED_VALUE"""),9.0)</f>
        <v>9</v>
      </c>
      <c r="J1647" s="1">
        <f>IFERROR(__xludf.DUMMYFUNCTION("""COMPUTED_VALUE"""),304.98)</f>
        <v>304.98</v>
      </c>
      <c r="K1647" s="1">
        <f>IFERROR(__xludf.DUMMYFUNCTION("""COMPUTED_VALUE"""),304.98)</f>
        <v>304.98</v>
      </c>
    </row>
    <row r="1648">
      <c r="A1648" s="1">
        <f>IFERROR(__xludf.DUMMYFUNCTION("""COMPUTED_VALUE"""),1000.0)</f>
        <v>1000</v>
      </c>
      <c r="B1648" s="1">
        <f>IFERROR(__xludf.DUMMYFUNCTION("""COMPUTED_VALUE"""),184648.0)</f>
        <v>184648</v>
      </c>
      <c r="C1648" s="1">
        <f>IFERROR(__xludf.DUMMYFUNCTION("""COMPUTED_VALUE"""),2026.0)</f>
        <v>2026</v>
      </c>
      <c r="D1648" s="1">
        <f>IFERROR(__xludf.DUMMYFUNCTION("""COMPUTED_VALUE"""),46041.0)</f>
        <v>46041</v>
      </c>
      <c r="E1648" s="1" t="str">
        <f>IFERROR(__xludf.DUMMYFUNCTION("""COMPUTED_VALUE"""),"VF")</f>
        <v>VF</v>
      </c>
      <c r="F1648" s="1">
        <f>IFERROR(__xludf.DUMMYFUNCTION("""COMPUTED_VALUE"""),1.0)</f>
        <v>1</v>
      </c>
      <c r="G1648" s="1" t="str">
        <f>IFERROR(__xludf.DUMMYFUNCTION("""COMPUTED_VALUE"""),"PR055")</f>
        <v>PR055</v>
      </c>
      <c r="H1648" s="1" t="str">
        <f>IFERROR(__xludf.DUMMYFUNCTION("""COMPUTED_VALUE"""),"VD040")</f>
        <v>VD040</v>
      </c>
      <c r="I1648" s="1">
        <f>IFERROR(__xludf.DUMMYFUNCTION("""COMPUTED_VALUE"""),20.0)</f>
        <v>20</v>
      </c>
      <c r="J1648" s="1">
        <f>IFERROR(__xludf.DUMMYFUNCTION("""COMPUTED_VALUE"""),1923.86)</f>
        <v>1923.86</v>
      </c>
      <c r="K1648" s="1">
        <f>IFERROR(__xludf.DUMMYFUNCTION("""COMPUTED_VALUE"""),1923.86)</f>
        <v>1923.86</v>
      </c>
    </row>
    <row r="1649">
      <c r="A1649" s="1">
        <f>IFERROR(__xludf.DUMMYFUNCTION("""COMPUTED_VALUE"""),1000.0)</f>
        <v>1000</v>
      </c>
      <c r="B1649" s="1">
        <f>IFERROR(__xludf.DUMMYFUNCTION("""COMPUTED_VALUE"""),184649.0)</f>
        <v>184649</v>
      </c>
      <c r="C1649" s="1">
        <f>IFERROR(__xludf.DUMMYFUNCTION("""COMPUTED_VALUE"""),2026.0)</f>
        <v>2026</v>
      </c>
      <c r="D1649" s="1">
        <f>IFERROR(__xludf.DUMMYFUNCTION("""COMPUTED_VALUE"""),46041.0)</f>
        <v>46041</v>
      </c>
      <c r="E1649" s="1" t="str">
        <f>IFERROR(__xludf.DUMMYFUNCTION("""COMPUTED_VALUE"""),"VF")</f>
        <v>VF</v>
      </c>
      <c r="F1649" s="1">
        <f>IFERROR(__xludf.DUMMYFUNCTION("""COMPUTED_VALUE"""),1.0)</f>
        <v>1</v>
      </c>
      <c r="G1649" s="1" t="str">
        <f>IFERROR(__xludf.DUMMYFUNCTION("""COMPUTED_VALUE"""),"PR007")</f>
        <v>PR007</v>
      </c>
      <c r="H1649" s="1" t="str">
        <f>IFERROR(__xludf.DUMMYFUNCTION("""COMPUTED_VALUE"""),"VD012")</f>
        <v>VD012</v>
      </c>
      <c r="I1649" s="1">
        <f>IFERROR(__xludf.DUMMYFUNCTION("""COMPUTED_VALUE"""),16.0)</f>
        <v>16</v>
      </c>
      <c r="J1649" s="1">
        <f>IFERROR(__xludf.DUMMYFUNCTION("""COMPUTED_VALUE"""),1470.61)</f>
        <v>1470.61</v>
      </c>
      <c r="K1649" s="1">
        <f>IFERROR(__xludf.DUMMYFUNCTION("""COMPUTED_VALUE"""),1470.61)</f>
        <v>1470.61</v>
      </c>
    </row>
    <row r="1650">
      <c r="A1650" s="1">
        <f>IFERROR(__xludf.DUMMYFUNCTION("""COMPUTED_VALUE"""),1000.0)</f>
        <v>1000</v>
      </c>
      <c r="B1650" s="1">
        <f>IFERROR(__xludf.DUMMYFUNCTION("""COMPUTED_VALUE"""),184650.0)</f>
        <v>184650</v>
      </c>
      <c r="C1650" s="1">
        <f>IFERROR(__xludf.DUMMYFUNCTION("""COMPUTED_VALUE"""),2026.0)</f>
        <v>2026</v>
      </c>
      <c r="D1650" s="1">
        <f>IFERROR(__xludf.DUMMYFUNCTION("""COMPUTED_VALUE"""),46041.0)</f>
        <v>46041</v>
      </c>
      <c r="E1650" s="1" t="str">
        <f>IFERROR(__xludf.DUMMYFUNCTION("""COMPUTED_VALUE"""),"VF")</f>
        <v>VF</v>
      </c>
      <c r="F1650" s="1">
        <f>IFERROR(__xludf.DUMMYFUNCTION("""COMPUTED_VALUE"""),1.0)</f>
        <v>1</v>
      </c>
      <c r="G1650" s="1" t="str">
        <f>IFERROR(__xludf.DUMMYFUNCTION("""COMPUTED_VALUE"""),"PR002")</f>
        <v>PR002</v>
      </c>
      <c r="H1650" s="1" t="str">
        <f>IFERROR(__xludf.DUMMYFUNCTION("""COMPUTED_VALUE"""),"VD042")</f>
        <v>VD042</v>
      </c>
      <c r="I1650" s="1">
        <f>IFERROR(__xludf.DUMMYFUNCTION("""COMPUTED_VALUE"""),10.0)</f>
        <v>10</v>
      </c>
      <c r="J1650" s="1">
        <f>IFERROR(__xludf.DUMMYFUNCTION("""COMPUTED_VALUE"""),712.98)</f>
        <v>712.98</v>
      </c>
      <c r="K1650" s="1">
        <f>IFERROR(__xludf.DUMMYFUNCTION("""COMPUTED_VALUE"""),712.98)</f>
        <v>712.98</v>
      </c>
    </row>
    <row r="1651">
      <c r="A1651" s="1">
        <f>IFERROR(__xludf.DUMMYFUNCTION("""COMPUTED_VALUE"""),1000.0)</f>
        <v>1000</v>
      </c>
      <c r="B1651" s="1">
        <f>IFERROR(__xludf.DUMMYFUNCTION("""COMPUTED_VALUE"""),184651.0)</f>
        <v>184651</v>
      </c>
      <c r="C1651" s="1">
        <f>IFERROR(__xludf.DUMMYFUNCTION("""COMPUTED_VALUE"""),2026.0)</f>
        <v>2026</v>
      </c>
      <c r="D1651" s="1">
        <f>IFERROR(__xludf.DUMMYFUNCTION("""COMPUTED_VALUE"""),46041.0)</f>
        <v>46041</v>
      </c>
      <c r="E1651" s="1" t="str">
        <f>IFERROR(__xludf.DUMMYFUNCTION("""COMPUTED_VALUE"""),"VF")</f>
        <v>VF</v>
      </c>
      <c r="F1651" s="1">
        <f>IFERROR(__xludf.DUMMYFUNCTION("""COMPUTED_VALUE"""),1.0)</f>
        <v>1</v>
      </c>
      <c r="G1651" s="1" t="str">
        <f>IFERROR(__xludf.DUMMYFUNCTION("""COMPUTED_VALUE"""),"PR030")</f>
        <v>PR030</v>
      </c>
      <c r="H1651" s="1" t="str">
        <f>IFERROR(__xludf.DUMMYFUNCTION("""COMPUTED_VALUE"""),"VD013")</f>
        <v>VD013</v>
      </c>
      <c r="I1651" s="1">
        <f>IFERROR(__xludf.DUMMYFUNCTION("""COMPUTED_VALUE"""),12.0)</f>
        <v>12</v>
      </c>
      <c r="J1651" s="1">
        <f>IFERROR(__xludf.DUMMYFUNCTION("""COMPUTED_VALUE"""),3118.8)</f>
        <v>3118.8</v>
      </c>
      <c r="K1651" s="1">
        <f>IFERROR(__xludf.DUMMYFUNCTION("""COMPUTED_VALUE"""),3118.8)</f>
        <v>3118.8</v>
      </c>
    </row>
    <row r="1652">
      <c r="A1652" s="1">
        <f>IFERROR(__xludf.DUMMYFUNCTION("""COMPUTED_VALUE"""),2000.0)</f>
        <v>2000</v>
      </c>
      <c r="B1652" s="1">
        <f>IFERROR(__xludf.DUMMYFUNCTION("""COMPUTED_VALUE"""),184652.0)</f>
        <v>184652</v>
      </c>
      <c r="C1652" s="1">
        <f>IFERROR(__xludf.DUMMYFUNCTION("""COMPUTED_VALUE"""),2026.0)</f>
        <v>2026</v>
      </c>
      <c r="D1652" s="1">
        <f>IFERROR(__xludf.DUMMYFUNCTION("""COMPUTED_VALUE"""),46041.0)</f>
        <v>46041</v>
      </c>
      <c r="E1652" s="1" t="str">
        <f>IFERROR(__xludf.DUMMYFUNCTION("""COMPUTED_VALUE"""),"VF")</f>
        <v>VF</v>
      </c>
      <c r="F1652" s="1">
        <f>IFERROR(__xludf.DUMMYFUNCTION("""COMPUTED_VALUE"""),1.0)</f>
        <v>1</v>
      </c>
      <c r="G1652" s="1" t="str">
        <f>IFERROR(__xludf.DUMMYFUNCTION("""COMPUTED_VALUE"""),"PR060")</f>
        <v>PR060</v>
      </c>
      <c r="H1652" s="1" t="str">
        <f>IFERROR(__xludf.DUMMYFUNCTION("""COMPUTED_VALUE"""),"VD027")</f>
        <v>VD027</v>
      </c>
      <c r="I1652" s="1">
        <f>IFERROR(__xludf.DUMMYFUNCTION("""COMPUTED_VALUE"""),14.0)</f>
        <v>14</v>
      </c>
      <c r="J1652" s="1">
        <f>IFERROR(__xludf.DUMMYFUNCTION("""COMPUTED_VALUE"""),2520.0)</f>
        <v>2520</v>
      </c>
      <c r="K1652" s="1">
        <f>IFERROR(__xludf.DUMMYFUNCTION("""COMPUTED_VALUE"""),2520.0)</f>
        <v>2520</v>
      </c>
    </row>
    <row r="1653">
      <c r="A1653" s="1">
        <f>IFERROR(__xludf.DUMMYFUNCTION("""COMPUTED_VALUE"""),1000.0)</f>
        <v>1000</v>
      </c>
      <c r="B1653" s="1">
        <f>IFERROR(__xludf.DUMMYFUNCTION("""COMPUTED_VALUE"""),184653.0)</f>
        <v>184653</v>
      </c>
      <c r="C1653" s="1">
        <f>IFERROR(__xludf.DUMMYFUNCTION("""COMPUTED_VALUE"""),2026.0)</f>
        <v>2026</v>
      </c>
      <c r="D1653" s="1">
        <f>IFERROR(__xludf.DUMMYFUNCTION("""COMPUTED_VALUE"""),46041.0)</f>
        <v>46041</v>
      </c>
      <c r="E1653" s="1" t="str">
        <f>IFERROR(__xludf.DUMMYFUNCTION("""COMPUTED_VALUE"""),"VF")</f>
        <v>VF</v>
      </c>
      <c r="F1653" s="1">
        <f>IFERROR(__xludf.DUMMYFUNCTION("""COMPUTED_VALUE"""),1.0)</f>
        <v>1</v>
      </c>
      <c r="G1653" s="1" t="str">
        <f>IFERROR(__xludf.DUMMYFUNCTION("""COMPUTED_VALUE"""),"PR040")</f>
        <v>PR040</v>
      </c>
      <c r="H1653" s="1" t="str">
        <f>IFERROR(__xludf.DUMMYFUNCTION("""COMPUTED_VALUE"""),"VD039")</f>
        <v>VD039</v>
      </c>
      <c r="I1653" s="1">
        <f>IFERROR(__xludf.DUMMYFUNCTION("""COMPUTED_VALUE"""),7.0)</f>
        <v>7</v>
      </c>
      <c r="J1653" s="1">
        <f>IFERROR(__xludf.DUMMYFUNCTION("""COMPUTED_VALUE"""),504.7)</f>
        <v>504.7</v>
      </c>
      <c r="K1653" s="1">
        <f>IFERROR(__xludf.DUMMYFUNCTION("""COMPUTED_VALUE"""),504.7)</f>
        <v>504.7</v>
      </c>
    </row>
    <row r="1654">
      <c r="A1654" s="1">
        <f>IFERROR(__xludf.DUMMYFUNCTION("""COMPUTED_VALUE"""),1000.0)</f>
        <v>1000</v>
      </c>
      <c r="B1654" s="1">
        <f>IFERROR(__xludf.DUMMYFUNCTION("""COMPUTED_VALUE"""),184654.0)</f>
        <v>184654</v>
      </c>
      <c r="C1654" s="1">
        <f>IFERROR(__xludf.DUMMYFUNCTION("""COMPUTED_VALUE"""),2026.0)</f>
        <v>2026</v>
      </c>
      <c r="D1654" s="1">
        <f>IFERROR(__xludf.DUMMYFUNCTION("""COMPUTED_VALUE"""),46041.0)</f>
        <v>46041</v>
      </c>
      <c r="E1654" s="1" t="str">
        <f>IFERROR(__xludf.DUMMYFUNCTION("""COMPUTED_VALUE"""),"VF")</f>
        <v>VF</v>
      </c>
      <c r="F1654" s="1">
        <f>IFERROR(__xludf.DUMMYFUNCTION("""COMPUTED_VALUE"""),1.0)</f>
        <v>1</v>
      </c>
      <c r="G1654" s="1" t="str">
        <f>IFERROR(__xludf.DUMMYFUNCTION("""COMPUTED_VALUE"""),"PR052")</f>
        <v>PR052</v>
      </c>
      <c r="H1654" s="1" t="str">
        <f>IFERROR(__xludf.DUMMYFUNCTION("""COMPUTED_VALUE"""),"VD016")</f>
        <v>VD016</v>
      </c>
      <c r="I1654" s="1">
        <f>IFERROR(__xludf.DUMMYFUNCTION("""COMPUTED_VALUE"""),7.0)</f>
        <v>7</v>
      </c>
      <c r="J1654" s="1">
        <f>IFERROR(__xludf.DUMMYFUNCTION("""COMPUTED_VALUE"""),363.27)</f>
        <v>363.27</v>
      </c>
      <c r="K1654" s="1">
        <f>IFERROR(__xludf.DUMMYFUNCTION("""COMPUTED_VALUE"""),363.27)</f>
        <v>363.27</v>
      </c>
    </row>
    <row r="1655">
      <c r="A1655" s="1">
        <f>IFERROR(__xludf.DUMMYFUNCTION("""COMPUTED_VALUE"""),1000.0)</f>
        <v>1000</v>
      </c>
      <c r="B1655" s="1">
        <f>IFERROR(__xludf.DUMMYFUNCTION("""COMPUTED_VALUE"""),184654.0)</f>
        <v>184654</v>
      </c>
      <c r="C1655" s="1">
        <f>IFERROR(__xludf.DUMMYFUNCTION("""COMPUTED_VALUE"""),2026.0)</f>
        <v>2026</v>
      </c>
      <c r="D1655" s="1">
        <f>IFERROR(__xludf.DUMMYFUNCTION("""COMPUTED_VALUE"""),46041.0)</f>
        <v>46041</v>
      </c>
      <c r="E1655" s="1" t="str">
        <f>IFERROR(__xludf.DUMMYFUNCTION("""COMPUTED_VALUE"""),"VF")</f>
        <v>VF</v>
      </c>
      <c r="F1655" s="1">
        <f>IFERROR(__xludf.DUMMYFUNCTION("""COMPUTED_VALUE"""),2.0)</f>
        <v>2</v>
      </c>
      <c r="G1655" s="1" t="str">
        <f>IFERROR(__xludf.DUMMYFUNCTION("""COMPUTED_VALUE"""),"PR057")</f>
        <v>PR057</v>
      </c>
      <c r="H1655" s="1" t="str">
        <f>IFERROR(__xludf.DUMMYFUNCTION("""COMPUTED_VALUE"""),"VD035")</f>
        <v>VD035</v>
      </c>
      <c r="I1655" s="1">
        <f>IFERROR(__xludf.DUMMYFUNCTION("""COMPUTED_VALUE"""),2.0)</f>
        <v>2</v>
      </c>
      <c r="J1655" s="1">
        <f>IFERROR(__xludf.DUMMYFUNCTION("""COMPUTED_VALUE"""),188.79)</f>
        <v>188.79</v>
      </c>
      <c r="K1655" s="1">
        <f>IFERROR(__xludf.DUMMYFUNCTION("""COMPUTED_VALUE"""),188.79)</f>
        <v>188.79</v>
      </c>
    </row>
    <row r="1656">
      <c r="A1656" s="1">
        <f>IFERROR(__xludf.DUMMYFUNCTION("""COMPUTED_VALUE"""),1000.0)</f>
        <v>1000</v>
      </c>
      <c r="B1656" s="1">
        <f>IFERROR(__xludf.DUMMYFUNCTION("""COMPUTED_VALUE"""),184655.0)</f>
        <v>184655</v>
      </c>
      <c r="C1656" s="1">
        <f>IFERROR(__xludf.DUMMYFUNCTION("""COMPUTED_VALUE"""),2026.0)</f>
        <v>2026</v>
      </c>
      <c r="D1656" s="1">
        <f>IFERROR(__xludf.DUMMYFUNCTION("""COMPUTED_VALUE"""),46040.0)</f>
        <v>46040</v>
      </c>
      <c r="E1656" s="1" t="str">
        <f>IFERROR(__xludf.DUMMYFUNCTION("""COMPUTED_VALUE"""),"VF")</f>
        <v>VF</v>
      </c>
      <c r="F1656" s="1">
        <f>IFERROR(__xludf.DUMMYFUNCTION("""COMPUTED_VALUE"""),1.0)</f>
        <v>1</v>
      </c>
      <c r="G1656" s="1" t="str">
        <f>IFERROR(__xludf.DUMMYFUNCTION("""COMPUTED_VALUE"""),"PR019")</f>
        <v>PR019</v>
      </c>
      <c r="H1656" s="1" t="str">
        <f>IFERROR(__xludf.DUMMYFUNCTION("""COMPUTED_VALUE"""),"VD031")</f>
        <v>VD031</v>
      </c>
      <c r="I1656" s="1">
        <f>IFERROR(__xludf.DUMMYFUNCTION("""COMPUTED_VALUE"""),9.0)</f>
        <v>9</v>
      </c>
      <c r="J1656" s="1">
        <f>IFERROR(__xludf.DUMMYFUNCTION("""COMPUTED_VALUE"""),480.54)</f>
        <v>480.54</v>
      </c>
      <c r="K1656" s="1">
        <f>IFERROR(__xludf.DUMMYFUNCTION("""COMPUTED_VALUE"""),480.54)</f>
        <v>480.54</v>
      </c>
    </row>
    <row r="1657">
      <c r="A1657" s="1">
        <f>IFERROR(__xludf.DUMMYFUNCTION("""COMPUTED_VALUE"""),1000.0)</f>
        <v>1000</v>
      </c>
      <c r="B1657" s="1">
        <f>IFERROR(__xludf.DUMMYFUNCTION("""COMPUTED_VALUE"""),184656.0)</f>
        <v>184656</v>
      </c>
      <c r="C1657" s="1">
        <f>IFERROR(__xludf.DUMMYFUNCTION("""COMPUTED_VALUE"""),2026.0)</f>
        <v>2026</v>
      </c>
      <c r="D1657" s="1">
        <f>IFERROR(__xludf.DUMMYFUNCTION("""COMPUTED_VALUE"""),46040.0)</f>
        <v>46040</v>
      </c>
      <c r="E1657" s="1" t="str">
        <f>IFERROR(__xludf.DUMMYFUNCTION("""COMPUTED_VALUE"""),"VF")</f>
        <v>VF</v>
      </c>
      <c r="F1657" s="1">
        <f>IFERROR(__xludf.DUMMYFUNCTION("""COMPUTED_VALUE"""),1.0)</f>
        <v>1</v>
      </c>
      <c r="G1657" s="1" t="str">
        <f>IFERROR(__xludf.DUMMYFUNCTION("""COMPUTED_VALUE"""),"PR049")</f>
        <v>PR049</v>
      </c>
      <c r="H1657" s="1" t="str">
        <f>IFERROR(__xludf.DUMMYFUNCTION("""COMPUTED_VALUE"""),"VD044")</f>
        <v>VD044</v>
      </c>
      <c r="I1657" s="1">
        <f>IFERROR(__xludf.DUMMYFUNCTION("""COMPUTED_VALUE"""),2.0)</f>
        <v>2</v>
      </c>
      <c r="J1657" s="1">
        <f>IFERROR(__xludf.DUMMYFUNCTION("""COMPUTED_VALUE"""),70.41)</f>
        <v>70.41</v>
      </c>
      <c r="K1657" s="1">
        <f>IFERROR(__xludf.DUMMYFUNCTION("""COMPUTED_VALUE"""),70.41)</f>
        <v>70.41</v>
      </c>
    </row>
    <row r="1658">
      <c r="A1658" s="1">
        <f>IFERROR(__xludf.DUMMYFUNCTION("""COMPUTED_VALUE"""),1000.0)</f>
        <v>1000</v>
      </c>
      <c r="B1658" s="1">
        <f>IFERROR(__xludf.DUMMYFUNCTION("""COMPUTED_VALUE"""),184657.0)</f>
        <v>184657</v>
      </c>
      <c r="C1658" s="1">
        <f>IFERROR(__xludf.DUMMYFUNCTION("""COMPUTED_VALUE"""),2026.0)</f>
        <v>2026</v>
      </c>
      <c r="D1658" s="1">
        <f>IFERROR(__xludf.DUMMYFUNCTION("""COMPUTED_VALUE"""),46040.0)</f>
        <v>46040</v>
      </c>
      <c r="E1658" s="1" t="str">
        <f>IFERROR(__xludf.DUMMYFUNCTION("""COMPUTED_VALUE"""),"VF")</f>
        <v>VF</v>
      </c>
      <c r="F1658" s="1">
        <f>IFERROR(__xludf.DUMMYFUNCTION("""COMPUTED_VALUE"""),1.0)</f>
        <v>1</v>
      </c>
      <c r="G1658" s="1" t="str">
        <f>IFERROR(__xludf.DUMMYFUNCTION("""COMPUTED_VALUE"""),"PR017")</f>
        <v>PR017</v>
      </c>
      <c r="H1658" s="1" t="str">
        <f>IFERROR(__xludf.DUMMYFUNCTION("""COMPUTED_VALUE"""),"VD033")</f>
        <v>VD033</v>
      </c>
      <c r="I1658" s="1">
        <f>IFERROR(__xludf.DUMMYFUNCTION("""COMPUTED_VALUE"""),4.0)</f>
        <v>4</v>
      </c>
      <c r="J1658" s="1">
        <f>IFERROR(__xludf.DUMMYFUNCTION("""COMPUTED_VALUE"""),131.56)</f>
        <v>131.56</v>
      </c>
      <c r="K1658" s="1">
        <f>IFERROR(__xludf.DUMMYFUNCTION("""COMPUTED_VALUE"""),131.56)</f>
        <v>131.56</v>
      </c>
    </row>
    <row r="1659">
      <c r="A1659" s="1">
        <f>IFERROR(__xludf.DUMMYFUNCTION("""COMPUTED_VALUE"""),2000.0)</f>
        <v>2000</v>
      </c>
      <c r="B1659" s="1">
        <f>IFERROR(__xludf.DUMMYFUNCTION("""COMPUTED_VALUE"""),184657.0)</f>
        <v>184657</v>
      </c>
      <c r="C1659" s="1">
        <f>IFERROR(__xludf.DUMMYFUNCTION("""COMPUTED_VALUE"""),2026.0)</f>
        <v>2026</v>
      </c>
      <c r="D1659" s="1">
        <f>IFERROR(__xludf.DUMMYFUNCTION("""COMPUTED_VALUE"""),46040.0)</f>
        <v>46040</v>
      </c>
      <c r="E1659" s="1" t="str">
        <f>IFERROR(__xludf.DUMMYFUNCTION("""COMPUTED_VALUE"""),"VF")</f>
        <v>VF</v>
      </c>
      <c r="F1659" s="1">
        <f>IFERROR(__xludf.DUMMYFUNCTION("""COMPUTED_VALUE"""),2.0)</f>
        <v>2</v>
      </c>
      <c r="G1659" s="1" t="str">
        <f>IFERROR(__xludf.DUMMYFUNCTION("""COMPUTED_VALUE"""),"PR034")</f>
        <v>PR034</v>
      </c>
      <c r="H1659" s="1" t="str">
        <f>IFERROR(__xludf.DUMMYFUNCTION("""COMPUTED_VALUE"""),"VD015")</f>
        <v>VD015</v>
      </c>
      <c r="I1659" s="1">
        <f>IFERROR(__xludf.DUMMYFUNCTION("""COMPUTED_VALUE"""),6.0)</f>
        <v>6</v>
      </c>
      <c r="J1659" s="1">
        <f>IFERROR(__xludf.DUMMYFUNCTION("""COMPUTED_VALUE"""),544.79)</f>
        <v>544.79</v>
      </c>
      <c r="K1659" s="1">
        <f>IFERROR(__xludf.DUMMYFUNCTION("""COMPUTED_VALUE"""),544.79)</f>
        <v>544.79</v>
      </c>
    </row>
    <row r="1660">
      <c r="A1660" s="1">
        <f>IFERROR(__xludf.DUMMYFUNCTION("""COMPUTED_VALUE"""),1000.0)</f>
        <v>1000</v>
      </c>
      <c r="B1660" s="1">
        <f>IFERROR(__xludf.DUMMYFUNCTION("""COMPUTED_VALUE"""),184658.0)</f>
        <v>184658</v>
      </c>
      <c r="C1660" s="1">
        <f>IFERROR(__xludf.DUMMYFUNCTION("""COMPUTED_VALUE"""),2026.0)</f>
        <v>2026</v>
      </c>
      <c r="D1660" s="1">
        <f>IFERROR(__xludf.DUMMYFUNCTION("""COMPUTED_VALUE"""),46040.0)</f>
        <v>46040</v>
      </c>
      <c r="E1660" s="1" t="str">
        <f>IFERROR(__xludf.DUMMYFUNCTION("""COMPUTED_VALUE"""),"VF")</f>
        <v>VF</v>
      </c>
      <c r="F1660" s="1">
        <f>IFERROR(__xludf.DUMMYFUNCTION("""COMPUTED_VALUE"""),1.0)</f>
        <v>1</v>
      </c>
      <c r="G1660" s="1" t="str">
        <f>IFERROR(__xludf.DUMMYFUNCTION("""COMPUTED_VALUE"""),"PR048")</f>
        <v>PR048</v>
      </c>
      <c r="H1660" s="1" t="str">
        <f>IFERROR(__xludf.DUMMYFUNCTION("""COMPUTED_VALUE"""),"VD043")</f>
        <v>VD043</v>
      </c>
      <c r="I1660" s="1">
        <f>IFERROR(__xludf.DUMMYFUNCTION("""COMPUTED_VALUE"""),9.0)</f>
        <v>9</v>
      </c>
      <c r="J1660" s="1">
        <f>IFERROR(__xludf.DUMMYFUNCTION("""COMPUTED_VALUE"""),2713.46)</f>
        <v>2713.46</v>
      </c>
      <c r="K1660" s="1">
        <f>IFERROR(__xludf.DUMMYFUNCTION("""COMPUTED_VALUE"""),2713.46)</f>
        <v>2713.46</v>
      </c>
    </row>
    <row r="1661">
      <c r="A1661" s="1">
        <f>IFERROR(__xludf.DUMMYFUNCTION("""COMPUTED_VALUE"""),1000.0)</f>
        <v>1000</v>
      </c>
      <c r="B1661" s="1">
        <f>IFERROR(__xludf.DUMMYFUNCTION("""COMPUTED_VALUE"""),184659.0)</f>
        <v>184659</v>
      </c>
      <c r="C1661" s="1">
        <f>IFERROR(__xludf.DUMMYFUNCTION("""COMPUTED_VALUE"""),2026.0)</f>
        <v>2026</v>
      </c>
      <c r="D1661" s="1">
        <f>IFERROR(__xludf.DUMMYFUNCTION("""COMPUTED_VALUE"""),46040.0)</f>
        <v>46040</v>
      </c>
      <c r="E1661" s="1" t="str">
        <f>IFERROR(__xludf.DUMMYFUNCTION("""COMPUTED_VALUE"""),"VF")</f>
        <v>VF</v>
      </c>
      <c r="F1661" s="1">
        <f>IFERROR(__xludf.DUMMYFUNCTION("""COMPUTED_VALUE"""),1.0)</f>
        <v>1</v>
      </c>
      <c r="G1661" s="1" t="str">
        <f>IFERROR(__xludf.DUMMYFUNCTION("""COMPUTED_VALUE"""),"PR004")</f>
        <v>PR004</v>
      </c>
      <c r="H1661" s="1" t="str">
        <f>IFERROR(__xludf.DUMMYFUNCTION("""COMPUTED_VALUE"""),"VD037")</f>
        <v>VD037</v>
      </c>
      <c r="I1661" s="1">
        <f>IFERROR(__xludf.DUMMYFUNCTION("""COMPUTED_VALUE"""),5.0)</f>
        <v>5</v>
      </c>
      <c r="J1661" s="1">
        <f>IFERROR(__xludf.DUMMYFUNCTION("""COMPUTED_VALUE"""),725.0)</f>
        <v>725</v>
      </c>
      <c r="K1661" s="1">
        <f>IFERROR(__xludf.DUMMYFUNCTION("""COMPUTED_VALUE"""),725.0)</f>
        <v>725</v>
      </c>
    </row>
    <row r="1662">
      <c r="A1662" s="1">
        <f>IFERROR(__xludf.DUMMYFUNCTION("""COMPUTED_VALUE"""),2000.0)</f>
        <v>2000</v>
      </c>
      <c r="B1662" s="1">
        <f>IFERROR(__xludf.DUMMYFUNCTION("""COMPUTED_VALUE"""),184660.0)</f>
        <v>184660</v>
      </c>
      <c r="C1662" s="1">
        <f>IFERROR(__xludf.DUMMYFUNCTION("""COMPUTED_VALUE"""),2026.0)</f>
        <v>2026</v>
      </c>
      <c r="D1662" s="1">
        <f>IFERROR(__xludf.DUMMYFUNCTION("""COMPUTED_VALUE"""),46039.0)</f>
        <v>46039</v>
      </c>
      <c r="E1662" s="1" t="str">
        <f>IFERROR(__xludf.DUMMYFUNCTION("""COMPUTED_VALUE"""),"VF")</f>
        <v>VF</v>
      </c>
      <c r="F1662" s="1">
        <f>IFERROR(__xludf.DUMMYFUNCTION("""COMPUTED_VALUE"""),1.0)</f>
        <v>1</v>
      </c>
      <c r="G1662" s="1" t="str">
        <f>IFERROR(__xludf.DUMMYFUNCTION("""COMPUTED_VALUE"""),"PR059")</f>
        <v>PR059</v>
      </c>
      <c r="H1662" s="1" t="str">
        <f>IFERROR(__xludf.DUMMYFUNCTION("""COMPUTED_VALUE"""),"VD049")</f>
        <v>VD049</v>
      </c>
      <c r="I1662" s="1">
        <f>IFERROR(__xludf.DUMMYFUNCTION("""COMPUTED_VALUE"""),5.0)</f>
        <v>5</v>
      </c>
      <c r="J1662" s="1">
        <f>IFERROR(__xludf.DUMMYFUNCTION("""COMPUTED_VALUE"""),945.0)</f>
        <v>945</v>
      </c>
      <c r="K1662" s="1">
        <f>IFERROR(__xludf.DUMMYFUNCTION("""COMPUTED_VALUE"""),945.0)</f>
        <v>945</v>
      </c>
    </row>
    <row r="1663">
      <c r="A1663" s="1">
        <f>IFERROR(__xludf.DUMMYFUNCTION("""COMPUTED_VALUE"""),1000.0)</f>
        <v>1000</v>
      </c>
      <c r="B1663" s="1">
        <f>IFERROR(__xludf.DUMMYFUNCTION("""COMPUTED_VALUE"""),184661.0)</f>
        <v>184661</v>
      </c>
      <c r="C1663" s="1">
        <f>IFERROR(__xludf.DUMMYFUNCTION("""COMPUTED_VALUE"""),2026.0)</f>
        <v>2026</v>
      </c>
      <c r="D1663" s="1">
        <f>IFERROR(__xludf.DUMMYFUNCTION("""COMPUTED_VALUE"""),46039.0)</f>
        <v>46039</v>
      </c>
      <c r="E1663" s="1" t="str">
        <f>IFERROR(__xludf.DUMMYFUNCTION("""COMPUTED_VALUE"""),"VF")</f>
        <v>VF</v>
      </c>
      <c r="F1663" s="1">
        <f>IFERROR(__xludf.DUMMYFUNCTION("""COMPUTED_VALUE"""),1.0)</f>
        <v>1</v>
      </c>
      <c r="G1663" s="1" t="str">
        <f>IFERROR(__xludf.DUMMYFUNCTION("""COMPUTED_VALUE"""),"PR005")</f>
        <v>PR005</v>
      </c>
      <c r="H1663" s="1" t="str">
        <f>IFERROR(__xludf.DUMMYFUNCTION("""COMPUTED_VALUE"""),"VD018")</f>
        <v>VD018</v>
      </c>
      <c r="I1663" s="1">
        <f>IFERROR(__xludf.DUMMYFUNCTION("""COMPUTED_VALUE"""),20.0)</f>
        <v>20</v>
      </c>
      <c r="J1663" s="1">
        <f>IFERROR(__xludf.DUMMYFUNCTION("""COMPUTED_VALUE"""),5717.8)</f>
        <v>5717.8</v>
      </c>
      <c r="K1663" s="1">
        <f>IFERROR(__xludf.DUMMYFUNCTION("""COMPUTED_VALUE"""),5717.8)</f>
        <v>5717.8</v>
      </c>
    </row>
    <row r="1664">
      <c r="A1664" s="1">
        <f>IFERROR(__xludf.DUMMYFUNCTION("""COMPUTED_VALUE"""),2000.0)</f>
        <v>2000</v>
      </c>
      <c r="B1664" s="1">
        <f>IFERROR(__xludf.DUMMYFUNCTION("""COMPUTED_VALUE"""),184662.0)</f>
        <v>184662</v>
      </c>
      <c r="C1664" s="1">
        <f>IFERROR(__xludf.DUMMYFUNCTION("""COMPUTED_VALUE"""),2026.0)</f>
        <v>2026</v>
      </c>
      <c r="D1664" s="1">
        <f>IFERROR(__xludf.DUMMYFUNCTION("""COMPUTED_VALUE"""),46039.0)</f>
        <v>46039</v>
      </c>
      <c r="E1664" s="1" t="str">
        <f>IFERROR(__xludf.DUMMYFUNCTION("""COMPUTED_VALUE"""),"VF")</f>
        <v>VF</v>
      </c>
      <c r="F1664" s="1">
        <f>IFERROR(__xludf.DUMMYFUNCTION("""COMPUTED_VALUE"""),1.0)</f>
        <v>1</v>
      </c>
      <c r="G1664" s="1" t="str">
        <f>IFERROR(__xludf.DUMMYFUNCTION("""COMPUTED_VALUE"""),"PR050")</f>
        <v>PR050</v>
      </c>
      <c r="H1664" s="1" t="str">
        <f>IFERROR(__xludf.DUMMYFUNCTION("""COMPUTED_VALUE"""),"VD010")</f>
        <v>VD010</v>
      </c>
      <c r="I1664" s="1">
        <f>IFERROR(__xludf.DUMMYFUNCTION("""COMPUTED_VALUE"""),10.0)</f>
        <v>10</v>
      </c>
      <c r="J1664" s="1">
        <f>IFERROR(__xludf.DUMMYFUNCTION("""COMPUTED_VALUE"""),342.16)</f>
        <v>342.16</v>
      </c>
      <c r="K1664" s="1">
        <f>IFERROR(__xludf.DUMMYFUNCTION("""COMPUTED_VALUE"""),342.16)</f>
        <v>342.16</v>
      </c>
    </row>
    <row r="1665">
      <c r="A1665" s="1">
        <f>IFERROR(__xludf.DUMMYFUNCTION("""COMPUTED_VALUE"""),1000.0)</f>
        <v>1000</v>
      </c>
      <c r="B1665" s="1">
        <f>IFERROR(__xludf.DUMMYFUNCTION("""COMPUTED_VALUE"""),184663.0)</f>
        <v>184663</v>
      </c>
      <c r="C1665" s="1">
        <f>IFERROR(__xludf.DUMMYFUNCTION("""COMPUTED_VALUE"""),2026.0)</f>
        <v>2026</v>
      </c>
      <c r="D1665" s="1">
        <f>IFERROR(__xludf.DUMMYFUNCTION("""COMPUTED_VALUE"""),46039.0)</f>
        <v>46039</v>
      </c>
      <c r="E1665" s="1" t="str">
        <f>IFERROR(__xludf.DUMMYFUNCTION("""COMPUTED_VALUE"""),"VF")</f>
        <v>VF</v>
      </c>
      <c r="F1665" s="1">
        <f>IFERROR(__xludf.DUMMYFUNCTION("""COMPUTED_VALUE"""),1.0)</f>
        <v>1</v>
      </c>
      <c r="G1665" s="1" t="str">
        <f>IFERROR(__xludf.DUMMYFUNCTION("""COMPUTED_VALUE"""),"PR033")</f>
        <v>PR033</v>
      </c>
      <c r="H1665" s="1" t="str">
        <f>IFERROR(__xludf.DUMMYFUNCTION("""COMPUTED_VALUE"""),"VD042")</f>
        <v>VD042</v>
      </c>
      <c r="I1665" s="1">
        <f>IFERROR(__xludf.DUMMYFUNCTION("""COMPUTED_VALUE"""),8.0)</f>
        <v>8</v>
      </c>
      <c r="J1665" s="1">
        <f>IFERROR(__xludf.DUMMYFUNCTION("""COMPUTED_VALUE"""),2079.2)</f>
        <v>2079.2</v>
      </c>
      <c r="K1665" s="1">
        <f>IFERROR(__xludf.DUMMYFUNCTION("""COMPUTED_VALUE"""),2079.2)</f>
        <v>2079.2</v>
      </c>
    </row>
    <row r="1666">
      <c r="A1666" s="1">
        <f>IFERROR(__xludf.DUMMYFUNCTION("""COMPUTED_VALUE"""),1000.0)</f>
        <v>1000</v>
      </c>
      <c r="B1666" s="1">
        <f>IFERROR(__xludf.DUMMYFUNCTION("""COMPUTED_VALUE"""),184664.0)</f>
        <v>184664</v>
      </c>
      <c r="C1666" s="1">
        <f>IFERROR(__xludf.DUMMYFUNCTION("""COMPUTED_VALUE"""),2026.0)</f>
        <v>2026</v>
      </c>
      <c r="D1666" s="1">
        <f>IFERROR(__xludf.DUMMYFUNCTION("""COMPUTED_VALUE"""),46039.0)</f>
        <v>46039</v>
      </c>
      <c r="E1666" s="1" t="str">
        <f>IFERROR(__xludf.DUMMYFUNCTION("""COMPUTED_VALUE"""),"VF")</f>
        <v>VF</v>
      </c>
      <c r="F1666" s="1">
        <f>IFERROR(__xludf.DUMMYFUNCTION("""COMPUTED_VALUE"""),1.0)</f>
        <v>1</v>
      </c>
      <c r="G1666" s="1" t="str">
        <f>IFERROR(__xludf.DUMMYFUNCTION("""COMPUTED_VALUE"""),"PR038")</f>
        <v>PR038</v>
      </c>
      <c r="H1666" s="1" t="str">
        <f>IFERROR(__xludf.DUMMYFUNCTION("""COMPUTED_VALUE"""),"VD027")</f>
        <v>VD027</v>
      </c>
      <c r="I1666" s="1">
        <f>IFERROR(__xludf.DUMMYFUNCTION("""COMPUTED_VALUE"""),14.0)</f>
        <v>14</v>
      </c>
      <c r="J1666" s="1">
        <f>IFERROR(__xludf.DUMMYFUNCTION("""COMPUTED_VALUE"""),2080.62)</f>
        <v>2080.62</v>
      </c>
      <c r="K1666" s="1">
        <f>IFERROR(__xludf.DUMMYFUNCTION("""COMPUTED_VALUE"""),2080.62)</f>
        <v>2080.62</v>
      </c>
    </row>
    <row r="1667">
      <c r="A1667" s="1">
        <f>IFERROR(__xludf.DUMMYFUNCTION("""COMPUTED_VALUE"""),1000.0)</f>
        <v>1000</v>
      </c>
      <c r="B1667" s="1">
        <f>IFERROR(__xludf.DUMMYFUNCTION("""COMPUTED_VALUE"""),184664.0)</f>
        <v>184664</v>
      </c>
      <c r="C1667" s="1">
        <f>IFERROR(__xludf.DUMMYFUNCTION("""COMPUTED_VALUE"""),2026.0)</f>
        <v>2026</v>
      </c>
      <c r="D1667" s="1">
        <f>IFERROR(__xludf.DUMMYFUNCTION("""COMPUTED_VALUE"""),46039.0)</f>
        <v>46039</v>
      </c>
      <c r="E1667" s="1" t="str">
        <f>IFERROR(__xludf.DUMMYFUNCTION("""COMPUTED_VALUE"""),"VF")</f>
        <v>VF</v>
      </c>
      <c r="F1667" s="1">
        <f>IFERROR(__xludf.DUMMYFUNCTION("""COMPUTED_VALUE"""),2.0)</f>
        <v>2</v>
      </c>
      <c r="G1667" s="1" t="str">
        <f>IFERROR(__xludf.DUMMYFUNCTION("""COMPUTED_VALUE"""),"PR032")</f>
        <v>PR032</v>
      </c>
      <c r="H1667" s="1" t="str">
        <f>IFERROR(__xludf.DUMMYFUNCTION("""COMPUTED_VALUE"""),"VD034")</f>
        <v>VD034</v>
      </c>
      <c r="I1667" s="1">
        <f>IFERROR(__xludf.DUMMYFUNCTION("""COMPUTED_VALUE"""),7.0)</f>
        <v>7</v>
      </c>
      <c r="J1667" s="1">
        <f>IFERROR(__xludf.DUMMYFUNCTION("""COMPUTED_VALUE"""),1907.5)</f>
        <v>1907.5</v>
      </c>
      <c r="K1667" s="1">
        <f>IFERROR(__xludf.DUMMYFUNCTION("""COMPUTED_VALUE"""),1907.5)</f>
        <v>1907.5</v>
      </c>
    </row>
    <row r="1668">
      <c r="A1668" s="1">
        <f>IFERROR(__xludf.DUMMYFUNCTION("""COMPUTED_VALUE"""),1000.0)</f>
        <v>1000</v>
      </c>
      <c r="B1668" s="1">
        <f>IFERROR(__xludf.DUMMYFUNCTION("""COMPUTED_VALUE"""),184665.0)</f>
        <v>184665</v>
      </c>
      <c r="C1668" s="1">
        <f>IFERROR(__xludf.DUMMYFUNCTION("""COMPUTED_VALUE"""),2026.0)</f>
        <v>2026</v>
      </c>
      <c r="D1668" s="1">
        <f>IFERROR(__xludf.DUMMYFUNCTION("""COMPUTED_VALUE"""),46038.0)</f>
        <v>46038</v>
      </c>
      <c r="E1668" s="1" t="str">
        <f>IFERROR(__xludf.DUMMYFUNCTION("""COMPUTED_VALUE"""),"VF")</f>
        <v>VF</v>
      </c>
      <c r="F1668" s="1">
        <f>IFERROR(__xludf.DUMMYFUNCTION("""COMPUTED_VALUE"""),1.0)</f>
        <v>1</v>
      </c>
      <c r="G1668" s="1" t="str">
        <f>IFERROR(__xludf.DUMMYFUNCTION("""COMPUTED_VALUE"""),"PR042")</f>
        <v>PR042</v>
      </c>
      <c r="H1668" s="1" t="str">
        <f>IFERROR(__xludf.DUMMYFUNCTION("""COMPUTED_VALUE"""),"VD012")</f>
        <v>VD012</v>
      </c>
      <c r="I1668" s="1">
        <f>IFERROR(__xludf.DUMMYFUNCTION("""COMPUTED_VALUE"""),2.0)</f>
        <v>2</v>
      </c>
      <c r="J1668" s="1">
        <f>IFERROR(__xludf.DUMMYFUNCTION("""COMPUTED_VALUE"""),109.8)</f>
        <v>109.8</v>
      </c>
      <c r="K1668" s="1">
        <f>IFERROR(__xludf.DUMMYFUNCTION("""COMPUTED_VALUE"""),109.8)</f>
        <v>109.8</v>
      </c>
    </row>
    <row r="1669">
      <c r="A1669" s="1">
        <f>IFERROR(__xludf.DUMMYFUNCTION("""COMPUTED_VALUE"""),1000.0)</f>
        <v>1000</v>
      </c>
      <c r="B1669" s="1">
        <f>IFERROR(__xludf.DUMMYFUNCTION("""COMPUTED_VALUE"""),184666.0)</f>
        <v>184666</v>
      </c>
      <c r="C1669" s="1">
        <f>IFERROR(__xludf.DUMMYFUNCTION("""COMPUTED_VALUE"""),2026.0)</f>
        <v>2026</v>
      </c>
      <c r="D1669" s="1">
        <f>IFERROR(__xludf.DUMMYFUNCTION("""COMPUTED_VALUE"""),46038.0)</f>
        <v>46038</v>
      </c>
      <c r="E1669" s="1" t="str">
        <f>IFERROR(__xludf.DUMMYFUNCTION("""COMPUTED_VALUE"""),"VF")</f>
        <v>VF</v>
      </c>
      <c r="F1669" s="1">
        <f>IFERROR(__xludf.DUMMYFUNCTION("""COMPUTED_VALUE"""),1.0)</f>
        <v>1</v>
      </c>
      <c r="G1669" s="1" t="str">
        <f>IFERROR(__xludf.DUMMYFUNCTION("""COMPUTED_VALUE"""),"PR017")</f>
        <v>PR017</v>
      </c>
      <c r="H1669" s="1" t="str">
        <f>IFERROR(__xludf.DUMMYFUNCTION("""COMPUTED_VALUE"""),"VD018")</f>
        <v>VD018</v>
      </c>
      <c r="I1669" s="1">
        <f>IFERROR(__xludf.DUMMYFUNCTION("""COMPUTED_VALUE"""),20.0)</f>
        <v>20</v>
      </c>
      <c r="J1669" s="1">
        <f>IFERROR(__xludf.DUMMYFUNCTION("""COMPUTED_VALUE"""),657.8)</f>
        <v>657.8</v>
      </c>
      <c r="K1669" s="1">
        <f>IFERROR(__xludf.DUMMYFUNCTION("""COMPUTED_VALUE"""),657.8)</f>
        <v>657.8</v>
      </c>
    </row>
    <row r="1670">
      <c r="A1670" s="1">
        <f>IFERROR(__xludf.DUMMYFUNCTION("""COMPUTED_VALUE"""),1000.0)</f>
        <v>1000</v>
      </c>
      <c r="B1670" s="1">
        <f>IFERROR(__xludf.DUMMYFUNCTION("""COMPUTED_VALUE"""),184667.0)</f>
        <v>184667</v>
      </c>
      <c r="C1670" s="1">
        <f>IFERROR(__xludf.DUMMYFUNCTION("""COMPUTED_VALUE"""),2026.0)</f>
        <v>2026</v>
      </c>
      <c r="D1670" s="1">
        <f>IFERROR(__xludf.DUMMYFUNCTION("""COMPUTED_VALUE"""),46038.0)</f>
        <v>46038</v>
      </c>
      <c r="E1670" s="1" t="str">
        <f>IFERROR(__xludf.DUMMYFUNCTION("""COMPUTED_VALUE"""),"VF")</f>
        <v>VF</v>
      </c>
      <c r="F1670" s="1">
        <f>IFERROR(__xludf.DUMMYFUNCTION("""COMPUTED_VALUE"""),1.0)</f>
        <v>1</v>
      </c>
      <c r="G1670" s="1" t="str">
        <f>IFERROR(__xludf.DUMMYFUNCTION("""COMPUTED_VALUE"""),"PR037")</f>
        <v>PR037</v>
      </c>
      <c r="H1670" s="1" t="str">
        <f>IFERROR(__xludf.DUMMYFUNCTION("""COMPUTED_VALUE"""),"VD013")</f>
        <v>VD013</v>
      </c>
      <c r="I1670" s="1">
        <f>IFERROR(__xludf.DUMMYFUNCTION("""COMPUTED_VALUE"""),10.0)</f>
        <v>10</v>
      </c>
      <c r="J1670" s="1">
        <f>IFERROR(__xludf.DUMMYFUNCTION("""COMPUTED_VALUE"""),1414.0)</f>
        <v>1414</v>
      </c>
      <c r="K1670" s="1">
        <f>IFERROR(__xludf.DUMMYFUNCTION("""COMPUTED_VALUE"""),1414.0)</f>
        <v>1414</v>
      </c>
    </row>
    <row r="1671">
      <c r="A1671" s="1">
        <f>IFERROR(__xludf.DUMMYFUNCTION("""COMPUTED_VALUE"""),1000.0)</f>
        <v>1000</v>
      </c>
      <c r="B1671" s="1">
        <f>IFERROR(__xludf.DUMMYFUNCTION("""COMPUTED_VALUE"""),184668.0)</f>
        <v>184668</v>
      </c>
      <c r="C1671" s="1">
        <f>IFERROR(__xludf.DUMMYFUNCTION("""COMPUTED_VALUE"""),2026.0)</f>
        <v>2026</v>
      </c>
      <c r="D1671" s="1">
        <f>IFERROR(__xludf.DUMMYFUNCTION("""COMPUTED_VALUE"""),46038.0)</f>
        <v>46038</v>
      </c>
      <c r="E1671" s="1" t="str">
        <f>IFERROR(__xludf.DUMMYFUNCTION("""COMPUTED_VALUE"""),"VF")</f>
        <v>VF</v>
      </c>
      <c r="F1671" s="1">
        <f>IFERROR(__xludf.DUMMYFUNCTION("""COMPUTED_VALUE"""),1.0)</f>
        <v>1</v>
      </c>
      <c r="G1671" s="1" t="str">
        <f>IFERROR(__xludf.DUMMYFUNCTION("""COMPUTED_VALUE"""),"PR041")</f>
        <v>PR041</v>
      </c>
      <c r="H1671" s="1" t="str">
        <f>IFERROR(__xludf.DUMMYFUNCTION("""COMPUTED_VALUE"""),"VD021")</f>
        <v>VD021</v>
      </c>
      <c r="I1671" s="1">
        <f>IFERROR(__xludf.DUMMYFUNCTION("""COMPUTED_VALUE"""),8.0)</f>
        <v>8</v>
      </c>
      <c r="J1671" s="1">
        <f>IFERROR(__xludf.DUMMYFUNCTION("""COMPUTED_VALUE"""),443.59)</f>
        <v>443.59</v>
      </c>
      <c r="K1671" s="1">
        <f>IFERROR(__xludf.DUMMYFUNCTION("""COMPUTED_VALUE"""),443.59)</f>
        <v>443.59</v>
      </c>
    </row>
    <row r="1672">
      <c r="A1672" s="1">
        <f>IFERROR(__xludf.DUMMYFUNCTION("""COMPUTED_VALUE"""),2000.0)</f>
        <v>2000</v>
      </c>
      <c r="B1672" s="1">
        <f>IFERROR(__xludf.DUMMYFUNCTION("""COMPUTED_VALUE"""),184669.0)</f>
        <v>184669</v>
      </c>
      <c r="C1672" s="1">
        <f>IFERROR(__xludf.DUMMYFUNCTION("""COMPUTED_VALUE"""),2026.0)</f>
        <v>2026</v>
      </c>
      <c r="D1672" s="1">
        <f>IFERROR(__xludf.DUMMYFUNCTION("""COMPUTED_VALUE"""),46037.0)</f>
        <v>46037</v>
      </c>
      <c r="E1672" s="1" t="str">
        <f>IFERROR(__xludf.DUMMYFUNCTION("""COMPUTED_VALUE"""),"VF")</f>
        <v>VF</v>
      </c>
      <c r="F1672" s="1">
        <f>IFERROR(__xludf.DUMMYFUNCTION("""COMPUTED_VALUE"""),1.0)</f>
        <v>1</v>
      </c>
      <c r="G1672" s="1" t="str">
        <f>IFERROR(__xludf.DUMMYFUNCTION("""COMPUTED_VALUE"""),"PR039")</f>
        <v>PR039</v>
      </c>
      <c r="H1672" s="1" t="str">
        <f>IFERROR(__xludf.DUMMYFUNCTION("""COMPUTED_VALUE"""),"VD032")</f>
        <v>VD032</v>
      </c>
      <c r="I1672" s="1">
        <f>IFERROR(__xludf.DUMMYFUNCTION("""COMPUTED_VALUE"""),8.0)</f>
        <v>8</v>
      </c>
      <c r="J1672" s="1">
        <f>IFERROR(__xludf.DUMMYFUNCTION("""COMPUTED_VALUE"""),1214.72)</f>
        <v>1214.72</v>
      </c>
      <c r="K1672" s="1">
        <f>IFERROR(__xludf.DUMMYFUNCTION("""COMPUTED_VALUE"""),1214.72)</f>
        <v>1214.72</v>
      </c>
    </row>
    <row r="1673">
      <c r="A1673" s="1">
        <f>IFERROR(__xludf.DUMMYFUNCTION("""COMPUTED_VALUE"""),1000.0)</f>
        <v>1000</v>
      </c>
      <c r="B1673" s="1">
        <f>IFERROR(__xludf.DUMMYFUNCTION("""COMPUTED_VALUE"""),184670.0)</f>
        <v>184670</v>
      </c>
      <c r="C1673" s="1">
        <f>IFERROR(__xludf.DUMMYFUNCTION("""COMPUTED_VALUE"""),2026.0)</f>
        <v>2026</v>
      </c>
      <c r="D1673" s="1">
        <f>IFERROR(__xludf.DUMMYFUNCTION("""COMPUTED_VALUE"""),46037.0)</f>
        <v>46037</v>
      </c>
      <c r="E1673" s="1" t="str">
        <f>IFERROR(__xludf.DUMMYFUNCTION("""COMPUTED_VALUE"""),"VF")</f>
        <v>VF</v>
      </c>
      <c r="F1673" s="1">
        <f>IFERROR(__xludf.DUMMYFUNCTION("""COMPUTED_VALUE"""),1.0)</f>
        <v>1</v>
      </c>
      <c r="G1673" s="1" t="str">
        <f>IFERROR(__xludf.DUMMYFUNCTION("""COMPUTED_VALUE"""),"PR043")</f>
        <v>PR043</v>
      </c>
      <c r="H1673" s="1" t="str">
        <f>IFERROR(__xludf.DUMMYFUNCTION("""COMPUTED_VALUE"""),"VD026")</f>
        <v>VD026</v>
      </c>
      <c r="I1673" s="1">
        <f>IFERROR(__xludf.DUMMYFUNCTION("""COMPUTED_VALUE"""),2.0)</f>
        <v>2</v>
      </c>
      <c r="J1673" s="1">
        <f>IFERROR(__xludf.DUMMYFUNCTION("""COMPUTED_VALUE"""),152.25)</f>
        <v>152.25</v>
      </c>
      <c r="K1673" s="1">
        <f>IFERROR(__xludf.DUMMYFUNCTION("""COMPUTED_VALUE"""),152.25)</f>
        <v>152.25</v>
      </c>
    </row>
    <row r="1674">
      <c r="A1674" s="1">
        <f>IFERROR(__xludf.DUMMYFUNCTION("""COMPUTED_VALUE"""),1000.0)</f>
        <v>1000</v>
      </c>
      <c r="B1674" s="1">
        <f>IFERROR(__xludf.DUMMYFUNCTION("""COMPUTED_VALUE"""),184670.0)</f>
        <v>184670</v>
      </c>
      <c r="C1674" s="1">
        <f>IFERROR(__xludf.DUMMYFUNCTION("""COMPUTED_VALUE"""),2026.0)</f>
        <v>2026</v>
      </c>
      <c r="D1674" s="1">
        <f>IFERROR(__xludf.DUMMYFUNCTION("""COMPUTED_VALUE"""),46037.0)</f>
        <v>46037</v>
      </c>
      <c r="E1674" s="1" t="str">
        <f>IFERROR(__xludf.DUMMYFUNCTION("""COMPUTED_VALUE"""),"VF")</f>
        <v>VF</v>
      </c>
      <c r="F1674" s="1">
        <f>IFERROR(__xludf.DUMMYFUNCTION("""COMPUTED_VALUE"""),2.0)</f>
        <v>2</v>
      </c>
      <c r="G1674" s="1" t="str">
        <f>IFERROR(__xludf.DUMMYFUNCTION("""COMPUTED_VALUE"""),"PR046")</f>
        <v>PR046</v>
      </c>
      <c r="H1674" s="1" t="str">
        <f>IFERROR(__xludf.DUMMYFUNCTION("""COMPUTED_VALUE"""),"VD038")</f>
        <v>VD038</v>
      </c>
      <c r="I1674" s="1">
        <f>IFERROR(__xludf.DUMMYFUNCTION("""COMPUTED_VALUE"""),8.0)</f>
        <v>8</v>
      </c>
      <c r="J1674" s="1">
        <f>IFERROR(__xludf.DUMMYFUNCTION("""COMPUTED_VALUE"""),2527.93)</f>
        <v>2527.93</v>
      </c>
      <c r="K1674" s="1">
        <f>IFERROR(__xludf.DUMMYFUNCTION("""COMPUTED_VALUE"""),2527.93)</f>
        <v>2527.93</v>
      </c>
    </row>
    <row r="1675">
      <c r="A1675" s="1">
        <f>IFERROR(__xludf.DUMMYFUNCTION("""COMPUTED_VALUE"""),1000.0)</f>
        <v>1000</v>
      </c>
      <c r="B1675" s="1">
        <f>IFERROR(__xludf.DUMMYFUNCTION("""COMPUTED_VALUE"""),184671.0)</f>
        <v>184671</v>
      </c>
      <c r="C1675" s="1">
        <f>IFERROR(__xludf.DUMMYFUNCTION("""COMPUTED_VALUE"""),2026.0)</f>
        <v>2026</v>
      </c>
      <c r="D1675" s="1">
        <f>IFERROR(__xludf.DUMMYFUNCTION("""COMPUTED_VALUE"""),46037.0)</f>
        <v>46037</v>
      </c>
      <c r="E1675" s="1" t="str">
        <f>IFERROR(__xludf.DUMMYFUNCTION("""COMPUTED_VALUE"""),"VF")</f>
        <v>VF</v>
      </c>
      <c r="F1675" s="1">
        <f>IFERROR(__xludf.DUMMYFUNCTION("""COMPUTED_VALUE"""),1.0)</f>
        <v>1</v>
      </c>
      <c r="G1675" s="1" t="str">
        <f>IFERROR(__xludf.DUMMYFUNCTION("""COMPUTED_VALUE"""),"PR006")</f>
        <v>PR006</v>
      </c>
      <c r="H1675" s="1" t="str">
        <f>IFERROR(__xludf.DUMMYFUNCTION("""COMPUTED_VALUE"""),"VD030")</f>
        <v>VD030</v>
      </c>
      <c r="I1675" s="1">
        <f>IFERROR(__xludf.DUMMYFUNCTION("""COMPUTED_VALUE"""),8.0)</f>
        <v>8</v>
      </c>
      <c r="J1675" s="1">
        <f>IFERROR(__xludf.DUMMYFUNCTION("""COMPUTED_VALUE"""),335.16)</f>
        <v>335.16</v>
      </c>
      <c r="K1675" s="1">
        <f>IFERROR(__xludf.DUMMYFUNCTION("""COMPUTED_VALUE"""),335.16)</f>
        <v>335.16</v>
      </c>
    </row>
    <row r="1676">
      <c r="A1676" s="1">
        <f>IFERROR(__xludf.DUMMYFUNCTION("""COMPUTED_VALUE"""),1000.0)</f>
        <v>1000</v>
      </c>
      <c r="B1676" s="1">
        <f>IFERROR(__xludf.DUMMYFUNCTION("""COMPUTED_VALUE"""),184672.0)</f>
        <v>184672</v>
      </c>
      <c r="C1676" s="1">
        <f>IFERROR(__xludf.DUMMYFUNCTION("""COMPUTED_VALUE"""),2026.0)</f>
        <v>2026</v>
      </c>
      <c r="D1676" s="1">
        <f>IFERROR(__xludf.DUMMYFUNCTION("""COMPUTED_VALUE"""),46037.0)</f>
        <v>46037</v>
      </c>
      <c r="E1676" s="1" t="str">
        <f>IFERROR(__xludf.DUMMYFUNCTION("""COMPUTED_VALUE"""),"VF")</f>
        <v>VF</v>
      </c>
      <c r="F1676" s="1">
        <f>IFERROR(__xludf.DUMMYFUNCTION("""COMPUTED_VALUE"""),1.0)</f>
        <v>1</v>
      </c>
      <c r="G1676" s="1" t="str">
        <f>IFERROR(__xludf.DUMMYFUNCTION("""COMPUTED_VALUE"""),"PR052")</f>
        <v>PR052</v>
      </c>
      <c r="H1676" s="1" t="str">
        <f>IFERROR(__xludf.DUMMYFUNCTION("""COMPUTED_VALUE"""),"VD032")</f>
        <v>VD032</v>
      </c>
      <c r="I1676" s="1">
        <f>IFERROR(__xludf.DUMMYFUNCTION("""COMPUTED_VALUE"""),1.0)</f>
        <v>1</v>
      </c>
      <c r="J1676" s="1">
        <f>IFERROR(__xludf.DUMMYFUNCTION("""COMPUTED_VALUE"""),50.4)</f>
        <v>50.4</v>
      </c>
      <c r="K1676" s="1">
        <f>IFERROR(__xludf.DUMMYFUNCTION("""COMPUTED_VALUE"""),50.4)</f>
        <v>50.4</v>
      </c>
    </row>
    <row r="1677">
      <c r="A1677" s="1">
        <f>IFERROR(__xludf.DUMMYFUNCTION("""COMPUTED_VALUE"""),1000.0)</f>
        <v>1000</v>
      </c>
      <c r="B1677" s="1">
        <f>IFERROR(__xludf.DUMMYFUNCTION("""COMPUTED_VALUE"""),184673.0)</f>
        <v>184673</v>
      </c>
      <c r="C1677" s="1">
        <f>IFERROR(__xludf.DUMMYFUNCTION("""COMPUTED_VALUE"""),2026.0)</f>
        <v>2026</v>
      </c>
      <c r="D1677" s="1">
        <f>IFERROR(__xludf.DUMMYFUNCTION("""COMPUTED_VALUE"""),46037.0)</f>
        <v>46037</v>
      </c>
      <c r="E1677" s="1" t="str">
        <f>IFERROR(__xludf.DUMMYFUNCTION("""COMPUTED_VALUE"""),"VF")</f>
        <v>VF</v>
      </c>
      <c r="F1677" s="1">
        <f>IFERROR(__xludf.DUMMYFUNCTION("""COMPUTED_VALUE"""),1.0)</f>
        <v>1</v>
      </c>
      <c r="G1677" s="1" t="str">
        <f>IFERROR(__xludf.DUMMYFUNCTION("""COMPUTED_VALUE"""),"PR057")</f>
        <v>PR057</v>
      </c>
      <c r="H1677" s="1" t="str">
        <f>IFERROR(__xludf.DUMMYFUNCTION("""COMPUTED_VALUE"""),"VD038")</f>
        <v>VD038</v>
      </c>
      <c r="I1677" s="1">
        <f>IFERROR(__xludf.DUMMYFUNCTION("""COMPUTED_VALUE"""),2.0)</f>
        <v>2</v>
      </c>
      <c r="J1677" s="1">
        <f>IFERROR(__xludf.DUMMYFUNCTION("""COMPUTED_VALUE"""),197.78)</f>
        <v>197.78</v>
      </c>
      <c r="K1677" s="1">
        <f>IFERROR(__xludf.DUMMYFUNCTION("""COMPUTED_VALUE"""),197.78)</f>
        <v>197.78</v>
      </c>
    </row>
    <row r="1678">
      <c r="A1678" s="1">
        <f>IFERROR(__xludf.DUMMYFUNCTION("""COMPUTED_VALUE"""),1000.0)</f>
        <v>1000</v>
      </c>
      <c r="B1678" s="1">
        <f>IFERROR(__xludf.DUMMYFUNCTION("""COMPUTED_VALUE"""),184674.0)</f>
        <v>184674</v>
      </c>
      <c r="C1678" s="1">
        <f>IFERROR(__xludf.DUMMYFUNCTION("""COMPUTED_VALUE"""),2026.0)</f>
        <v>2026</v>
      </c>
      <c r="D1678" s="1">
        <f>IFERROR(__xludf.DUMMYFUNCTION("""COMPUTED_VALUE"""),46036.0)</f>
        <v>46036</v>
      </c>
      <c r="E1678" s="1" t="str">
        <f>IFERROR(__xludf.DUMMYFUNCTION("""COMPUTED_VALUE"""),"VF")</f>
        <v>VF</v>
      </c>
      <c r="F1678" s="1">
        <f>IFERROR(__xludf.DUMMYFUNCTION("""COMPUTED_VALUE"""),1.0)</f>
        <v>1</v>
      </c>
      <c r="G1678" s="1" t="str">
        <f>IFERROR(__xludf.DUMMYFUNCTION("""COMPUTED_VALUE"""),"PR056")</f>
        <v>PR056</v>
      </c>
      <c r="H1678" s="1" t="str">
        <f>IFERROR(__xludf.DUMMYFUNCTION("""COMPUTED_VALUE"""),"VD020")</f>
        <v>VD020</v>
      </c>
      <c r="I1678" s="1">
        <f>IFERROR(__xludf.DUMMYFUNCTION("""COMPUTED_VALUE"""),6.0)</f>
        <v>6</v>
      </c>
      <c r="J1678" s="1">
        <f>IFERROR(__xludf.DUMMYFUNCTION("""COMPUTED_VALUE"""),587.95)</f>
        <v>587.95</v>
      </c>
      <c r="K1678" s="1">
        <f>IFERROR(__xludf.DUMMYFUNCTION("""COMPUTED_VALUE"""),587.95)</f>
        <v>587.95</v>
      </c>
    </row>
    <row r="1679">
      <c r="A1679" s="1">
        <f>IFERROR(__xludf.DUMMYFUNCTION("""COMPUTED_VALUE"""),1000.0)</f>
        <v>1000</v>
      </c>
      <c r="B1679" s="1">
        <f>IFERROR(__xludf.DUMMYFUNCTION("""COMPUTED_VALUE"""),184674.0)</f>
        <v>184674</v>
      </c>
      <c r="C1679" s="1">
        <f>IFERROR(__xludf.DUMMYFUNCTION("""COMPUTED_VALUE"""),2026.0)</f>
        <v>2026</v>
      </c>
      <c r="D1679" s="1">
        <f>IFERROR(__xludf.DUMMYFUNCTION("""COMPUTED_VALUE"""),46036.0)</f>
        <v>46036</v>
      </c>
      <c r="E1679" s="1" t="str">
        <f>IFERROR(__xludf.DUMMYFUNCTION("""COMPUTED_VALUE"""),"VF")</f>
        <v>VF</v>
      </c>
      <c r="F1679" s="1">
        <f>IFERROR(__xludf.DUMMYFUNCTION("""COMPUTED_VALUE"""),2.0)</f>
        <v>2</v>
      </c>
      <c r="G1679" s="1" t="str">
        <f>IFERROR(__xludf.DUMMYFUNCTION("""COMPUTED_VALUE"""),"PR024")</f>
        <v>PR024</v>
      </c>
      <c r="H1679" s="1" t="str">
        <f>IFERROR(__xludf.DUMMYFUNCTION("""COMPUTED_VALUE"""),"VD049")</f>
        <v>VD049</v>
      </c>
      <c r="I1679" s="1">
        <f>IFERROR(__xludf.DUMMYFUNCTION("""COMPUTED_VALUE"""),3.0)</f>
        <v>3</v>
      </c>
      <c r="J1679" s="1">
        <f>IFERROR(__xludf.DUMMYFUNCTION("""COMPUTED_VALUE"""),810.89)</f>
        <v>810.89</v>
      </c>
      <c r="K1679" s="1">
        <f>IFERROR(__xludf.DUMMYFUNCTION("""COMPUTED_VALUE"""),810.89)</f>
        <v>810.89</v>
      </c>
    </row>
    <row r="1680">
      <c r="A1680" s="1">
        <f>IFERROR(__xludf.DUMMYFUNCTION("""COMPUTED_VALUE"""),1000.0)</f>
        <v>1000</v>
      </c>
      <c r="B1680" s="1">
        <f>IFERROR(__xludf.DUMMYFUNCTION("""COMPUTED_VALUE"""),184675.0)</f>
        <v>184675</v>
      </c>
      <c r="C1680" s="1">
        <f>IFERROR(__xludf.DUMMYFUNCTION("""COMPUTED_VALUE"""),2026.0)</f>
        <v>2026</v>
      </c>
      <c r="D1680" s="1">
        <f>IFERROR(__xludf.DUMMYFUNCTION("""COMPUTED_VALUE"""),46036.0)</f>
        <v>46036</v>
      </c>
      <c r="E1680" s="1" t="str">
        <f>IFERROR(__xludf.DUMMYFUNCTION("""COMPUTED_VALUE"""),"VF")</f>
        <v>VF</v>
      </c>
      <c r="F1680" s="1">
        <f>IFERROR(__xludf.DUMMYFUNCTION("""COMPUTED_VALUE"""),1.0)</f>
        <v>1</v>
      </c>
      <c r="G1680" s="1" t="str">
        <f>IFERROR(__xludf.DUMMYFUNCTION("""COMPUTED_VALUE"""),"PR036")</f>
        <v>PR036</v>
      </c>
      <c r="H1680" s="1" t="str">
        <f>IFERROR(__xludf.DUMMYFUNCTION("""COMPUTED_VALUE"""),"VD021")</f>
        <v>VD021</v>
      </c>
      <c r="I1680" s="1">
        <f>IFERROR(__xludf.DUMMYFUNCTION("""COMPUTED_VALUE"""),2.0)</f>
        <v>2</v>
      </c>
      <c r="J1680" s="1">
        <f>IFERROR(__xludf.DUMMYFUNCTION("""COMPUTED_VALUE"""),198.22)</f>
        <v>198.22</v>
      </c>
      <c r="K1680" s="1">
        <f>IFERROR(__xludf.DUMMYFUNCTION("""COMPUTED_VALUE"""),198.22)</f>
        <v>198.22</v>
      </c>
    </row>
    <row r="1681">
      <c r="A1681" s="1">
        <f>IFERROR(__xludf.DUMMYFUNCTION("""COMPUTED_VALUE"""),2000.0)</f>
        <v>2000</v>
      </c>
      <c r="B1681" s="1">
        <f>IFERROR(__xludf.DUMMYFUNCTION("""COMPUTED_VALUE"""),184676.0)</f>
        <v>184676</v>
      </c>
      <c r="C1681" s="1">
        <f>IFERROR(__xludf.DUMMYFUNCTION("""COMPUTED_VALUE"""),2026.0)</f>
        <v>2026</v>
      </c>
      <c r="D1681" s="1">
        <f>IFERROR(__xludf.DUMMYFUNCTION("""COMPUTED_VALUE"""),46036.0)</f>
        <v>46036</v>
      </c>
      <c r="E1681" s="1" t="str">
        <f>IFERROR(__xludf.DUMMYFUNCTION("""COMPUTED_VALUE"""),"VF")</f>
        <v>VF</v>
      </c>
      <c r="F1681" s="1">
        <f>IFERROR(__xludf.DUMMYFUNCTION("""COMPUTED_VALUE"""),1.0)</f>
        <v>1</v>
      </c>
      <c r="G1681" s="1" t="str">
        <f>IFERROR(__xludf.DUMMYFUNCTION("""COMPUTED_VALUE"""),"PR024")</f>
        <v>PR024</v>
      </c>
      <c r="H1681" s="1" t="str">
        <f>IFERROR(__xludf.DUMMYFUNCTION("""COMPUTED_VALUE"""),"VD031")</f>
        <v>VD031</v>
      </c>
      <c r="I1681" s="1">
        <f>IFERROR(__xludf.DUMMYFUNCTION("""COMPUTED_VALUE"""),4.0)</f>
        <v>4</v>
      </c>
      <c r="J1681" s="1">
        <f>IFERROR(__xludf.DUMMYFUNCTION("""COMPUTED_VALUE"""),1101.98)</f>
        <v>1101.98</v>
      </c>
      <c r="K1681" s="1">
        <f>IFERROR(__xludf.DUMMYFUNCTION("""COMPUTED_VALUE"""),1101.98)</f>
        <v>1101.98</v>
      </c>
    </row>
    <row r="1682">
      <c r="A1682" s="1">
        <f>IFERROR(__xludf.DUMMYFUNCTION("""COMPUTED_VALUE"""),2000.0)</f>
        <v>2000</v>
      </c>
      <c r="B1682" s="1">
        <f>IFERROR(__xludf.DUMMYFUNCTION("""COMPUTED_VALUE"""),184677.0)</f>
        <v>184677</v>
      </c>
      <c r="C1682" s="1">
        <f>IFERROR(__xludf.DUMMYFUNCTION("""COMPUTED_VALUE"""),2026.0)</f>
        <v>2026</v>
      </c>
      <c r="D1682" s="1">
        <f>IFERROR(__xludf.DUMMYFUNCTION("""COMPUTED_VALUE"""),46035.0)</f>
        <v>46035</v>
      </c>
      <c r="E1682" s="1" t="str">
        <f>IFERROR(__xludf.DUMMYFUNCTION("""COMPUTED_VALUE"""),"VF")</f>
        <v>VF</v>
      </c>
      <c r="F1682" s="1">
        <f>IFERROR(__xludf.DUMMYFUNCTION("""COMPUTED_VALUE"""),1.0)</f>
        <v>1</v>
      </c>
      <c r="G1682" s="1" t="str">
        <f>IFERROR(__xludf.DUMMYFUNCTION("""COMPUTED_VALUE"""),"PR011")</f>
        <v>PR011</v>
      </c>
      <c r="H1682" s="1" t="str">
        <f>IFERROR(__xludf.DUMMYFUNCTION("""COMPUTED_VALUE"""),"VD019")</f>
        <v>VD019</v>
      </c>
      <c r="I1682" s="1">
        <f>IFERROR(__xludf.DUMMYFUNCTION("""COMPUTED_VALUE"""),20.0)</f>
        <v>20</v>
      </c>
      <c r="J1682" s="1">
        <f>IFERROR(__xludf.DUMMYFUNCTION("""COMPUTED_VALUE"""),938.0)</f>
        <v>938</v>
      </c>
      <c r="K1682" s="1">
        <f>IFERROR(__xludf.DUMMYFUNCTION("""COMPUTED_VALUE"""),938.0)</f>
        <v>938</v>
      </c>
    </row>
    <row r="1683">
      <c r="A1683" s="1">
        <f>IFERROR(__xludf.DUMMYFUNCTION("""COMPUTED_VALUE"""),2000.0)</f>
        <v>2000</v>
      </c>
      <c r="B1683" s="1">
        <f>IFERROR(__xludf.DUMMYFUNCTION("""COMPUTED_VALUE"""),184678.0)</f>
        <v>184678</v>
      </c>
      <c r="C1683" s="1">
        <f>IFERROR(__xludf.DUMMYFUNCTION("""COMPUTED_VALUE"""),2026.0)</f>
        <v>2026</v>
      </c>
      <c r="D1683" s="1">
        <f>IFERROR(__xludf.DUMMYFUNCTION("""COMPUTED_VALUE"""),46035.0)</f>
        <v>46035</v>
      </c>
      <c r="E1683" s="1" t="str">
        <f>IFERROR(__xludf.DUMMYFUNCTION("""COMPUTED_VALUE"""),"VF")</f>
        <v>VF</v>
      </c>
      <c r="F1683" s="1">
        <f>IFERROR(__xludf.DUMMYFUNCTION("""COMPUTED_VALUE"""),1.0)</f>
        <v>1</v>
      </c>
      <c r="G1683" s="1" t="str">
        <f>IFERROR(__xludf.DUMMYFUNCTION("""COMPUTED_VALUE"""),"PR019")</f>
        <v>PR019</v>
      </c>
      <c r="H1683" s="1" t="str">
        <f>IFERROR(__xludf.DUMMYFUNCTION("""COMPUTED_VALUE"""),"VD012")</f>
        <v>VD012</v>
      </c>
      <c r="I1683" s="1">
        <f>IFERROR(__xludf.DUMMYFUNCTION("""COMPUTED_VALUE"""),10.0)</f>
        <v>10</v>
      </c>
      <c r="J1683" s="1">
        <f>IFERROR(__xludf.DUMMYFUNCTION("""COMPUTED_VALUE"""),533.93)</f>
        <v>533.93</v>
      </c>
      <c r="K1683" s="1">
        <f>IFERROR(__xludf.DUMMYFUNCTION("""COMPUTED_VALUE"""),533.93)</f>
        <v>533.93</v>
      </c>
    </row>
    <row r="1684">
      <c r="A1684" s="1">
        <f>IFERROR(__xludf.DUMMYFUNCTION("""COMPUTED_VALUE"""),2000.0)</f>
        <v>2000</v>
      </c>
      <c r="B1684" s="1">
        <f>IFERROR(__xludf.DUMMYFUNCTION("""COMPUTED_VALUE"""),184679.0)</f>
        <v>184679</v>
      </c>
      <c r="C1684" s="1">
        <f>IFERROR(__xludf.DUMMYFUNCTION("""COMPUTED_VALUE"""),2026.0)</f>
        <v>2026</v>
      </c>
      <c r="D1684" s="1">
        <f>IFERROR(__xludf.DUMMYFUNCTION("""COMPUTED_VALUE"""),46035.0)</f>
        <v>46035</v>
      </c>
      <c r="E1684" s="1" t="str">
        <f>IFERROR(__xludf.DUMMYFUNCTION("""COMPUTED_VALUE"""),"VF")</f>
        <v>VF</v>
      </c>
      <c r="F1684" s="1">
        <f>IFERROR(__xludf.DUMMYFUNCTION("""COMPUTED_VALUE"""),1.0)</f>
        <v>1</v>
      </c>
      <c r="G1684" s="1" t="str">
        <f>IFERROR(__xludf.DUMMYFUNCTION("""COMPUTED_VALUE"""),"PR058")</f>
        <v>PR058</v>
      </c>
      <c r="H1684" s="1" t="str">
        <f>IFERROR(__xludf.DUMMYFUNCTION("""COMPUTED_VALUE"""),"VD019")</f>
        <v>VD019</v>
      </c>
      <c r="I1684" s="1">
        <f>IFERROR(__xludf.DUMMYFUNCTION("""COMPUTED_VALUE"""),7.0)</f>
        <v>7</v>
      </c>
      <c r="J1684" s="1">
        <f>IFERROR(__xludf.DUMMYFUNCTION("""COMPUTED_VALUE"""),1386.0)</f>
        <v>1386</v>
      </c>
      <c r="K1684" s="1">
        <f>IFERROR(__xludf.DUMMYFUNCTION("""COMPUTED_VALUE"""),1386.0)</f>
        <v>1386</v>
      </c>
    </row>
    <row r="1685">
      <c r="A1685" s="1">
        <f>IFERROR(__xludf.DUMMYFUNCTION("""COMPUTED_VALUE"""),1000.0)</f>
        <v>1000</v>
      </c>
      <c r="B1685" s="1">
        <f>IFERROR(__xludf.DUMMYFUNCTION("""COMPUTED_VALUE"""),184680.0)</f>
        <v>184680</v>
      </c>
      <c r="C1685" s="1">
        <f>IFERROR(__xludf.DUMMYFUNCTION("""COMPUTED_VALUE"""),2026.0)</f>
        <v>2026</v>
      </c>
      <c r="D1685" s="1">
        <f>IFERROR(__xludf.DUMMYFUNCTION("""COMPUTED_VALUE"""),46034.0)</f>
        <v>46034</v>
      </c>
      <c r="E1685" s="1" t="str">
        <f>IFERROR(__xludf.DUMMYFUNCTION("""COMPUTED_VALUE"""),"VF")</f>
        <v>VF</v>
      </c>
      <c r="F1685" s="1">
        <f>IFERROR(__xludf.DUMMYFUNCTION("""COMPUTED_VALUE"""),1.0)</f>
        <v>1</v>
      </c>
      <c r="G1685" s="1" t="str">
        <f>IFERROR(__xludf.DUMMYFUNCTION("""COMPUTED_VALUE"""),"PR034")</f>
        <v>PR034</v>
      </c>
      <c r="H1685" s="1" t="str">
        <f>IFERROR(__xludf.DUMMYFUNCTION("""COMPUTED_VALUE"""),"VD039")</f>
        <v>VD039</v>
      </c>
      <c r="I1685" s="1">
        <f>IFERROR(__xludf.DUMMYFUNCTION("""COMPUTED_VALUE"""),16.0)</f>
        <v>16</v>
      </c>
      <c r="J1685" s="1">
        <f>IFERROR(__xludf.DUMMYFUNCTION("""COMPUTED_VALUE"""),1524.7)</f>
        <v>1524.7</v>
      </c>
      <c r="K1685" s="1">
        <f>IFERROR(__xludf.DUMMYFUNCTION("""COMPUTED_VALUE"""),1524.7)</f>
        <v>1524.7</v>
      </c>
    </row>
    <row r="1686">
      <c r="A1686" s="1">
        <f>IFERROR(__xludf.DUMMYFUNCTION("""COMPUTED_VALUE"""),1000.0)</f>
        <v>1000</v>
      </c>
      <c r="B1686" s="1">
        <f>IFERROR(__xludf.DUMMYFUNCTION("""COMPUTED_VALUE"""),184681.0)</f>
        <v>184681</v>
      </c>
      <c r="C1686" s="1">
        <f>IFERROR(__xludf.DUMMYFUNCTION("""COMPUTED_VALUE"""),2026.0)</f>
        <v>2026</v>
      </c>
      <c r="D1686" s="1">
        <f>IFERROR(__xludf.DUMMYFUNCTION("""COMPUTED_VALUE"""),46034.0)</f>
        <v>46034</v>
      </c>
      <c r="E1686" s="1" t="str">
        <f>IFERROR(__xludf.DUMMYFUNCTION("""COMPUTED_VALUE"""),"VF")</f>
        <v>VF</v>
      </c>
      <c r="F1686" s="1">
        <f>IFERROR(__xludf.DUMMYFUNCTION("""COMPUTED_VALUE"""),1.0)</f>
        <v>1</v>
      </c>
      <c r="G1686" s="1" t="str">
        <f>IFERROR(__xludf.DUMMYFUNCTION("""COMPUTED_VALUE"""),"PR043")</f>
        <v>PR043</v>
      </c>
      <c r="H1686" s="1" t="str">
        <f>IFERROR(__xludf.DUMMYFUNCTION("""COMPUTED_VALUE"""),"VD046")</f>
        <v>VD046</v>
      </c>
      <c r="I1686" s="1">
        <f>IFERROR(__xludf.DUMMYFUNCTION("""COMPUTED_VALUE"""),3.0)</f>
        <v>3</v>
      </c>
      <c r="J1686" s="1">
        <f>IFERROR(__xludf.DUMMYFUNCTION("""COMPUTED_VALUE"""),230.55)</f>
        <v>230.55</v>
      </c>
      <c r="K1686" s="1">
        <f>IFERROR(__xludf.DUMMYFUNCTION("""COMPUTED_VALUE"""),230.55)</f>
        <v>230.55</v>
      </c>
    </row>
    <row r="1687">
      <c r="A1687" s="1">
        <f>IFERROR(__xludf.DUMMYFUNCTION("""COMPUTED_VALUE"""),1000.0)</f>
        <v>1000</v>
      </c>
      <c r="B1687" s="1">
        <f>IFERROR(__xludf.DUMMYFUNCTION("""COMPUTED_VALUE"""),184682.0)</f>
        <v>184682</v>
      </c>
      <c r="C1687" s="1">
        <f>IFERROR(__xludf.DUMMYFUNCTION("""COMPUTED_VALUE"""),2026.0)</f>
        <v>2026</v>
      </c>
      <c r="D1687" s="1">
        <f>IFERROR(__xludf.DUMMYFUNCTION("""COMPUTED_VALUE"""),46034.0)</f>
        <v>46034</v>
      </c>
      <c r="E1687" s="1" t="str">
        <f>IFERROR(__xludf.DUMMYFUNCTION("""COMPUTED_VALUE"""),"VF")</f>
        <v>VF</v>
      </c>
      <c r="F1687" s="1">
        <f>IFERROR(__xludf.DUMMYFUNCTION("""COMPUTED_VALUE"""),1.0)</f>
        <v>1</v>
      </c>
      <c r="G1687" s="1" t="str">
        <f>IFERROR(__xludf.DUMMYFUNCTION("""COMPUTED_VALUE"""),"PR052")</f>
        <v>PR052</v>
      </c>
      <c r="H1687" s="1" t="str">
        <f>IFERROR(__xludf.DUMMYFUNCTION("""COMPUTED_VALUE"""),"VD045")</f>
        <v>VD045</v>
      </c>
      <c r="I1687" s="1">
        <f>IFERROR(__xludf.DUMMYFUNCTION("""COMPUTED_VALUE"""),3.0)</f>
        <v>3</v>
      </c>
      <c r="J1687" s="1">
        <f>IFERROR(__xludf.DUMMYFUNCTION("""COMPUTED_VALUE"""),163.17)</f>
        <v>163.17</v>
      </c>
      <c r="K1687" s="1">
        <f>IFERROR(__xludf.DUMMYFUNCTION("""COMPUTED_VALUE"""),163.17)</f>
        <v>163.17</v>
      </c>
    </row>
    <row r="1688">
      <c r="A1688" s="1">
        <f>IFERROR(__xludf.DUMMYFUNCTION("""COMPUTED_VALUE"""),1000.0)</f>
        <v>1000</v>
      </c>
      <c r="B1688" s="1">
        <f>IFERROR(__xludf.DUMMYFUNCTION("""COMPUTED_VALUE"""),184683.0)</f>
        <v>184683</v>
      </c>
      <c r="C1688" s="1">
        <f>IFERROR(__xludf.DUMMYFUNCTION("""COMPUTED_VALUE"""),2026.0)</f>
        <v>2026</v>
      </c>
      <c r="D1688" s="1">
        <f>IFERROR(__xludf.DUMMYFUNCTION("""COMPUTED_VALUE"""),46034.0)</f>
        <v>46034</v>
      </c>
      <c r="E1688" s="1" t="str">
        <f>IFERROR(__xludf.DUMMYFUNCTION("""COMPUTED_VALUE"""),"VF")</f>
        <v>VF</v>
      </c>
      <c r="F1688" s="1">
        <f>IFERROR(__xludf.DUMMYFUNCTION("""COMPUTED_VALUE"""),1.0)</f>
        <v>1</v>
      </c>
      <c r="G1688" s="1" t="str">
        <f>IFERROR(__xludf.DUMMYFUNCTION("""COMPUTED_VALUE"""),"PR054")</f>
        <v>PR054</v>
      </c>
      <c r="H1688" s="1" t="str">
        <f>IFERROR(__xludf.DUMMYFUNCTION("""COMPUTED_VALUE"""),"VD041")</f>
        <v>VD041</v>
      </c>
      <c r="I1688" s="1">
        <f>IFERROR(__xludf.DUMMYFUNCTION("""COMPUTED_VALUE"""),12.0)</f>
        <v>12</v>
      </c>
      <c r="J1688" s="1">
        <f>IFERROR(__xludf.DUMMYFUNCTION("""COMPUTED_VALUE"""),622.75)</f>
        <v>622.75</v>
      </c>
      <c r="K1688" s="1">
        <f>IFERROR(__xludf.DUMMYFUNCTION("""COMPUTED_VALUE"""),622.75)</f>
        <v>622.75</v>
      </c>
    </row>
    <row r="1689">
      <c r="A1689" s="1">
        <f>IFERROR(__xludf.DUMMYFUNCTION("""COMPUTED_VALUE"""),1000.0)</f>
        <v>1000</v>
      </c>
      <c r="B1689" s="1">
        <f>IFERROR(__xludf.DUMMYFUNCTION("""COMPUTED_VALUE"""),184684.0)</f>
        <v>184684</v>
      </c>
      <c r="C1689" s="1">
        <f>IFERROR(__xludf.DUMMYFUNCTION("""COMPUTED_VALUE"""),2026.0)</f>
        <v>2026</v>
      </c>
      <c r="D1689" s="1">
        <f>IFERROR(__xludf.DUMMYFUNCTION("""COMPUTED_VALUE"""),46034.0)</f>
        <v>46034</v>
      </c>
      <c r="E1689" s="1" t="str">
        <f>IFERROR(__xludf.DUMMYFUNCTION("""COMPUTED_VALUE"""),"VF")</f>
        <v>VF</v>
      </c>
      <c r="F1689" s="1">
        <f>IFERROR(__xludf.DUMMYFUNCTION("""COMPUTED_VALUE"""),1.0)</f>
        <v>1</v>
      </c>
      <c r="G1689" s="1" t="str">
        <f>IFERROR(__xludf.DUMMYFUNCTION("""COMPUTED_VALUE"""),"PR059")</f>
        <v>PR059</v>
      </c>
      <c r="H1689" s="1" t="str">
        <f>IFERROR(__xludf.DUMMYFUNCTION("""COMPUTED_VALUE"""),"VD014")</f>
        <v>VD014</v>
      </c>
      <c r="I1689" s="1">
        <f>IFERROR(__xludf.DUMMYFUNCTION("""COMPUTED_VALUE"""),7.0)</f>
        <v>7</v>
      </c>
      <c r="J1689" s="1">
        <f>IFERROR(__xludf.DUMMYFUNCTION("""COMPUTED_VALUE"""),1310.4)</f>
        <v>1310.4</v>
      </c>
      <c r="K1689" s="1">
        <f>IFERROR(__xludf.DUMMYFUNCTION("""COMPUTED_VALUE"""),1310.4)</f>
        <v>1310.4</v>
      </c>
    </row>
    <row r="1690">
      <c r="A1690" s="1">
        <f>IFERROR(__xludf.DUMMYFUNCTION("""COMPUTED_VALUE"""),1000.0)</f>
        <v>1000</v>
      </c>
      <c r="B1690" s="1">
        <f>IFERROR(__xludf.DUMMYFUNCTION("""COMPUTED_VALUE"""),184685.0)</f>
        <v>184685</v>
      </c>
      <c r="C1690" s="1">
        <f>IFERROR(__xludf.DUMMYFUNCTION("""COMPUTED_VALUE"""),2026.0)</f>
        <v>2026</v>
      </c>
      <c r="D1690" s="1">
        <f>IFERROR(__xludf.DUMMYFUNCTION("""COMPUTED_VALUE"""),46033.0)</f>
        <v>46033</v>
      </c>
      <c r="E1690" s="1" t="str">
        <f>IFERROR(__xludf.DUMMYFUNCTION("""COMPUTED_VALUE"""),"VF")</f>
        <v>VF</v>
      </c>
      <c r="F1690" s="1">
        <f>IFERROR(__xludf.DUMMYFUNCTION("""COMPUTED_VALUE"""),1.0)</f>
        <v>1</v>
      </c>
      <c r="G1690" s="1" t="str">
        <f>IFERROR(__xludf.DUMMYFUNCTION("""COMPUTED_VALUE"""),"PR020")</f>
        <v>PR020</v>
      </c>
      <c r="H1690" s="1" t="str">
        <f>IFERROR(__xludf.DUMMYFUNCTION("""COMPUTED_VALUE"""),"VD036")</f>
        <v>VD036</v>
      </c>
      <c r="I1690" s="1">
        <f>IFERROR(__xludf.DUMMYFUNCTION("""COMPUTED_VALUE"""),20.0)</f>
        <v>20</v>
      </c>
      <c r="J1690" s="1">
        <f>IFERROR(__xludf.DUMMYFUNCTION("""COMPUTED_VALUE"""),6357.88)</f>
        <v>6357.88</v>
      </c>
      <c r="K1690" s="1">
        <f>IFERROR(__xludf.DUMMYFUNCTION("""COMPUTED_VALUE"""),6357.88)</f>
        <v>6357.88</v>
      </c>
    </row>
    <row r="1691">
      <c r="A1691" s="1">
        <f>IFERROR(__xludf.DUMMYFUNCTION("""COMPUTED_VALUE"""),1000.0)</f>
        <v>1000</v>
      </c>
      <c r="B1691" s="1">
        <f>IFERROR(__xludf.DUMMYFUNCTION("""COMPUTED_VALUE"""),184685.0)</f>
        <v>184685</v>
      </c>
      <c r="C1691" s="1">
        <f>IFERROR(__xludf.DUMMYFUNCTION("""COMPUTED_VALUE"""),2026.0)</f>
        <v>2026</v>
      </c>
      <c r="D1691" s="1">
        <f>IFERROR(__xludf.DUMMYFUNCTION("""COMPUTED_VALUE"""),46033.0)</f>
        <v>46033</v>
      </c>
      <c r="E1691" s="1" t="str">
        <f>IFERROR(__xludf.DUMMYFUNCTION("""COMPUTED_VALUE"""),"VF")</f>
        <v>VF</v>
      </c>
      <c r="F1691" s="1">
        <f>IFERROR(__xludf.DUMMYFUNCTION("""COMPUTED_VALUE"""),2.0)</f>
        <v>2</v>
      </c>
      <c r="G1691" s="1" t="str">
        <f>IFERROR(__xludf.DUMMYFUNCTION("""COMPUTED_VALUE"""),"PR017")</f>
        <v>PR017</v>
      </c>
      <c r="H1691" s="1" t="str">
        <f>IFERROR(__xludf.DUMMYFUNCTION("""COMPUTED_VALUE"""),"VD027")</f>
        <v>VD027</v>
      </c>
      <c r="I1691" s="1">
        <f>IFERROR(__xludf.DUMMYFUNCTION("""COMPUTED_VALUE"""),12.0)</f>
        <v>12</v>
      </c>
      <c r="J1691" s="1">
        <f>IFERROR(__xludf.DUMMYFUNCTION("""COMPUTED_VALUE"""),391.09)</f>
        <v>391.09</v>
      </c>
      <c r="K1691" s="1">
        <f>IFERROR(__xludf.DUMMYFUNCTION("""COMPUTED_VALUE"""),391.09)</f>
        <v>391.09</v>
      </c>
    </row>
    <row r="1692">
      <c r="A1692" s="1">
        <f>IFERROR(__xludf.DUMMYFUNCTION("""COMPUTED_VALUE"""),1000.0)</f>
        <v>1000</v>
      </c>
      <c r="B1692" s="1">
        <f>IFERROR(__xludf.DUMMYFUNCTION("""COMPUTED_VALUE"""),184686.0)</f>
        <v>184686</v>
      </c>
      <c r="C1692" s="1">
        <f>IFERROR(__xludf.DUMMYFUNCTION("""COMPUTED_VALUE"""),2026.0)</f>
        <v>2026</v>
      </c>
      <c r="D1692" s="1">
        <f>IFERROR(__xludf.DUMMYFUNCTION("""COMPUTED_VALUE"""),46033.0)</f>
        <v>46033</v>
      </c>
      <c r="E1692" s="1" t="str">
        <f>IFERROR(__xludf.DUMMYFUNCTION("""COMPUTED_VALUE"""),"VF")</f>
        <v>VF</v>
      </c>
      <c r="F1692" s="1">
        <f>IFERROR(__xludf.DUMMYFUNCTION("""COMPUTED_VALUE"""),1.0)</f>
        <v>1</v>
      </c>
      <c r="G1692" s="1" t="str">
        <f>IFERROR(__xludf.DUMMYFUNCTION("""COMPUTED_VALUE"""),"PR049")</f>
        <v>PR049</v>
      </c>
      <c r="H1692" s="1" t="str">
        <f>IFERROR(__xludf.DUMMYFUNCTION("""COMPUTED_VALUE"""),"VD039")</f>
        <v>VD039</v>
      </c>
      <c r="I1692" s="1">
        <f>IFERROR(__xludf.DUMMYFUNCTION("""COMPUTED_VALUE"""),4.0)</f>
        <v>4</v>
      </c>
      <c r="J1692" s="1">
        <f>IFERROR(__xludf.DUMMYFUNCTION("""COMPUTED_VALUE"""),139.5)</f>
        <v>139.5</v>
      </c>
      <c r="K1692" s="1">
        <f>IFERROR(__xludf.DUMMYFUNCTION("""COMPUTED_VALUE"""),139.5)</f>
        <v>139.5</v>
      </c>
    </row>
    <row r="1693">
      <c r="A1693" s="1">
        <f>IFERROR(__xludf.DUMMYFUNCTION("""COMPUTED_VALUE"""),2000.0)</f>
        <v>2000</v>
      </c>
      <c r="B1693" s="1">
        <f>IFERROR(__xludf.DUMMYFUNCTION("""COMPUTED_VALUE"""),184687.0)</f>
        <v>184687</v>
      </c>
      <c r="C1693" s="1">
        <f>IFERROR(__xludf.DUMMYFUNCTION("""COMPUTED_VALUE"""),2026.0)</f>
        <v>2026</v>
      </c>
      <c r="D1693" s="1">
        <f>IFERROR(__xludf.DUMMYFUNCTION("""COMPUTED_VALUE"""),46033.0)</f>
        <v>46033</v>
      </c>
      <c r="E1693" s="1" t="str">
        <f>IFERROR(__xludf.DUMMYFUNCTION("""COMPUTED_VALUE"""),"VF")</f>
        <v>VF</v>
      </c>
      <c r="F1693" s="1">
        <f>IFERROR(__xludf.DUMMYFUNCTION("""COMPUTED_VALUE"""),1.0)</f>
        <v>1</v>
      </c>
      <c r="G1693" s="1" t="str">
        <f>IFERROR(__xludf.DUMMYFUNCTION("""COMPUTED_VALUE"""),"PR034")</f>
        <v>PR034</v>
      </c>
      <c r="H1693" s="1" t="str">
        <f>IFERROR(__xludf.DUMMYFUNCTION("""COMPUTED_VALUE"""),"VD017")</f>
        <v>VD017</v>
      </c>
      <c r="I1693" s="1">
        <f>IFERROR(__xludf.DUMMYFUNCTION("""COMPUTED_VALUE"""),8.0)</f>
        <v>8</v>
      </c>
      <c r="J1693" s="1">
        <f>IFERROR(__xludf.DUMMYFUNCTION("""COMPUTED_VALUE"""),733.58)</f>
        <v>733.58</v>
      </c>
      <c r="K1693" s="1">
        <f>IFERROR(__xludf.DUMMYFUNCTION("""COMPUTED_VALUE"""),733.58)</f>
        <v>733.58</v>
      </c>
    </row>
    <row r="1694">
      <c r="A1694" s="1">
        <f>IFERROR(__xludf.DUMMYFUNCTION("""COMPUTED_VALUE"""),2000.0)</f>
        <v>2000</v>
      </c>
      <c r="B1694" s="1">
        <f>IFERROR(__xludf.DUMMYFUNCTION("""COMPUTED_VALUE"""),184688.0)</f>
        <v>184688</v>
      </c>
      <c r="C1694" s="1">
        <f>IFERROR(__xludf.DUMMYFUNCTION("""COMPUTED_VALUE"""),2026.0)</f>
        <v>2026</v>
      </c>
      <c r="D1694" s="1">
        <f>IFERROR(__xludf.DUMMYFUNCTION("""COMPUTED_VALUE"""),46032.0)</f>
        <v>46032</v>
      </c>
      <c r="E1694" s="1" t="str">
        <f>IFERROR(__xludf.DUMMYFUNCTION("""COMPUTED_VALUE"""),"VF")</f>
        <v>VF</v>
      </c>
      <c r="F1694" s="1">
        <f>IFERROR(__xludf.DUMMYFUNCTION("""COMPUTED_VALUE"""),1.0)</f>
        <v>1</v>
      </c>
      <c r="G1694" s="1" t="str">
        <f>IFERROR(__xludf.DUMMYFUNCTION("""COMPUTED_VALUE"""),"PR045")</f>
        <v>PR045</v>
      </c>
      <c r="H1694" s="1" t="str">
        <f>IFERROR(__xludf.DUMMYFUNCTION("""COMPUTED_VALUE"""),"VD045")</f>
        <v>VD045</v>
      </c>
      <c r="I1694" s="1">
        <f>IFERROR(__xludf.DUMMYFUNCTION("""COMPUTED_VALUE"""),14.0)</f>
        <v>14</v>
      </c>
      <c r="J1694" s="1">
        <f>IFERROR(__xludf.DUMMYFUNCTION("""COMPUTED_VALUE"""),1025.15)</f>
        <v>1025.15</v>
      </c>
      <c r="K1694" s="1">
        <f>IFERROR(__xludf.DUMMYFUNCTION("""COMPUTED_VALUE"""),1025.15)</f>
        <v>1025.15</v>
      </c>
    </row>
    <row r="1695">
      <c r="A1695" s="1">
        <f>IFERROR(__xludf.DUMMYFUNCTION("""COMPUTED_VALUE"""),2000.0)</f>
        <v>2000</v>
      </c>
      <c r="B1695" s="1">
        <f>IFERROR(__xludf.DUMMYFUNCTION("""COMPUTED_VALUE"""),184688.0)</f>
        <v>184688</v>
      </c>
      <c r="C1695" s="1">
        <f>IFERROR(__xludf.DUMMYFUNCTION("""COMPUTED_VALUE"""),2026.0)</f>
        <v>2026</v>
      </c>
      <c r="D1695" s="1">
        <f>IFERROR(__xludf.DUMMYFUNCTION("""COMPUTED_VALUE"""),46032.0)</f>
        <v>46032</v>
      </c>
      <c r="E1695" s="1" t="str">
        <f>IFERROR(__xludf.DUMMYFUNCTION("""COMPUTED_VALUE"""),"VF")</f>
        <v>VF</v>
      </c>
      <c r="F1695" s="1">
        <f>IFERROR(__xludf.DUMMYFUNCTION("""COMPUTED_VALUE"""),2.0)</f>
        <v>2</v>
      </c>
      <c r="G1695" s="1" t="str">
        <f>IFERROR(__xludf.DUMMYFUNCTION("""COMPUTED_VALUE"""),"PR018")</f>
        <v>PR018</v>
      </c>
      <c r="H1695" s="1" t="str">
        <f>IFERROR(__xludf.DUMMYFUNCTION("""COMPUTED_VALUE"""),"VD018")</f>
        <v>VD018</v>
      </c>
      <c r="I1695" s="1">
        <f>IFERROR(__xludf.DUMMYFUNCTION("""COMPUTED_VALUE"""),4.0)</f>
        <v>4</v>
      </c>
      <c r="J1695" s="1">
        <f>IFERROR(__xludf.DUMMYFUNCTION("""COMPUTED_VALUE"""),139.5)</f>
        <v>139.5</v>
      </c>
      <c r="K1695" s="1">
        <f>IFERROR(__xludf.DUMMYFUNCTION("""COMPUTED_VALUE"""),139.5)</f>
        <v>139.5</v>
      </c>
    </row>
    <row r="1696">
      <c r="A1696" s="1">
        <f>IFERROR(__xludf.DUMMYFUNCTION("""COMPUTED_VALUE"""),2000.0)</f>
        <v>2000</v>
      </c>
      <c r="B1696" s="1">
        <f>IFERROR(__xludf.DUMMYFUNCTION("""COMPUTED_VALUE"""),184688.0)</f>
        <v>184688</v>
      </c>
      <c r="C1696" s="1">
        <f>IFERROR(__xludf.DUMMYFUNCTION("""COMPUTED_VALUE"""),2026.0)</f>
        <v>2026</v>
      </c>
      <c r="D1696" s="1">
        <f>IFERROR(__xludf.DUMMYFUNCTION("""COMPUTED_VALUE"""),46032.0)</f>
        <v>46032</v>
      </c>
      <c r="E1696" s="1" t="str">
        <f>IFERROR(__xludf.DUMMYFUNCTION("""COMPUTED_VALUE"""),"VF")</f>
        <v>VF</v>
      </c>
      <c r="F1696" s="1">
        <f>IFERROR(__xludf.DUMMYFUNCTION("""COMPUTED_VALUE"""),3.0)</f>
        <v>3</v>
      </c>
      <c r="G1696" s="1" t="str">
        <f>IFERROR(__xludf.DUMMYFUNCTION("""COMPUTED_VALUE"""),"PR008")</f>
        <v>PR008</v>
      </c>
      <c r="H1696" s="1" t="str">
        <f>IFERROR(__xludf.DUMMYFUNCTION("""COMPUTED_VALUE"""),"VD016")</f>
        <v>VD016</v>
      </c>
      <c r="I1696" s="1">
        <f>IFERROR(__xludf.DUMMYFUNCTION("""COMPUTED_VALUE"""),6.0)</f>
        <v>6</v>
      </c>
      <c r="J1696" s="1">
        <f>IFERROR(__xludf.DUMMYFUNCTION("""COMPUTED_VALUE"""),539.4)</f>
        <v>539.4</v>
      </c>
      <c r="K1696" s="1">
        <f>IFERROR(__xludf.DUMMYFUNCTION("""COMPUTED_VALUE"""),539.4)</f>
        <v>539.4</v>
      </c>
    </row>
    <row r="1697">
      <c r="A1697" s="1">
        <f>IFERROR(__xludf.DUMMYFUNCTION("""COMPUTED_VALUE"""),1000.0)</f>
        <v>1000</v>
      </c>
      <c r="B1697" s="1">
        <f>IFERROR(__xludf.DUMMYFUNCTION("""COMPUTED_VALUE"""),184689.0)</f>
        <v>184689</v>
      </c>
      <c r="C1697" s="1">
        <f>IFERROR(__xludf.DUMMYFUNCTION("""COMPUTED_VALUE"""),2026.0)</f>
        <v>2026</v>
      </c>
      <c r="D1697" s="1">
        <f>IFERROR(__xludf.DUMMYFUNCTION("""COMPUTED_VALUE"""),46032.0)</f>
        <v>46032</v>
      </c>
      <c r="E1697" s="1" t="str">
        <f>IFERROR(__xludf.DUMMYFUNCTION("""COMPUTED_VALUE"""),"VF")</f>
        <v>VF</v>
      </c>
      <c r="F1697" s="1">
        <f>IFERROR(__xludf.DUMMYFUNCTION("""COMPUTED_VALUE"""),1.0)</f>
        <v>1</v>
      </c>
      <c r="G1697" s="1" t="str">
        <f>IFERROR(__xludf.DUMMYFUNCTION("""COMPUTED_VALUE"""),"PR013")</f>
        <v>PR013</v>
      </c>
      <c r="H1697" s="1" t="str">
        <f>IFERROR(__xludf.DUMMYFUNCTION("""COMPUTED_VALUE"""),"VD036")</f>
        <v>VD036</v>
      </c>
      <c r="I1697" s="1">
        <f>IFERROR(__xludf.DUMMYFUNCTION("""COMPUTED_VALUE"""),3.0)</f>
        <v>3</v>
      </c>
      <c r="J1697" s="1">
        <f>IFERROR(__xludf.DUMMYFUNCTION("""COMPUTED_VALUE"""),124.49)</f>
        <v>124.49</v>
      </c>
      <c r="K1697" s="1">
        <f>IFERROR(__xludf.DUMMYFUNCTION("""COMPUTED_VALUE"""),124.49)</f>
        <v>124.49</v>
      </c>
    </row>
    <row r="1698">
      <c r="A1698" s="1">
        <f>IFERROR(__xludf.DUMMYFUNCTION("""COMPUTED_VALUE"""),1000.0)</f>
        <v>1000</v>
      </c>
      <c r="B1698" s="1">
        <f>IFERROR(__xludf.DUMMYFUNCTION("""COMPUTED_VALUE"""),184690.0)</f>
        <v>184690</v>
      </c>
      <c r="C1698" s="1">
        <f>IFERROR(__xludf.DUMMYFUNCTION("""COMPUTED_VALUE"""),2026.0)</f>
        <v>2026</v>
      </c>
      <c r="D1698" s="1">
        <f>IFERROR(__xludf.DUMMYFUNCTION("""COMPUTED_VALUE"""),46032.0)</f>
        <v>46032</v>
      </c>
      <c r="E1698" s="1" t="str">
        <f>IFERROR(__xludf.DUMMYFUNCTION("""COMPUTED_VALUE"""),"VF")</f>
        <v>VF</v>
      </c>
      <c r="F1698" s="1">
        <f>IFERROR(__xludf.DUMMYFUNCTION("""COMPUTED_VALUE"""),1.0)</f>
        <v>1</v>
      </c>
      <c r="G1698" s="1" t="str">
        <f>IFERROR(__xludf.DUMMYFUNCTION("""COMPUTED_VALUE"""),"PR055")</f>
        <v>PR055</v>
      </c>
      <c r="H1698" s="1" t="str">
        <f>IFERROR(__xludf.DUMMYFUNCTION("""COMPUTED_VALUE"""),"VD016")</f>
        <v>VD016</v>
      </c>
      <c r="I1698" s="1">
        <f>IFERROR(__xludf.DUMMYFUNCTION("""COMPUTED_VALUE"""),9.0)</f>
        <v>9</v>
      </c>
      <c r="J1698" s="1">
        <f>IFERROR(__xludf.DUMMYFUNCTION("""COMPUTED_VALUE"""),881.92)</f>
        <v>881.92</v>
      </c>
      <c r="K1698" s="1">
        <f>IFERROR(__xludf.DUMMYFUNCTION("""COMPUTED_VALUE"""),881.92)</f>
        <v>881.92</v>
      </c>
    </row>
    <row r="1699">
      <c r="A1699" s="1">
        <f>IFERROR(__xludf.DUMMYFUNCTION("""COMPUTED_VALUE"""),1000.0)</f>
        <v>1000</v>
      </c>
      <c r="B1699" s="1">
        <f>IFERROR(__xludf.DUMMYFUNCTION("""COMPUTED_VALUE"""),184691.0)</f>
        <v>184691</v>
      </c>
      <c r="C1699" s="1">
        <f>IFERROR(__xludf.DUMMYFUNCTION("""COMPUTED_VALUE"""),2026.0)</f>
        <v>2026</v>
      </c>
      <c r="D1699" s="1">
        <f>IFERROR(__xludf.DUMMYFUNCTION("""COMPUTED_VALUE"""),46031.0)</f>
        <v>46031</v>
      </c>
      <c r="E1699" s="1" t="str">
        <f>IFERROR(__xludf.DUMMYFUNCTION("""COMPUTED_VALUE"""),"VF")</f>
        <v>VF</v>
      </c>
      <c r="F1699" s="1">
        <f>IFERROR(__xludf.DUMMYFUNCTION("""COMPUTED_VALUE"""),1.0)</f>
        <v>1</v>
      </c>
      <c r="G1699" s="1" t="str">
        <f>IFERROR(__xludf.DUMMYFUNCTION("""COMPUTED_VALUE"""),"PR037")</f>
        <v>PR037</v>
      </c>
      <c r="H1699" s="1" t="str">
        <f>IFERROR(__xludf.DUMMYFUNCTION("""COMPUTED_VALUE"""),"VD048")</f>
        <v>VD048</v>
      </c>
      <c r="I1699" s="1">
        <f>IFERROR(__xludf.DUMMYFUNCTION("""COMPUTED_VALUE"""),1.0)</f>
        <v>1</v>
      </c>
      <c r="J1699" s="1">
        <f>IFERROR(__xludf.DUMMYFUNCTION("""COMPUTED_VALUE"""),154.0)</f>
        <v>154</v>
      </c>
      <c r="K1699" s="1">
        <f>IFERROR(__xludf.DUMMYFUNCTION("""COMPUTED_VALUE"""),154.0)</f>
        <v>154</v>
      </c>
    </row>
    <row r="1700">
      <c r="A1700" s="1">
        <f>IFERROR(__xludf.DUMMYFUNCTION("""COMPUTED_VALUE"""),2000.0)</f>
        <v>2000</v>
      </c>
      <c r="B1700" s="1">
        <f>IFERROR(__xludf.DUMMYFUNCTION("""COMPUTED_VALUE"""),184692.0)</f>
        <v>184692</v>
      </c>
      <c r="C1700" s="1">
        <f>IFERROR(__xludf.DUMMYFUNCTION("""COMPUTED_VALUE"""),2026.0)</f>
        <v>2026</v>
      </c>
      <c r="D1700" s="1">
        <f>IFERROR(__xludf.DUMMYFUNCTION("""COMPUTED_VALUE"""),46031.0)</f>
        <v>46031</v>
      </c>
      <c r="E1700" s="1" t="str">
        <f>IFERROR(__xludf.DUMMYFUNCTION("""COMPUTED_VALUE"""),"VF")</f>
        <v>VF</v>
      </c>
      <c r="F1700" s="1">
        <f>IFERROR(__xludf.DUMMYFUNCTION("""COMPUTED_VALUE"""),1.0)</f>
        <v>1</v>
      </c>
      <c r="G1700" s="1" t="str">
        <f>IFERROR(__xludf.DUMMYFUNCTION("""COMPUTED_VALUE"""),"PR036")</f>
        <v>PR036</v>
      </c>
      <c r="H1700" s="1" t="str">
        <f>IFERROR(__xludf.DUMMYFUNCTION("""COMPUTED_VALUE"""),"VD029")</f>
        <v>VD029</v>
      </c>
      <c r="I1700" s="1">
        <f>IFERROR(__xludf.DUMMYFUNCTION("""COMPUTED_VALUE"""),8.0)</f>
        <v>8</v>
      </c>
      <c r="J1700" s="1">
        <f>IFERROR(__xludf.DUMMYFUNCTION("""COMPUTED_VALUE"""),748.0)</f>
        <v>748</v>
      </c>
      <c r="K1700" s="1">
        <f>IFERROR(__xludf.DUMMYFUNCTION("""COMPUTED_VALUE"""),748.0)</f>
        <v>748</v>
      </c>
    </row>
    <row r="1701">
      <c r="A1701" s="1">
        <f>IFERROR(__xludf.DUMMYFUNCTION("""COMPUTED_VALUE"""),1000.0)</f>
        <v>1000</v>
      </c>
      <c r="B1701" s="1">
        <f>IFERROR(__xludf.DUMMYFUNCTION("""COMPUTED_VALUE"""),184693.0)</f>
        <v>184693</v>
      </c>
      <c r="C1701" s="1">
        <f>IFERROR(__xludf.DUMMYFUNCTION("""COMPUTED_VALUE"""),2026.0)</f>
        <v>2026</v>
      </c>
      <c r="D1701" s="1">
        <f>IFERROR(__xludf.DUMMYFUNCTION("""COMPUTED_VALUE"""),46031.0)</f>
        <v>46031</v>
      </c>
      <c r="E1701" s="1" t="str">
        <f>IFERROR(__xludf.DUMMYFUNCTION("""COMPUTED_VALUE"""),"VF")</f>
        <v>VF</v>
      </c>
      <c r="F1701" s="1">
        <f>IFERROR(__xludf.DUMMYFUNCTION("""COMPUTED_VALUE"""),1.0)</f>
        <v>1</v>
      </c>
      <c r="G1701" s="1" t="str">
        <f>IFERROR(__xludf.DUMMYFUNCTION("""COMPUTED_VALUE"""),"PR008")</f>
        <v>PR008</v>
      </c>
      <c r="H1701" s="1" t="str">
        <f>IFERROR(__xludf.DUMMYFUNCTION("""COMPUTED_VALUE"""),"VD013")</f>
        <v>VD013</v>
      </c>
      <c r="I1701" s="1">
        <f>IFERROR(__xludf.DUMMYFUNCTION("""COMPUTED_VALUE"""),20.0)</f>
        <v>20</v>
      </c>
      <c r="J1701" s="1">
        <f>IFERROR(__xludf.DUMMYFUNCTION("""COMPUTED_VALUE"""),1815.98)</f>
        <v>1815.98</v>
      </c>
      <c r="K1701" s="1">
        <f>IFERROR(__xludf.DUMMYFUNCTION("""COMPUTED_VALUE"""),1815.98)</f>
        <v>1815.98</v>
      </c>
    </row>
    <row r="1702">
      <c r="A1702" s="1">
        <f>IFERROR(__xludf.DUMMYFUNCTION("""COMPUTED_VALUE"""),1000.0)</f>
        <v>1000</v>
      </c>
      <c r="B1702" s="1">
        <f>IFERROR(__xludf.DUMMYFUNCTION("""COMPUTED_VALUE"""),184694.0)</f>
        <v>184694</v>
      </c>
      <c r="C1702" s="1">
        <f>IFERROR(__xludf.DUMMYFUNCTION("""COMPUTED_VALUE"""),2026.0)</f>
        <v>2026</v>
      </c>
      <c r="D1702" s="1">
        <f>IFERROR(__xludf.DUMMYFUNCTION("""COMPUTED_VALUE"""),46030.0)</f>
        <v>46030</v>
      </c>
      <c r="E1702" s="1" t="str">
        <f>IFERROR(__xludf.DUMMYFUNCTION("""COMPUTED_VALUE"""),"VF")</f>
        <v>VF</v>
      </c>
      <c r="F1702" s="1">
        <f>IFERROR(__xludf.DUMMYFUNCTION("""COMPUTED_VALUE"""),1.0)</f>
        <v>1</v>
      </c>
      <c r="G1702" s="1" t="str">
        <f>IFERROR(__xludf.DUMMYFUNCTION("""COMPUTED_VALUE"""),"PR056")</f>
        <v>PR056</v>
      </c>
      <c r="H1702" s="1" t="str">
        <f>IFERROR(__xludf.DUMMYFUNCTION("""COMPUTED_VALUE"""),"VD032")</f>
        <v>VD032</v>
      </c>
      <c r="I1702" s="1">
        <f>IFERROR(__xludf.DUMMYFUNCTION("""COMPUTED_VALUE"""),10.0)</f>
        <v>10</v>
      </c>
      <c r="J1702" s="1">
        <f>IFERROR(__xludf.DUMMYFUNCTION("""COMPUTED_VALUE"""),961.93)</f>
        <v>961.93</v>
      </c>
      <c r="K1702" s="1">
        <f>IFERROR(__xludf.DUMMYFUNCTION("""COMPUTED_VALUE"""),961.93)</f>
        <v>961.93</v>
      </c>
    </row>
    <row r="1703">
      <c r="A1703" s="1">
        <f>IFERROR(__xludf.DUMMYFUNCTION("""COMPUTED_VALUE"""),1000.0)</f>
        <v>1000</v>
      </c>
      <c r="B1703" s="1">
        <f>IFERROR(__xludf.DUMMYFUNCTION("""COMPUTED_VALUE"""),184694.0)</f>
        <v>184694</v>
      </c>
      <c r="C1703" s="1">
        <f>IFERROR(__xludf.DUMMYFUNCTION("""COMPUTED_VALUE"""),2026.0)</f>
        <v>2026</v>
      </c>
      <c r="D1703" s="1">
        <f>IFERROR(__xludf.DUMMYFUNCTION("""COMPUTED_VALUE"""),46030.0)</f>
        <v>46030</v>
      </c>
      <c r="E1703" s="1" t="str">
        <f>IFERROR(__xludf.DUMMYFUNCTION("""COMPUTED_VALUE"""),"VF")</f>
        <v>VF</v>
      </c>
      <c r="F1703" s="1">
        <f>IFERROR(__xludf.DUMMYFUNCTION("""COMPUTED_VALUE"""),2.0)</f>
        <v>2</v>
      </c>
      <c r="G1703" s="1" t="str">
        <f>IFERROR(__xludf.DUMMYFUNCTION("""COMPUTED_VALUE"""),"PR033")</f>
        <v>PR033</v>
      </c>
      <c r="H1703" s="1" t="str">
        <f>IFERROR(__xludf.DUMMYFUNCTION("""COMPUTED_VALUE"""),"VD012")</f>
        <v>VD012</v>
      </c>
      <c r="I1703" s="1">
        <f>IFERROR(__xludf.DUMMYFUNCTION("""COMPUTED_VALUE"""),8.0)</f>
        <v>8</v>
      </c>
      <c r="J1703" s="1">
        <f>IFERROR(__xludf.DUMMYFUNCTION("""COMPUTED_VALUE"""),2141.58)</f>
        <v>2141.58</v>
      </c>
      <c r="K1703" s="1">
        <f>IFERROR(__xludf.DUMMYFUNCTION("""COMPUTED_VALUE"""),2141.58)</f>
        <v>2141.58</v>
      </c>
    </row>
    <row r="1704">
      <c r="A1704" s="1">
        <f>IFERROR(__xludf.DUMMYFUNCTION("""COMPUTED_VALUE"""),1000.0)</f>
        <v>1000</v>
      </c>
      <c r="B1704" s="1">
        <f>IFERROR(__xludf.DUMMYFUNCTION("""COMPUTED_VALUE"""),184695.0)</f>
        <v>184695</v>
      </c>
      <c r="C1704" s="1">
        <f>IFERROR(__xludf.DUMMYFUNCTION("""COMPUTED_VALUE"""),2026.0)</f>
        <v>2026</v>
      </c>
      <c r="D1704" s="1">
        <f>IFERROR(__xludf.DUMMYFUNCTION("""COMPUTED_VALUE"""),46030.0)</f>
        <v>46030</v>
      </c>
      <c r="E1704" s="1" t="str">
        <f>IFERROR(__xludf.DUMMYFUNCTION("""COMPUTED_VALUE"""),"VF")</f>
        <v>VF</v>
      </c>
      <c r="F1704" s="1">
        <f>IFERROR(__xludf.DUMMYFUNCTION("""COMPUTED_VALUE"""),1.0)</f>
        <v>1</v>
      </c>
      <c r="G1704" s="1" t="str">
        <f>IFERROR(__xludf.DUMMYFUNCTION("""COMPUTED_VALUE"""),"PR001")</f>
        <v>PR001</v>
      </c>
      <c r="H1704" s="1" t="str">
        <f>IFERROR(__xludf.DUMMYFUNCTION("""COMPUTED_VALUE"""),"VD036")</f>
        <v>VD036</v>
      </c>
      <c r="I1704" s="1">
        <f>IFERROR(__xludf.DUMMYFUNCTION("""COMPUTED_VALUE"""),2.0)</f>
        <v>2</v>
      </c>
      <c r="J1704" s="1">
        <f>IFERROR(__xludf.DUMMYFUNCTION("""COMPUTED_VALUE"""),139.71)</f>
        <v>139.71</v>
      </c>
      <c r="K1704" s="1">
        <f>IFERROR(__xludf.DUMMYFUNCTION("""COMPUTED_VALUE"""),139.71)</f>
        <v>139.71</v>
      </c>
    </row>
    <row r="1705">
      <c r="A1705" s="1">
        <f>IFERROR(__xludf.DUMMYFUNCTION("""COMPUTED_VALUE"""),1000.0)</f>
        <v>1000</v>
      </c>
      <c r="B1705" s="1">
        <f>IFERROR(__xludf.DUMMYFUNCTION("""COMPUTED_VALUE"""),184695.0)</f>
        <v>184695</v>
      </c>
      <c r="C1705" s="1">
        <f>IFERROR(__xludf.DUMMYFUNCTION("""COMPUTED_VALUE"""),2026.0)</f>
        <v>2026</v>
      </c>
      <c r="D1705" s="1">
        <f>IFERROR(__xludf.DUMMYFUNCTION("""COMPUTED_VALUE"""),46030.0)</f>
        <v>46030</v>
      </c>
      <c r="E1705" s="1" t="str">
        <f>IFERROR(__xludf.DUMMYFUNCTION("""COMPUTED_VALUE"""),"VF")</f>
        <v>VF</v>
      </c>
      <c r="F1705" s="1">
        <f>IFERROR(__xludf.DUMMYFUNCTION("""COMPUTED_VALUE"""),2.0)</f>
        <v>2</v>
      </c>
      <c r="G1705" s="1" t="str">
        <f>IFERROR(__xludf.DUMMYFUNCTION("""COMPUTED_VALUE"""),"PR007")</f>
        <v>PR007</v>
      </c>
      <c r="H1705" s="1" t="str">
        <f>IFERROR(__xludf.DUMMYFUNCTION("""COMPUTED_VALUE"""),"VD022")</f>
        <v>VD022</v>
      </c>
      <c r="I1705" s="1">
        <f>IFERROR(__xludf.DUMMYFUNCTION("""COMPUTED_VALUE"""),4.0)</f>
        <v>4</v>
      </c>
      <c r="J1705" s="1">
        <f>IFERROR(__xludf.DUMMYFUNCTION("""COMPUTED_VALUE"""),350.47)</f>
        <v>350.47</v>
      </c>
      <c r="K1705" s="1">
        <f>IFERROR(__xludf.DUMMYFUNCTION("""COMPUTED_VALUE"""),350.47)</f>
        <v>350.47</v>
      </c>
    </row>
    <row r="1706">
      <c r="A1706" s="1">
        <f>IFERROR(__xludf.DUMMYFUNCTION("""COMPUTED_VALUE"""),1000.0)</f>
        <v>1000</v>
      </c>
      <c r="B1706" s="1">
        <f>IFERROR(__xludf.DUMMYFUNCTION("""COMPUTED_VALUE"""),184695.0)</f>
        <v>184695</v>
      </c>
      <c r="C1706" s="1">
        <f>IFERROR(__xludf.DUMMYFUNCTION("""COMPUTED_VALUE"""),2026.0)</f>
        <v>2026</v>
      </c>
      <c r="D1706" s="1">
        <f>IFERROR(__xludf.DUMMYFUNCTION("""COMPUTED_VALUE"""),46030.0)</f>
        <v>46030</v>
      </c>
      <c r="E1706" s="1" t="str">
        <f>IFERROR(__xludf.DUMMYFUNCTION("""COMPUTED_VALUE"""),"VF")</f>
        <v>VF</v>
      </c>
      <c r="F1706" s="1">
        <f>IFERROR(__xludf.DUMMYFUNCTION("""COMPUTED_VALUE"""),3.0)</f>
        <v>3</v>
      </c>
      <c r="G1706" s="1" t="str">
        <f>IFERROR(__xludf.DUMMYFUNCTION("""COMPUTED_VALUE"""),"PR056")</f>
        <v>PR056</v>
      </c>
      <c r="H1706" s="1" t="str">
        <f>IFERROR(__xludf.DUMMYFUNCTION("""COMPUTED_VALUE"""),"VD010")</f>
        <v>VD010</v>
      </c>
      <c r="I1706" s="1">
        <f>IFERROR(__xludf.DUMMYFUNCTION("""COMPUTED_VALUE"""),20.0)</f>
        <v>20</v>
      </c>
      <c r="J1706" s="1">
        <f>IFERROR(__xludf.DUMMYFUNCTION("""COMPUTED_VALUE"""),1905.88)</f>
        <v>1905.88</v>
      </c>
      <c r="K1706" s="1">
        <f>IFERROR(__xludf.DUMMYFUNCTION("""COMPUTED_VALUE"""),1905.88)</f>
        <v>1905.88</v>
      </c>
    </row>
    <row r="1707">
      <c r="A1707" s="1">
        <f>IFERROR(__xludf.DUMMYFUNCTION("""COMPUTED_VALUE"""),1000.0)</f>
        <v>1000</v>
      </c>
      <c r="B1707" s="1">
        <f>IFERROR(__xludf.DUMMYFUNCTION("""COMPUTED_VALUE"""),184695.0)</f>
        <v>184695</v>
      </c>
      <c r="C1707" s="1">
        <f>IFERROR(__xludf.DUMMYFUNCTION("""COMPUTED_VALUE"""),2026.0)</f>
        <v>2026</v>
      </c>
      <c r="D1707" s="1">
        <f>IFERROR(__xludf.DUMMYFUNCTION("""COMPUTED_VALUE"""),46029.0)</f>
        <v>46029</v>
      </c>
      <c r="E1707" s="1" t="str">
        <f>IFERROR(__xludf.DUMMYFUNCTION("""COMPUTED_VALUE"""),"VF")</f>
        <v>VF</v>
      </c>
      <c r="F1707" s="1">
        <f>IFERROR(__xludf.DUMMYFUNCTION("""COMPUTED_VALUE"""),4.0)</f>
        <v>4</v>
      </c>
      <c r="G1707" s="1" t="str">
        <f>IFERROR(__xludf.DUMMYFUNCTION("""COMPUTED_VALUE"""),"PR055")</f>
        <v>PR055</v>
      </c>
      <c r="H1707" s="1" t="str">
        <f>IFERROR(__xludf.DUMMYFUNCTION("""COMPUTED_VALUE"""),"VD025")</f>
        <v>VD025</v>
      </c>
      <c r="I1707" s="1">
        <f>IFERROR(__xludf.DUMMYFUNCTION("""COMPUTED_VALUE"""),10.0)</f>
        <v>10</v>
      </c>
      <c r="J1707" s="1">
        <f>IFERROR(__xludf.DUMMYFUNCTION("""COMPUTED_VALUE"""),952.94)</f>
        <v>952.94</v>
      </c>
      <c r="K1707" s="1">
        <f>IFERROR(__xludf.DUMMYFUNCTION("""COMPUTED_VALUE"""),952.94)</f>
        <v>952.94</v>
      </c>
    </row>
    <row r="1708">
      <c r="A1708" s="1">
        <f>IFERROR(__xludf.DUMMYFUNCTION("""COMPUTED_VALUE"""),2000.0)</f>
        <v>2000</v>
      </c>
      <c r="B1708" s="1">
        <f>IFERROR(__xludf.DUMMYFUNCTION("""COMPUTED_VALUE"""),184696.0)</f>
        <v>184696</v>
      </c>
      <c r="C1708" s="1">
        <f>IFERROR(__xludf.DUMMYFUNCTION("""COMPUTED_VALUE"""),2026.0)</f>
        <v>2026</v>
      </c>
      <c r="D1708" s="1">
        <f>IFERROR(__xludf.DUMMYFUNCTION("""COMPUTED_VALUE"""),46029.0)</f>
        <v>46029</v>
      </c>
      <c r="E1708" s="1" t="str">
        <f>IFERROR(__xludf.DUMMYFUNCTION("""COMPUTED_VALUE"""),"VF")</f>
        <v>VF</v>
      </c>
      <c r="F1708" s="1">
        <f>IFERROR(__xludf.DUMMYFUNCTION("""COMPUTED_VALUE"""),1.0)</f>
        <v>1</v>
      </c>
      <c r="G1708" s="1" t="str">
        <f>IFERROR(__xludf.DUMMYFUNCTION("""COMPUTED_VALUE"""),"PR055")</f>
        <v>PR055</v>
      </c>
      <c r="H1708" s="1" t="str">
        <f>IFERROR(__xludf.DUMMYFUNCTION("""COMPUTED_VALUE"""),"VD030")</f>
        <v>VD030</v>
      </c>
      <c r="I1708" s="1">
        <f>IFERROR(__xludf.DUMMYFUNCTION("""COMPUTED_VALUE"""),2.0)</f>
        <v>2</v>
      </c>
      <c r="J1708" s="1">
        <f>IFERROR(__xludf.DUMMYFUNCTION("""COMPUTED_VALUE"""),190.59)</f>
        <v>190.59</v>
      </c>
      <c r="K1708" s="1">
        <f>IFERROR(__xludf.DUMMYFUNCTION("""COMPUTED_VALUE"""),190.59)</f>
        <v>190.59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5"/>
    <col customWidth="1" min="10" max="10" width="22.13"/>
  </cols>
  <sheetData>
    <row r="1">
      <c r="A1" s="1" t="str">
        <f>IFERROR(__xludf.DUMMYFUNCTION("query(importdata(""https://drive.google.com/uc?export=download&amp;id=1U1AR8u12BH41vb1Uvb31WaPc4KTs4qQo&amp;v=2"","";""),""SELECT Col7, Col8, Col9, Col10"")"),"Material")</f>
        <v>Material</v>
      </c>
      <c r="B1" s="1" t="str">
        <f>IFERROR(__xludf.DUMMYFUNCTION("""COMPUTED_VALUE"""),"Vendedor")</f>
        <v>Vendedor</v>
      </c>
      <c r="C1" s="1" t="str">
        <f>IFERROR(__xludf.DUMMYFUNCTION("""COMPUTED_VALUE"""),"Cantidad")</f>
        <v>Cantidad</v>
      </c>
      <c r="D1" s="1" t="str">
        <f>IFERROR(__xludf.DUMMYFUNCTION("""COMPUTED_VALUE"""),"Valor en Moneda Local")</f>
        <v>Valor en Moneda Local</v>
      </c>
    </row>
    <row r="2">
      <c r="A2" s="1" t="str">
        <f>IFERROR(__xludf.DUMMYFUNCTION("""COMPUTED_VALUE"""),"PR001")</f>
        <v>PR001</v>
      </c>
      <c r="B2" s="1" t="str">
        <f>IFERROR(__xludf.DUMMYFUNCTION("""COMPUTED_VALUE"""),"VD026")</f>
        <v>VD026</v>
      </c>
      <c r="C2" s="1">
        <f>IFERROR(__xludf.DUMMYFUNCTION("""COMPUTED_VALUE"""),27.0)</f>
        <v>27</v>
      </c>
      <c r="D2" s="1">
        <f>IFERROR(__xludf.DUMMYFUNCTION("""COMPUTED_VALUE"""),1957.23)</f>
        <v>1957.23</v>
      </c>
    </row>
    <row r="3">
      <c r="A3" s="1" t="str">
        <f>IFERROR(__xludf.DUMMYFUNCTION("""COMPUTED_VALUE"""),"PR058")</f>
        <v>PR058</v>
      </c>
      <c r="B3" s="1" t="str">
        <f>IFERROR(__xludf.DUMMYFUNCTION("""COMPUTED_VALUE"""),"VD037")</f>
        <v>VD037</v>
      </c>
      <c r="C3" s="1">
        <f>IFERROR(__xludf.DUMMYFUNCTION("""COMPUTED_VALUE"""),14.0)</f>
        <v>14</v>
      </c>
      <c r="D3" s="1">
        <f>IFERROR(__xludf.DUMMYFUNCTION("""COMPUTED_VALUE"""),2872.8)</f>
        <v>2872.8</v>
      </c>
    </row>
    <row r="4">
      <c r="A4" s="1" t="str">
        <f>IFERROR(__xludf.DUMMYFUNCTION("""COMPUTED_VALUE"""),"PR020")</f>
        <v>PR020</v>
      </c>
      <c r="B4" s="1" t="str">
        <f>IFERROR(__xludf.DUMMYFUNCTION("""COMPUTED_VALUE"""),"VD034")</f>
        <v>VD034</v>
      </c>
      <c r="C4" s="1">
        <f>IFERROR(__xludf.DUMMYFUNCTION("""COMPUTED_VALUE"""),20.0)</f>
        <v>20</v>
      </c>
      <c r="D4" s="1">
        <f>IFERROR(__xludf.DUMMYFUNCTION("""COMPUTED_VALUE"""),7137.62)</f>
        <v>7137.62</v>
      </c>
    </row>
    <row r="5">
      <c r="A5" s="1" t="str">
        <f>IFERROR(__xludf.DUMMYFUNCTION("""COMPUTED_VALUE"""),"PR035")</f>
        <v>PR035</v>
      </c>
      <c r="B5" s="1" t="str">
        <f>IFERROR(__xludf.DUMMYFUNCTION("""COMPUTED_VALUE"""),"VD021")</f>
        <v>VD021</v>
      </c>
      <c r="C5" s="1">
        <f>IFERROR(__xludf.DUMMYFUNCTION("""COMPUTED_VALUE"""),24.0)</f>
        <v>24</v>
      </c>
      <c r="D5" s="2">
        <f>IFERROR(__xludf.DUMMYFUNCTION("""COMPUTED_VALUE"""),2478.77)</f>
        <v>2478.77</v>
      </c>
    </row>
    <row r="6">
      <c r="A6" s="1" t="str">
        <f>IFERROR(__xludf.DUMMYFUNCTION("""COMPUTED_VALUE"""),"PR016")</f>
        <v>PR016</v>
      </c>
      <c r="B6" s="1" t="str">
        <f>IFERROR(__xludf.DUMMYFUNCTION("""COMPUTED_VALUE"""),"VD027")</f>
        <v>VD027</v>
      </c>
      <c r="C6" s="1">
        <f>IFERROR(__xludf.DUMMYFUNCTION("""COMPUTED_VALUE"""),10.0)</f>
        <v>10</v>
      </c>
      <c r="D6" s="1">
        <f>IFERROR(__xludf.DUMMYFUNCTION("""COMPUTED_VALUE"""),303.03)</f>
        <v>303.03</v>
      </c>
    </row>
    <row r="7">
      <c r="A7" s="1" t="str">
        <f>IFERROR(__xludf.DUMMYFUNCTION("""COMPUTED_VALUE"""),"PR051")</f>
        <v>PR051</v>
      </c>
      <c r="B7" s="1" t="str">
        <f>IFERROR(__xludf.DUMMYFUNCTION("""COMPUTED_VALUE"""),"VD048")</f>
        <v>VD048</v>
      </c>
      <c r="C7" s="1">
        <f>IFERROR(__xludf.DUMMYFUNCTION("""COMPUTED_VALUE"""),18.0)</f>
        <v>18</v>
      </c>
      <c r="D7" s="2">
        <f>IFERROR(__xludf.DUMMYFUNCTION("""COMPUTED_VALUE"""),704.72)</f>
        <v>704.72</v>
      </c>
    </row>
    <row r="8">
      <c r="A8" s="1" t="str">
        <f>IFERROR(__xludf.DUMMYFUNCTION("""COMPUTED_VALUE"""),"PR042")</f>
        <v>PR042</v>
      </c>
      <c r="B8" s="1" t="str">
        <f>IFERROR(__xludf.DUMMYFUNCTION("""COMPUTED_VALUE"""),"VD025")</f>
        <v>VD025</v>
      </c>
      <c r="C8" s="1">
        <f>IFERROR(__xludf.DUMMYFUNCTION("""COMPUTED_VALUE"""),27.0)</f>
        <v>27</v>
      </c>
      <c r="D8" s="1">
        <f>IFERROR(__xludf.DUMMYFUNCTION("""COMPUTED_VALUE"""),1778.76)</f>
        <v>1778.76</v>
      </c>
    </row>
    <row r="9">
      <c r="A9" s="1" t="str">
        <f>IFERROR(__xludf.DUMMYFUNCTION("""COMPUTED_VALUE"""),"PR050")</f>
        <v>PR050</v>
      </c>
      <c r="B9" s="1" t="str">
        <f>IFERROR(__xludf.DUMMYFUNCTION("""COMPUTED_VALUE"""),"VD037")</f>
        <v>VD037</v>
      </c>
      <c r="C9" s="1">
        <f>IFERROR(__xludf.DUMMYFUNCTION("""COMPUTED_VALUE"""),14.0)</f>
        <v>14</v>
      </c>
      <c r="D9" s="1">
        <f>IFERROR(__xludf.DUMMYFUNCTION("""COMPUTED_VALUE"""),511.27)</f>
        <v>511.27</v>
      </c>
    </row>
    <row r="10">
      <c r="A10" s="1" t="str">
        <f>IFERROR(__xludf.DUMMYFUNCTION("""COMPUTED_VALUE"""),"PR001")</f>
        <v>PR001</v>
      </c>
      <c r="B10" s="1" t="str">
        <f>IFERROR(__xludf.DUMMYFUNCTION("""COMPUTED_VALUE"""),"VD036")</f>
        <v>VD036</v>
      </c>
      <c r="C10" s="1">
        <f>IFERROR(__xludf.DUMMYFUNCTION("""COMPUTED_VALUE"""),12.0)</f>
        <v>12</v>
      </c>
      <c r="D10" s="1">
        <f>IFERROR(__xludf.DUMMYFUNCTION("""COMPUTED_VALUE"""),901.51)</f>
        <v>901.51</v>
      </c>
    </row>
    <row r="11">
      <c r="A11" s="1" t="str">
        <f>IFERROR(__xludf.DUMMYFUNCTION("""COMPUTED_VALUE"""),"PR059")</f>
        <v>PR059</v>
      </c>
      <c r="B11" s="1" t="str">
        <f>IFERROR(__xludf.DUMMYFUNCTION("""COMPUTED_VALUE"""),"VD049")</f>
        <v>VD049</v>
      </c>
      <c r="C11" s="1">
        <f>IFERROR(__xludf.DUMMYFUNCTION("""COMPUTED_VALUE"""),27.0)</f>
        <v>27</v>
      </c>
      <c r="D11" s="1">
        <f>IFERROR(__xludf.DUMMYFUNCTION("""COMPUTED_VALUE"""),5783.4)</f>
        <v>5783.4</v>
      </c>
    </row>
    <row r="12">
      <c r="A12" s="1" t="str">
        <f>IFERROR(__xludf.DUMMYFUNCTION("""COMPUTED_VALUE"""),"PR019")</f>
        <v>PR019</v>
      </c>
      <c r="B12" s="1" t="str">
        <f>IFERROR(__xludf.DUMMYFUNCTION("""COMPUTED_VALUE"""),"VD021")</f>
        <v>VD021</v>
      </c>
      <c r="C12" s="1">
        <f>IFERROR(__xludf.DUMMYFUNCTION("""COMPUTED_VALUE"""),15.0)</f>
        <v>15</v>
      </c>
      <c r="D12" s="1">
        <f>IFERROR(__xludf.DUMMYFUNCTION("""COMPUTED_VALUE"""),845.81)</f>
        <v>845.81</v>
      </c>
    </row>
    <row r="13">
      <c r="A13" s="1" t="str">
        <f>IFERROR(__xludf.DUMMYFUNCTION("""COMPUTED_VALUE"""),"PR055")</f>
        <v>PR055</v>
      </c>
      <c r="B13" s="1" t="str">
        <f>IFERROR(__xludf.DUMMYFUNCTION("""COMPUTED_VALUE"""),"VD015")</f>
        <v>VD015</v>
      </c>
      <c r="C13" s="1">
        <f>IFERROR(__xludf.DUMMYFUNCTION("""COMPUTED_VALUE"""),18.0)</f>
        <v>18</v>
      </c>
      <c r="D13" s="1">
        <f>IFERROR(__xludf.DUMMYFUNCTION("""COMPUTED_VALUE"""),1844.75)</f>
        <v>1844.75</v>
      </c>
    </row>
    <row r="14">
      <c r="A14" s="1" t="str">
        <f>IFERROR(__xludf.DUMMYFUNCTION("""COMPUTED_VALUE"""),"PR052")</f>
        <v>PR052</v>
      </c>
      <c r="B14" s="1" t="str">
        <f>IFERROR(__xludf.DUMMYFUNCTION("""COMPUTED_VALUE"""),"VD012")</f>
        <v>VD012</v>
      </c>
      <c r="C14" s="1">
        <f>IFERROR(__xludf.DUMMYFUNCTION("""COMPUTED_VALUE"""),16.0)</f>
        <v>16</v>
      </c>
      <c r="D14" s="1">
        <f>IFERROR(__xludf.DUMMYFUNCTION("""COMPUTED_VALUE"""),950.1)</f>
        <v>950.1</v>
      </c>
    </row>
    <row r="15">
      <c r="A15" s="1" t="str">
        <f>IFERROR(__xludf.DUMMYFUNCTION("""COMPUTED_VALUE"""),"PR052")</f>
        <v>PR052</v>
      </c>
      <c r="B15" s="1" t="str">
        <f>IFERROR(__xludf.DUMMYFUNCTION("""COMPUTED_VALUE"""),"VD043")</f>
        <v>VD043</v>
      </c>
      <c r="C15" s="1">
        <f>IFERROR(__xludf.DUMMYFUNCTION("""COMPUTED_VALUE"""),9.0)</f>
        <v>9</v>
      </c>
      <c r="D15" s="1">
        <f>IFERROR(__xludf.DUMMYFUNCTION("""COMPUTED_VALUE"""),511.97)</f>
        <v>511.97</v>
      </c>
    </row>
    <row r="16">
      <c r="A16" s="1" t="str">
        <f>IFERROR(__xludf.DUMMYFUNCTION("""COMPUTED_VALUE"""),"PR014")</f>
        <v>PR014</v>
      </c>
      <c r="B16" s="1" t="str">
        <f>IFERROR(__xludf.DUMMYFUNCTION("""COMPUTED_VALUE"""),"VD020")</f>
        <v>VD020</v>
      </c>
      <c r="C16" s="1">
        <f>IFERROR(__xludf.DUMMYFUNCTION("""COMPUTED_VALUE"""),9.0)</f>
        <v>9</v>
      </c>
      <c r="D16" s="1">
        <f>IFERROR(__xludf.DUMMYFUNCTION("""COMPUTED_VALUE"""),420.15)</f>
        <v>420.15</v>
      </c>
    </row>
    <row r="17">
      <c r="A17" s="1" t="str">
        <f>IFERROR(__xludf.DUMMYFUNCTION("""COMPUTED_VALUE"""),"PR055")</f>
        <v>PR055</v>
      </c>
      <c r="B17" s="1" t="str">
        <f>IFERROR(__xludf.DUMMYFUNCTION("""COMPUTED_VALUE"""),"VD019")</f>
        <v>VD019</v>
      </c>
      <c r="C17" s="1">
        <f>IFERROR(__xludf.DUMMYFUNCTION("""COMPUTED_VALUE"""),9.0)</f>
        <v>9</v>
      </c>
      <c r="D17" s="1">
        <f>IFERROR(__xludf.DUMMYFUNCTION("""COMPUTED_VALUE"""),890.01)</f>
        <v>890.01</v>
      </c>
    </row>
    <row r="18">
      <c r="A18" s="1" t="str">
        <f>IFERROR(__xludf.DUMMYFUNCTION("""COMPUTED_VALUE"""),"PR045")</f>
        <v>PR045</v>
      </c>
      <c r="B18" s="1" t="str">
        <f>IFERROR(__xludf.DUMMYFUNCTION("""COMPUTED_VALUE"""),"VD041")</f>
        <v>VD041</v>
      </c>
      <c r="C18" s="1">
        <f>IFERROR(__xludf.DUMMYFUNCTION("""COMPUTED_VALUE"""),14.0)</f>
        <v>14</v>
      </c>
      <c r="D18" s="1">
        <f>IFERROR(__xludf.DUMMYFUNCTION("""COMPUTED_VALUE"""),1157.1)</f>
        <v>1157.1</v>
      </c>
    </row>
    <row r="19">
      <c r="A19" s="1" t="str">
        <f>IFERROR(__xludf.DUMMYFUNCTION("""COMPUTED_VALUE"""),"PR053")</f>
        <v>PR053</v>
      </c>
      <c r="B19" s="1" t="str">
        <f>IFERROR(__xludf.DUMMYFUNCTION("""COMPUTED_VALUE"""),"VD013")</f>
        <v>VD013</v>
      </c>
      <c r="C19" s="1">
        <f>IFERROR(__xludf.DUMMYFUNCTION("""COMPUTED_VALUE"""),9.0)</f>
        <v>9</v>
      </c>
      <c r="D19" s="1">
        <f>IFERROR(__xludf.DUMMYFUNCTION("""COMPUTED_VALUE"""),511.97)</f>
        <v>511.97</v>
      </c>
    </row>
    <row r="20">
      <c r="A20" s="1" t="str">
        <f>IFERROR(__xludf.DUMMYFUNCTION("""COMPUTED_VALUE"""),"PR054")</f>
        <v>PR054</v>
      </c>
      <c r="B20" s="1" t="str">
        <f>IFERROR(__xludf.DUMMYFUNCTION("""COMPUTED_VALUE"""),"VD028")</f>
        <v>VD028</v>
      </c>
      <c r="C20" s="1">
        <f>IFERROR(__xludf.DUMMYFUNCTION("""COMPUTED_VALUE"""),9.0)</f>
        <v>9</v>
      </c>
      <c r="D20" s="1">
        <f>IFERROR(__xludf.DUMMYFUNCTION("""COMPUTED_VALUE"""),538.92)</f>
        <v>538.92</v>
      </c>
    </row>
    <row r="21">
      <c r="A21" s="1" t="str">
        <f>IFERROR(__xludf.DUMMYFUNCTION("""COMPUTED_VALUE"""),"PR020")</f>
        <v>PR020</v>
      </c>
      <c r="B21" s="1" t="str">
        <f>IFERROR(__xludf.DUMMYFUNCTION("""COMPUTED_VALUE"""),"VD047")</f>
        <v>VD047</v>
      </c>
      <c r="C21" s="1">
        <f>IFERROR(__xludf.DUMMYFUNCTION("""COMPUTED_VALUE"""),27.0)</f>
        <v>27</v>
      </c>
      <c r="D21" s="1">
        <f>IFERROR(__xludf.DUMMYFUNCTION("""COMPUTED_VALUE"""),8907.03)</f>
        <v>8907.03</v>
      </c>
    </row>
    <row r="22">
      <c r="A22" s="1" t="str">
        <f>IFERROR(__xludf.DUMMYFUNCTION("""COMPUTED_VALUE"""),"PR047")</f>
        <v>PR047</v>
      </c>
      <c r="B22" s="1" t="str">
        <f>IFERROR(__xludf.DUMMYFUNCTION("""COMPUTED_VALUE"""),"VD017")</f>
        <v>VD017</v>
      </c>
      <c r="C22" s="1">
        <f>IFERROR(__xludf.DUMMYFUNCTION("""COMPUTED_VALUE"""),12.0)</f>
        <v>12</v>
      </c>
      <c r="D22" s="1">
        <f>IFERROR(__xludf.DUMMYFUNCTION("""COMPUTED_VALUE"""),4174.56)</f>
        <v>4174.56</v>
      </c>
    </row>
    <row r="23">
      <c r="A23" s="1" t="str">
        <f>IFERROR(__xludf.DUMMYFUNCTION("""COMPUTED_VALUE"""),"PR047")</f>
        <v>PR047</v>
      </c>
      <c r="B23" s="1" t="str">
        <f>IFERROR(__xludf.DUMMYFUNCTION("""COMPUTED_VALUE"""),"VD040")</f>
        <v>VD040</v>
      </c>
      <c r="C23" s="1">
        <f>IFERROR(__xludf.DUMMYFUNCTION("""COMPUTED_VALUE"""),15.0)</f>
        <v>15</v>
      </c>
      <c r="D23" s="1">
        <f>IFERROR(__xludf.DUMMYFUNCTION("""COMPUTED_VALUE"""),4826.84)</f>
        <v>4826.84</v>
      </c>
    </row>
    <row r="24">
      <c r="A24" s="1" t="str">
        <f>IFERROR(__xludf.DUMMYFUNCTION("""COMPUTED_VALUE"""),"PR003")</f>
        <v>PR003</v>
      </c>
      <c r="B24" s="1" t="str">
        <f>IFERROR(__xludf.DUMMYFUNCTION("""COMPUTED_VALUE"""),"VD033")</f>
        <v>VD033</v>
      </c>
      <c r="C24" s="1">
        <f>IFERROR(__xludf.DUMMYFUNCTION("""COMPUTED_VALUE"""),8.0)</f>
        <v>8</v>
      </c>
      <c r="D24" s="1">
        <f>IFERROR(__xludf.DUMMYFUNCTION("""COMPUTED_VALUE"""),629.59)</f>
        <v>629.59</v>
      </c>
    </row>
    <row r="25">
      <c r="A25" s="1" t="str">
        <f>IFERROR(__xludf.DUMMYFUNCTION("""COMPUTED_VALUE"""),"PR058")</f>
        <v>PR058</v>
      </c>
      <c r="B25" s="1" t="str">
        <f>IFERROR(__xludf.DUMMYFUNCTION("""COMPUTED_VALUE"""),"VD014")</f>
        <v>VD014</v>
      </c>
      <c r="C25" s="1">
        <f>IFERROR(__xludf.DUMMYFUNCTION("""COMPUTED_VALUE"""),21.0)</f>
        <v>21</v>
      </c>
      <c r="D25" s="1">
        <f>IFERROR(__xludf.DUMMYFUNCTION("""COMPUTED_VALUE"""),4536.0)</f>
        <v>4536</v>
      </c>
    </row>
    <row r="26">
      <c r="A26" s="1" t="str">
        <f>IFERROR(__xludf.DUMMYFUNCTION("""COMPUTED_VALUE"""),"PR049")</f>
        <v>PR049</v>
      </c>
      <c r="B26" s="1" t="str">
        <f>IFERROR(__xludf.DUMMYFUNCTION("""COMPUTED_VALUE"""),"VD029")</f>
        <v>VD029</v>
      </c>
      <c r="C26" s="1">
        <f>IFERROR(__xludf.DUMMYFUNCTION("""COMPUTED_VALUE"""),12.0)</f>
        <v>12</v>
      </c>
      <c r="D26" s="1">
        <f>IFERROR(__xludf.DUMMYFUNCTION("""COMPUTED_VALUE"""),473.76)</f>
        <v>473.76</v>
      </c>
    </row>
    <row r="27">
      <c r="A27" s="1" t="str">
        <f>IFERROR(__xludf.DUMMYFUNCTION("""COMPUTED_VALUE"""),"PR035")</f>
        <v>PR035</v>
      </c>
      <c r="B27" s="1" t="str">
        <f>IFERROR(__xludf.DUMMYFUNCTION("""COMPUTED_VALUE"""),"VD010")</f>
        <v>VD010</v>
      </c>
      <c r="C27" s="1">
        <f>IFERROR(__xludf.DUMMYFUNCTION("""COMPUTED_VALUE"""),27.0)</f>
        <v>27</v>
      </c>
      <c r="D27" s="1">
        <f>IFERROR(__xludf.DUMMYFUNCTION("""COMPUTED_VALUE"""),2763.94)</f>
        <v>2763.94</v>
      </c>
    </row>
    <row r="28">
      <c r="A28" s="1" t="str">
        <f>IFERROR(__xludf.DUMMYFUNCTION("""COMPUTED_VALUE"""),"PR003")</f>
        <v>PR003</v>
      </c>
      <c r="B28" s="1" t="str">
        <f>IFERROR(__xludf.DUMMYFUNCTION("""COMPUTED_VALUE"""),"VD024")</f>
        <v>VD024</v>
      </c>
      <c r="C28" s="1">
        <f>IFERROR(__xludf.DUMMYFUNCTION("""COMPUTED_VALUE"""),18.0)</f>
        <v>18</v>
      </c>
      <c r="D28" s="1">
        <f>IFERROR(__xludf.DUMMYFUNCTION("""COMPUTED_VALUE"""),1480.39)</f>
        <v>1480.39</v>
      </c>
    </row>
    <row r="29">
      <c r="A29" s="1" t="str">
        <f>IFERROR(__xludf.DUMMYFUNCTION("""COMPUTED_VALUE"""),"PR006")</f>
        <v>PR006</v>
      </c>
      <c r="B29" s="1" t="str">
        <f>IFERROR(__xludf.DUMMYFUNCTION("""COMPUTED_VALUE"""),"VD021")</f>
        <v>VD021</v>
      </c>
      <c r="C29" s="1">
        <f>IFERROR(__xludf.DUMMYFUNCTION("""COMPUTED_VALUE"""),27.0)</f>
        <v>27</v>
      </c>
      <c r="D29" s="1">
        <f>IFERROR(__xludf.DUMMYFUNCTION("""COMPUTED_VALUE"""),1249.67)</f>
        <v>1249.67</v>
      </c>
    </row>
    <row r="30">
      <c r="A30" s="1" t="str">
        <f>IFERROR(__xludf.DUMMYFUNCTION("""COMPUTED_VALUE"""),"PR002")</f>
        <v>PR002</v>
      </c>
      <c r="B30" s="1" t="str">
        <f>IFERROR(__xludf.DUMMYFUNCTION("""COMPUTED_VALUE"""),"VD040")</f>
        <v>VD040</v>
      </c>
      <c r="C30" s="1">
        <f>IFERROR(__xludf.DUMMYFUNCTION("""COMPUTED_VALUE"""),24.0)</f>
        <v>24</v>
      </c>
      <c r="D30" s="1">
        <f>IFERROR(__xludf.DUMMYFUNCTION("""COMPUTED_VALUE"""),1996.34)</f>
        <v>1996.34</v>
      </c>
    </row>
    <row r="31">
      <c r="A31" s="1" t="str">
        <f>IFERROR(__xludf.DUMMYFUNCTION("""COMPUTED_VALUE"""),"PR038")</f>
        <v>PR038</v>
      </c>
      <c r="B31" s="1" t="str">
        <f>IFERROR(__xludf.DUMMYFUNCTION("""COMPUTED_VALUE"""),"VD016")</f>
        <v>VD016</v>
      </c>
      <c r="C31" s="1">
        <f>IFERROR(__xludf.DUMMYFUNCTION("""COMPUTED_VALUE"""),12.0)</f>
        <v>12</v>
      </c>
      <c r="D31" s="1">
        <f>IFERROR(__xludf.DUMMYFUNCTION("""COMPUTED_VALUE"""),1972.02)</f>
        <v>1972.02</v>
      </c>
    </row>
    <row r="32">
      <c r="A32" s="1" t="str">
        <f>IFERROR(__xludf.DUMMYFUNCTION("""COMPUTED_VALUE"""),"PR027")</f>
        <v>PR027</v>
      </c>
      <c r="B32" s="1" t="str">
        <f>IFERROR(__xludf.DUMMYFUNCTION("""COMPUTED_VALUE"""),"VD035")</f>
        <v>VD035</v>
      </c>
      <c r="C32" s="1">
        <f>IFERROR(__xludf.DUMMYFUNCTION("""COMPUTED_VALUE"""),30.0)</f>
        <v>30</v>
      </c>
      <c r="D32" s="1">
        <f>IFERROR(__xludf.DUMMYFUNCTION("""COMPUTED_VALUE"""),3996.0)</f>
        <v>3996</v>
      </c>
    </row>
    <row r="33">
      <c r="A33" s="1" t="str">
        <f>IFERROR(__xludf.DUMMYFUNCTION("""COMPUTED_VALUE"""),"PR059")</f>
        <v>PR059</v>
      </c>
      <c r="B33" s="1" t="str">
        <f>IFERROR(__xludf.DUMMYFUNCTION("""COMPUTED_VALUE"""),"VD049")</f>
        <v>VD049</v>
      </c>
      <c r="C33" s="1">
        <f>IFERROR(__xludf.DUMMYFUNCTION("""COMPUTED_VALUE"""),12.0)</f>
        <v>12</v>
      </c>
      <c r="D33" s="1">
        <f>IFERROR(__xludf.DUMMYFUNCTION("""COMPUTED_VALUE"""),2419.2)</f>
        <v>2419.2</v>
      </c>
    </row>
    <row r="34">
      <c r="A34" s="1" t="str">
        <f>IFERROR(__xludf.DUMMYFUNCTION("""COMPUTED_VALUE"""),"PR035")</f>
        <v>PR035</v>
      </c>
      <c r="B34" s="1" t="str">
        <f>IFERROR(__xludf.DUMMYFUNCTION("""COMPUTED_VALUE"""),"VD019")</f>
        <v>VD019</v>
      </c>
      <c r="C34" s="1">
        <f>IFERROR(__xludf.DUMMYFUNCTION("""COMPUTED_VALUE"""),21.0)</f>
        <v>21</v>
      </c>
      <c r="D34" s="1">
        <f>IFERROR(__xludf.DUMMYFUNCTION("""COMPUTED_VALUE"""),2207.31)</f>
        <v>2207.31</v>
      </c>
    </row>
    <row r="35">
      <c r="A35" s="1" t="str">
        <f>IFERROR(__xludf.DUMMYFUNCTION("""COMPUTED_VALUE"""),"PR028")</f>
        <v>PR028</v>
      </c>
      <c r="B35" s="1" t="str">
        <f>IFERROR(__xludf.DUMMYFUNCTION("""COMPUTED_VALUE"""),"VD011")</f>
        <v>VD011</v>
      </c>
      <c r="C35" s="1">
        <f>IFERROR(__xludf.DUMMYFUNCTION("""COMPUTED_VALUE"""),16.0)</f>
        <v>16</v>
      </c>
      <c r="D35" s="1">
        <f>IFERROR(__xludf.DUMMYFUNCTION("""COMPUTED_VALUE"""),4718.11)</f>
        <v>4718.11</v>
      </c>
    </row>
    <row r="36">
      <c r="A36" s="1" t="str">
        <f>IFERROR(__xludf.DUMMYFUNCTION("""COMPUTED_VALUE"""),"PR018")</f>
        <v>PR018</v>
      </c>
      <c r="B36" s="1" t="str">
        <f>IFERROR(__xludf.DUMMYFUNCTION("""COMPUTED_VALUE"""),"VD016")</f>
        <v>VD016</v>
      </c>
      <c r="C36" s="1">
        <f>IFERROR(__xludf.DUMMYFUNCTION("""COMPUTED_VALUE"""),10.0)</f>
        <v>10</v>
      </c>
      <c r="D36" s="1">
        <f>IFERROR(__xludf.DUMMYFUNCTION("""COMPUTED_VALUE"""),378.35)</f>
        <v>378.35</v>
      </c>
    </row>
    <row r="37">
      <c r="A37" s="1" t="str">
        <f>IFERROR(__xludf.DUMMYFUNCTION("""COMPUTED_VALUE"""),"PR035")</f>
        <v>PR035</v>
      </c>
      <c r="B37" s="1" t="str">
        <f>IFERROR(__xludf.DUMMYFUNCTION("""COMPUTED_VALUE"""),"VD018")</f>
        <v>VD018</v>
      </c>
      <c r="C37" s="1">
        <f>IFERROR(__xludf.DUMMYFUNCTION("""COMPUTED_VALUE"""),28.0)</f>
        <v>28</v>
      </c>
      <c r="D37" s="1">
        <f>IFERROR(__xludf.DUMMYFUNCTION("""COMPUTED_VALUE"""),2149.73)</f>
        <v>2149.73</v>
      </c>
    </row>
    <row r="38">
      <c r="A38" s="1" t="str">
        <f>IFERROR(__xludf.DUMMYFUNCTION("""COMPUTED_VALUE"""),"PR057")</f>
        <v>PR057</v>
      </c>
      <c r="B38" s="1" t="str">
        <f>IFERROR(__xludf.DUMMYFUNCTION("""COMPUTED_VALUE"""),"VD034")</f>
        <v>VD034</v>
      </c>
      <c r="C38" s="1">
        <f>IFERROR(__xludf.DUMMYFUNCTION("""COMPUTED_VALUE"""),9.0)</f>
        <v>9</v>
      </c>
      <c r="D38" s="1">
        <f>IFERROR(__xludf.DUMMYFUNCTION("""COMPUTED_VALUE"""),906.19)</f>
        <v>906.19</v>
      </c>
    </row>
    <row r="39">
      <c r="A39" s="1" t="str">
        <f>IFERROR(__xludf.DUMMYFUNCTION("""COMPUTED_VALUE"""),"PR004")</f>
        <v>PR004</v>
      </c>
      <c r="B39" s="1" t="str">
        <f>IFERROR(__xludf.DUMMYFUNCTION("""COMPUTED_VALUE"""),"VD024")</f>
        <v>VD024</v>
      </c>
      <c r="C39" s="1">
        <f>IFERROR(__xludf.DUMMYFUNCTION("""COMPUTED_VALUE"""),15.0)</f>
        <v>15</v>
      </c>
      <c r="D39" s="1">
        <f>IFERROR(__xludf.DUMMYFUNCTION("""COMPUTED_VALUE"""),2610.0)</f>
        <v>2610</v>
      </c>
    </row>
    <row r="40">
      <c r="A40" s="1" t="str">
        <f>IFERROR(__xludf.DUMMYFUNCTION("""COMPUTED_VALUE"""),"PR014")</f>
        <v>PR014</v>
      </c>
      <c r="B40" s="1" t="str">
        <f>IFERROR(__xludf.DUMMYFUNCTION("""COMPUTED_VALUE"""),"VD011")</f>
        <v>VD011</v>
      </c>
      <c r="C40" s="1">
        <f>IFERROR(__xludf.DUMMYFUNCTION("""COMPUTED_VALUE"""),12.0)</f>
        <v>12</v>
      </c>
      <c r="D40" s="1">
        <f>IFERROR(__xludf.DUMMYFUNCTION("""COMPUTED_VALUE"""),560.2)</f>
        <v>560.2</v>
      </c>
    </row>
    <row r="41">
      <c r="A41" s="1" t="str">
        <f>IFERROR(__xludf.DUMMYFUNCTION("""COMPUTED_VALUE"""),"PR027")</f>
        <v>PR027</v>
      </c>
      <c r="B41" s="1" t="str">
        <f>IFERROR(__xludf.DUMMYFUNCTION("""COMPUTED_VALUE"""),"VD018")</f>
        <v>VD018</v>
      </c>
      <c r="C41" s="1">
        <f>IFERROR(__xludf.DUMMYFUNCTION("""COMPUTED_VALUE"""),27.0)</f>
        <v>27</v>
      </c>
      <c r="D41" s="1">
        <f>IFERROR(__xludf.DUMMYFUNCTION("""COMPUTED_VALUE"""),3888.0)</f>
        <v>3888</v>
      </c>
    </row>
    <row r="42">
      <c r="A42" s="1" t="str">
        <f>IFERROR(__xludf.DUMMYFUNCTION("""COMPUTED_VALUE"""),"PR032")</f>
        <v>PR032</v>
      </c>
      <c r="B42" s="1" t="str">
        <f>IFERROR(__xludf.DUMMYFUNCTION("""COMPUTED_VALUE"""),"VD011")</f>
        <v>VD011</v>
      </c>
      <c r="C42" s="1">
        <f>IFERROR(__xludf.DUMMYFUNCTION("""COMPUTED_VALUE"""),24.0)</f>
        <v>24</v>
      </c>
      <c r="D42" s="1">
        <f>IFERROR(__xludf.DUMMYFUNCTION("""COMPUTED_VALUE"""),6600.0)</f>
        <v>6600</v>
      </c>
    </row>
    <row r="43">
      <c r="A43" s="1" t="str">
        <f>IFERROR(__xludf.DUMMYFUNCTION("""COMPUTED_VALUE"""),"PR006")</f>
        <v>PR006</v>
      </c>
      <c r="B43" s="1" t="str">
        <f>IFERROR(__xludf.DUMMYFUNCTION("""COMPUTED_VALUE"""),"VD015")</f>
        <v>VD015</v>
      </c>
      <c r="C43" s="1">
        <f>IFERROR(__xludf.DUMMYFUNCTION("""COMPUTED_VALUE"""),27.0)</f>
        <v>27</v>
      </c>
      <c r="D43" s="1">
        <f>IFERROR(__xludf.DUMMYFUNCTION("""COMPUTED_VALUE"""),1260.44)</f>
        <v>1260.44</v>
      </c>
    </row>
    <row r="44">
      <c r="A44" s="1" t="str">
        <f>IFERROR(__xludf.DUMMYFUNCTION("""COMPUTED_VALUE"""),"PR028")</f>
        <v>PR028</v>
      </c>
      <c r="B44" s="1" t="str">
        <f>IFERROR(__xludf.DUMMYFUNCTION("""COMPUTED_VALUE"""),"VD048")</f>
        <v>VD048</v>
      </c>
      <c r="C44" s="1">
        <f>IFERROR(__xludf.DUMMYFUNCTION("""COMPUTED_VALUE"""),20.0)</f>
        <v>20</v>
      </c>
      <c r="D44" s="1">
        <f>IFERROR(__xludf.DUMMYFUNCTION("""COMPUTED_VALUE"""),5597.76)</f>
        <v>5597.76</v>
      </c>
    </row>
    <row r="45">
      <c r="A45" s="1" t="str">
        <f>IFERROR(__xludf.DUMMYFUNCTION("""COMPUTED_VALUE"""),"PR033")</f>
        <v>PR033</v>
      </c>
      <c r="B45" s="1" t="str">
        <f>IFERROR(__xludf.DUMMYFUNCTION("""COMPUTED_VALUE"""),"VD024")</f>
        <v>VD024</v>
      </c>
      <c r="C45" s="1">
        <f>IFERROR(__xludf.DUMMYFUNCTION("""COMPUTED_VALUE"""),24.0)</f>
        <v>24</v>
      </c>
      <c r="D45" s="1">
        <f>IFERROR(__xludf.DUMMYFUNCTION("""COMPUTED_VALUE"""),7485.12)</f>
        <v>7485.12</v>
      </c>
    </row>
    <row r="46">
      <c r="A46" s="1" t="str">
        <f>IFERROR(__xludf.DUMMYFUNCTION("""COMPUTED_VALUE"""),"PR008")</f>
        <v>PR008</v>
      </c>
      <c r="B46" s="1" t="str">
        <f>IFERROR(__xludf.DUMMYFUNCTION("""COMPUTED_VALUE"""),"VD027")</f>
        <v>VD027</v>
      </c>
      <c r="C46" s="1">
        <f>IFERROR(__xludf.DUMMYFUNCTION("""COMPUTED_VALUE"""),20.0)</f>
        <v>20</v>
      </c>
      <c r="D46" s="1">
        <f>IFERROR(__xludf.DUMMYFUNCTION("""COMPUTED_VALUE"""),2049.72)</f>
        <v>2049.72</v>
      </c>
    </row>
    <row r="47">
      <c r="A47" s="1" t="str">
        <f>IFERROR(__xludf.DUMMYFUNCTION("""COMPUTED_VALUE"""),"PR013")</f>
        <v>PR013</v>
      </c>
      <c r="B47" s="1" t="str">
        <f>IFERROR(__xludf.DUMMYFUNCTION("""COMPUTED_VALUE"""),"VD048")</f>
        <v>VD048</v>
      </c>
      <c r="C47" s="1">
        <f>IFERROR(__xludf.DUMMYFUNCTION("""COMPUTED_VALUE"""),27.0)</f>
        <v>27</v>
      </c>
      <c r="D47" s="1">
        <f>IFERROR(__xludf.DUMMYFUNCTION("""COMPUTED_VALUE"""),1238.9)</f>
        <v>1238.9</v>
      </c>
    </row>
    <row r="48">
      <c r="A48" s="1" t="str">
        <f>IFERROR(__xludf.DUMMYFUNCTION("""COMPUTED_VALUE"""),"PR011")</f>
        <v>PR011</v>
      </c>
      <c r="B48" s="1" t="str">
        <f>IFERROR(__xludf.DUMMYFUNCTION("""COMPUTED_VALUE"""),"VD026")</f>
        <v>VD026</v>
      </c>
      <c r="C48" s="1">
        <f>IFERROR(__xludf.DUMMYFUNCTION("""COMPUTED_VALUE"""),18.0)</f>
        <v>18</v>
      </c>
      <c r="D48" s="1">
        <f>IFERROR(__xludf.DUMMYFUNCTION("""COMPUTED_VALUE"""),1013.04)</f>
        <v>1013.04</v>
      </c>
    </row>
    <row r="49">
      <c r="A49" s="1" t="str">
        <f>IFERROR(__xludf.DUMMYFUNCTION("""COMPUTED_VALUE"""),"PR014")</f>
        <v>PR014</v>
      </c>
      <c r="B49" s="1" t="str">
        <f>IFERROR(__xludf.DUMMYFUNCTION("""COMPUTED_VALUE"""),"VD040")</f>
        <v>VD040</v>
      </c>
      <c r="C49" s="1">
        <f>IFERROR(__xludf.DUMMYFUNCTION("""COMPUTED_VALUE"""),24.0)</f>
        <v>24</v>
      </c>
      <c r="D49" s="1">
        <f>IFERROR(__xludf.DUMMYFUNCTION("""COMPUTED_VALUE"""),1139.54)</f>
        <v>1139.54</v>
      </c>
    </row>
    <row r="50">
      <c r="A50" s="1" t="str">
        <f>IFERROR(__xludf.DUMMYFUNCTION("""COMPUTED_VALUE"""),"PR043")</f>
        <v>PR043</v>
      </c>
      <c r="B50" s="1" t="str">
        <f>IFERROR(__xludf.DUMMYFUNCTION("""COMPUTED_VALUE"""),"VD035")</f>
        <v>VD035</v>
      </c>
      <c r="C50" s="1">
        <f>IFERROR(__xludf.DUMMYFUNCTION("""COMPUTED_VALUE"""),18.0)</f>
        <v>18</v>
      </c>
      <c r="D50" s="1">
        <f>IFERROR(__xludf.DUMMYFUNCTION("""COMPUTED_VALUE"""),1435.5)</f>
        <v>1435.5</v>
      </c>
    </row>
    <row r="51">
      <c r="A51" s="1" t="str">
        <f>IFERROR(__xludf.DUMMYFUNCTION("""COMPUTED_VALUE"""),"PR037")</f>
        <v>PR037</v>
      </c>
      <c r="B51" s="1" t="str">
        <f>IFERROR(__xludf.DUMMYFUNCTION("""COMPUTED_VALUE"""),"VD036")</f>
        <v>VD036</v>
      </c>
      <c r="C51" s="1">
        <f>IFERROR(__xludf.DUMMYFUNCTION("""COMPUTED_VALUE"""),30.0)</f>
        <v>30</v>
      </c>
      <c r="D51" s="1">
        <f>IFERROR(__xludf.DUMMYFUNCTION("""COMPUTED_VALUE"""),5040.0)</f>
        <v>5040</v>
      </c>
    </row>
    <row r="52">
      <c r="A52" s="1" t="str">
        <f>IFERROR(__xludf.DUMMYFUNCTION("""COMPUTED_VALUE"""),"PR020")</f>
        <v>PR020</v>
      </c>
      <c r="B52" s="1" t="str">
        <f>IFERROR(__xludf.DUMMYFUNCTION("""COMPUTED_VALUE"""),"VD026")</f>
        <v>VD026</v>
      </c>
      <c r="C52" s="1">
        <f>IFERROR(__xludf.DUMMYFUNCTION("""COMPUTED_VALUE"""),20.0)</f>
        <v>20</v>
      </c>
      <c r="D52" s="1">
        <f>IFERROR(__xludf.DUMMYFUNCTION("""COMPUTED_VALUE"""),6657.78)</f>
        <v>6657.78</v>
      </c>
    </row>
    <row r="53">
      <c r="A53" s="1" t="str">
        <f>IFERROR(__xludf.DUMMYFUNCTION("""COMPUTED_VALUE"""),"PR052")</f>
        <v>PR052</v>
      </c>
      <c r="B53" s="1" t="str">
        <f>IFERROR(__xludf.DUMMYFUNCTION("""COMPUTED_VALUE"""),"VD035")</f>
        <v>VD035</v>
      </c>
      <c r="C53" s="1">
        <f>IFERROR(__xludf.DUMMYFUNCTION("""COMPUTED_VALUE"""),12.0)</f>
        <v>12</v>
      </c>
      <c r="D53" s="1">
        <f>IFERROR(__xludf.DUMMYFUNCTION("""COMPUTED_VALUE"""),658.68)</f>
        <v>658.68</v>
      </c>
    </row>
    <row r="54">
      <c r="A54" s="1" t="str">
        <f>IFERROR(__xludf.DUMMYFUNCTION("""COMPUTED_VALUE"""),"PR023")</f>
        <v>PR023</v>
      </c>
      <c r="B54" s="1" t="str">
        <f>IFERROR(__xludf.DUMMYFUNCTION("""COMPUTED_VALUE"""),"VD016")</f>
        <v>VD016</v>
      </c>
      <c r="C54" s="1">
        <f>IFERROR(__xludf.DUMMYFUNCTION("""COMPUTED_VALUE"""),27.0)</f>
        <v>27</v>
      </c>
      <c r="D54" s="1">
        <f>IFERROR(__xludf.DUMMYFUNCTION("""COMPUTED_VALUE"""),7894.34)</f>
        <v>7894.34</v>
      </c>
    </row>
    <row r="55">
      <c r="A55" s="1" t="str">
        <f>IFERROR(__xludf.DUMMYFUNCTION("""COMPUTED_VALUE"""),"PR002")</f>
        <v>PR002</v>
      </c>
      <c r="B55" s="1" t="str">
        <f>IFERROR(__xludf.DUMMYFUNCTION("""COMPUTED_VALUE"""),"VD018")</f>
        <v>VD018</v>
      </c>
      <c r="C55" s="1">
        <f>IFERROR(__xludf.DUMMYFUNCTION("""COMPUTED_VALUE"""),9.0)</f>
        <v>9</v>
      </c>
      <c r="D55" s="1">
        <f>IFERROR(__xludf.DUMMYFUNCTION("""COMPUTED_VALUE"""),717.17)</f>
        <v>717.17</v>
      </c>
    </row>
    <row r="56">
      <c r="A56" s="1" t="str">
        <f>IFERROR(__xludf.DUMMYFUNCTION("""COMPUTED_VALUE"""),"PR039")</f>
        <v>PR039</v>
      </c>
      <c r="B56" s="1" t="str">
        <f>IFERROR(__xludf.DUMMYFUNCTION("""COMPUTED_VALUE"""),"VD014")</f>
        <v>VD014</v>
      </c>
      <c r="C56" s="1">
        <f>IFERROR(__xludf.DUMMYFUNCTION("""COMPUTED_VALUE"""),16.0)</f>
        <v>16</v>
      </c>
      <c r="D56" s="1">
        <f>IFERROR(__xludf.DUMMYFUNCTION("""COMPUTED_VALUE"""),2663.04)</f>
        <v>2663.04</v>
      </c>
    </row>
    <row r="57">
      <c r="A57" s="1" t="str">
        <f>IFERROR(__xludf.DUMMYFUNCTION("""COMPUTED_VALUE"""),"PR060")</f>
        <v>PR060</v>
      </c>
      <c r="B57" s="1" t="str">
        <f>IFERROR(__xludf.DUMMYFUNCTION("""COMPUTED_VALUE"""),"VD044")</f>
        <v>VD044</v>
      </c>
      <c r="C57" s="1">
        <f>IFERROR(__xludf.DUMMYFUNCTION("""COMPUTED_VALUE"""),6.0)</f>
        <v>6</v>
      </c>
      <c r="D57" s="1">
        <f>IFERROR(__xludf.DUMMYFUNCTION("""COMPUTED_VALUE"""),1252.8)</f>
        <v>1252.8</v>
      </c>
    </row>
    <row r="58">
      <c r="A58" s="1" t="str">
        <f>IFERROR(__xludf.DUMMYFUNCTION("""COMPUTED_VALUE"""),"PR009")</f>
        <v>PR009</v>
      </c>
      <c r="B58" s="1" t="str">
        <f>IFERROR(__xludf.DUMMYFUNCTION("""COMPUTED_VALUE"""),"VD041")</f>
        <v>VD041</v>
      </c>
      <c r="C58" s="1">
        <f>IFERROR(__xludf.DUMMYFUNCTION("""COMPUTED_VALUE"""),15.0)</f>
        <v>15</v>
      </c>
      <c r="D58" s="1">
        <f>IFERROR(__xludf.DUMMYFUNCTION("""COMPUTED_VALUE"""),1560.72)</f>
        <v>1560.72</v>
      </c>
    </row>
    <row r="59">
      <c r="A59" s="1" t="str">
        <f>IFERROR(__xludf.DUMMYFUNCTION("""COMPUTED_VALUE"""),"PR057")</f>
        <v>PR057</v>
      </c>
      <c r="B59" s="1" t="str">
        <f>IFERROR(__xludf.DUMMYFUNCTION("""COMPUTED_VALUE"""),"VD046")</f>
        <v>VD046</v>
      </c>
      <c r="C59" s="1">
        <f>IFERROR(__xludf.DUMMYFUNCTION("""COMPUTED_VALUE"""),15.0)</f>
        <v>15</v>
      </c>
      <c r="D59" s="1">
        <f>IFERROR(__xludf.DUMMYFUNCTION("""COMPUTED_VALUE"""),1591.23)</f>
        <v>1591.23</v>
      </c>
    </row>
    <row r="60">
      <c r="A60" s="1" t="str">
        <f>IFERROR(__xludf.DUMMYFUNCTION("""COMPUTED_VALUE"""),"PR018")</f>
        <v>PR018</v>
      </c>
      <c r="B60" s="1" t="str">
        <f>IFERROR(__xludf.DUMMYFUNCTION("""COMPUTED_VALUE"""),"VD037")</f>
        <v>VD037</v>
      </c>
      <c r="C60" s="1">
        <f>IFERROR(__xludf.DUMMYFUNCTION("""COMPUTED_VALUE"""),10.0)</f>
        <v>10</v>
      </c>
      <c r="D60" s="1">
        <f>IFERROR(__xludf.DUMMYFUNCTION("""COMPUTED_VALUE"""),361.9)</f>
        <v>361.9</v>
      </c>
    </row>
    <row r="61">
      <c r="A61" s="1" t="str">
        <f>IFERROR(__xludf.DUMMYFUNCTION("""COMPUTED_VALUE"""),"PR022")</f>
        <v>PR022</v>
      </c>
      <c r="B61" s="1" t="str">
        <f>IFERROR(__xludf.DUMMYFUNCTION("""COMPUTED_VALUE"""),"VD023")</f>
        <v>VD023</v>
      </c>
      <c r="C61" s="1">
        <f>IFERROR(__xludf.DUMMYFUNCTION("""COMPUTED_VALUE"""),16.0)</f>
        <v>16</v>
      </c>
      <c r="D61" s="1">
        <f>IFERROR(__xludf.DUMMYFUNCTION("""COMPUTED_VALUE"""),5424.0)</f>
        <v>5424</v>
      </c>
    </row>
    <row r="62">
      <c r="A62" s="1" t="str">
        <f>IFERROR(__xludf.DUMMYFUNCTION("""COMPUTED_VALUE"""),"PR020")</f>
        <v>PR020</v>
      </c>
      <c r="B62" s="1" t="str">
        <f>IFERROR(__xludf.DUMMYFUNCTION("""COMPUTED_VALUE"""),"VD023")</f>
        <v>VD023</v>
      </c>
      <c r="C62" s="1">
        <f>IFERROR(__xludf.DUMMYFUNCTION("""COMPUTED_VALUE"""),21.0)</f>
        <v>21</v>
      </c>
      <c r="D62" s="1">
        <f>IFERROR(__xludf.DUMMYFUNCTION("""COMPUTED_VALUE"""),7242.59)</f>
        <v>7242.59</v>
      </c>
    </row>
    <row r="63">
      <c r="A63" s="1" t="str">
        <f>IFERROR(__xludf.DUMMYFUNCTION("""COMPUTED_VALUE"""),"PR043")</f>
        <v>PR043</v>
      </c>
      <c r="B63" s="1" t="str">
        <f>IFERROR(__xludf.DUMMYFUNCTION("""COMPUTED_VALUE"""),"VD039")</f>
        <v>VD039</v>
      </c>
      <c r="C63" s="1">
        <f>IFERROR(__xludf.DUMMYFUNCTION("""COMPUTED_VALUE"""),16.0)</f>
        <v>16</v>
      </c>
      <c r="D63" s="1">
        <f>IFERROR(__xludf.DUMMYFUNCTION("""COMPUTED_VALUE"""),1368.8)</f>
        <v>1368.8</v>
      </c>
    </row>
    <row r="64">
      <c r="A64" s="1" t="str">
        <f>IFERROR(__xludf.DUMMYFUNCTION("""COMPUTED_VALUE"""),"PR040")</f>
        <v>PR040</v>
      </c>
      <c r="B64" s="1" t="str">
        <f>IFERROR(__xludf.DUMMYFUNCTION("""COMPUTED_VALUE"""),"VD014")</f>
        <v>VD014</v>
      </c>
      <c r="C64" s="1">
        <f>IFERROR(__xludf.DUMMYFUNCTION("""COMPUTED_VALUE"""),20.0)</f>
        <v>20</v>
      </c>
      <c r="D64" s="1">
        <f>IFERROR(__xludf.DUMMYFUNCTION("""COMPUTED_VALUE"""),1624.0)</f>
        <v>1624</v>
      </c>
    </row>
    <row r="65">
      <c r="A65" s="1" t="str">
        <f>IFERROR(__xludf.DUMMYFUNCTION("""COMPUTED_VALUE"""),"PR052")</f>
        <v>PR052</v>
      </c>
      <c r="B65" s="1" t="str">
        <f>IFERROR(__xludf.DUMMYFUNCTION("""COMPUTED_VALUE"""),"VD035")</f>
        <v>VD035</v>
      </c>
      <c r="C65" s="1">
        <f>IFERROR(__xludf.DUMMYFUNCTION("""COMPUTED_VALUE"""),30.0)</f>
        <v>30</v>
      </c>
      <c r="D65" s="1">
        <f>IFERROR(__xludf.DUMMYFUNCTION("""COMPUTED_VALUE"""),1721.55)</f>
        <v>1721.55</v>
      </c>
    </row>
    <row r="66">
      <c r="A66" s="1" t="str">
        <f>IFERROR(__xludf.DUMMYFUNCTION("""COMPUTED_VALUE"""),"PR021")</f>
        <v>PR021</v>
      </c>
      <c r="B66" s="1" t="str">
        <f>IFERROR(__xludf.DUMMYFUNCTION("""COMPUTED_VALUE"""),"VD013")</f>
        <v>VD013</v>
      </c>
      <c r="C66" s="1">
        <f>IFERROR(__xludf.DUMMYFUNCTION("""COMPUTED_VALUE"""),8.0)</f>
        <v>8</v>
      </c>
      <c r="D66" s="1">
        <f>IFERROR(__xludf.DUMMYFUNCTION("""COMPUTED_VALUE"""),2689.75)</f>
        <v>2689.75</v>
      </c>
    </row>
    <row r="67">
      <c r="A67" s="1" t="str">
        <f>IFERROR(__xludf.DUMMYFUNCTION("""COMPUTED_VALUE"""),"PR050")</f>
        <v>PR050</v>
      </c>
      <c r="B67" s="1" t="str">
        <f>IFERROR(__xludf.DUMMYFUNCTION("""COMPUTED_VALUE"""),"VD015")</f>
        <v>VD015</v>
      </c>
      <c r="C67" s="1">
        <f>IFERROR(__xludf.DUMMYFUNCTION("""COMPUTED_VALUE"""),24.0)</f>
        <v>24</v>
      </c>
      <c r="D67" s="1">
        <f>IFERROR(__xludf.DUMMYFUNCTION("""COMPUTED_VALUE"""),915.94)</f>
        <v>915.94</v>
      </c>
    </row>
    <row r="68">
      <c r="A68" s="1" t="str">
        <f>IFERROR(__xludf.DUMMYFUNCTION("""COMPUTED_VALUE"""),"PR036")</f>
        <v>PR036</v>
      </c>
      <c r="B68" s="1" t="str">
        <f>IFERROR(__xludf.DUMMYFUNCTION("""COMPUTED_VALUE"""),"VD040")</f>
        <v>VD040</v>
      </c>
      <c r="C68" s="1">
        <f>IFERROR(__xludf.DUMMYFUNCTION("""COMPUTED_VALUE"""),12.0)</f>
        <v>12</v>
      </c>
      <c r="D68" s="1">
        <f>IFERROR(__xludf.DUMMYFUNCTION("""COMPUTED_VALUE"""),1301.52)</f>
        <v>1301.52</v>
      </c>
    </row>
    <row r="69">
      <c r="A69" s="1" t="str">
        <f>IFERROR(__xludf.DUMMYFUNCTION("""COMPUTED_VALUE"""),"PR023")</f>
        <v>PR023</v>
      </c>
      <c r="B69" s="1" t="str">
        <f>IFERROR(__xludf.DUMMYFUNCTION("""COMPUTED_VALUE"""),"VD037")</f>
        <v>VD037</v>
      </c>
      <c r="C69" s="1">
        <f>IFERROR(__xludf.DUMMYFUNCTION("""COMPUTED_VALUE"""),12.0)</f>
        <v>12</v>
      </c>
      <c r="D69" s="1">
        <f>IFERROR(__xludf.DUMMYFUNCTION("""COMPUTED_VALUE"""),3298.68)</f>
        <v>3298.68</v>
      </c>
    </row>
    <row r="70">
      <c r="A70" s="1" t="str">
        <f>IFERROR(__xludf.DUMMYFUNCTION("""COMPUTED_VALUE"""),"PR052")</f>
        <v>PR052</v>
      </c>
      <c r="B70" s="1" t="str">
        <f>IFERROR(__xludf.DUMMYFUNCTION("""COMPUTED_VALUE"""),"VD014")</f>
        <v>VD014</v>
      </c>
      <c r="C70" s="1">
        <f>IFERROR(__xludf.DUMMYFUNCTION("""COMPUTED_VALUE"""),20.0)</f>
        <v>20</v>
      </c>
      <c r="D70" s="1">
        <f>IFERROR(__xludf.DUMMYFUNCTION("""COMPUTED_VALUE"""),1127.74)</f>
        <v>1127.74</v>
      </c>
    </row>
    <row r="71">
      <c r="A71" s="1" t="str">
        <f>IFERROR(__xludf.DUMMYFUNCTION("""COMPUTED_VALUE"""),"PR051")</f>
        <v>PR051</v>
      </c>
      <c r="B71" s="1" t="str">
        <f>IFERROR(__xludf.DUMMYFUNCTION("""COMPUTED_VALUE"""),"VD018")</f>
        <v>VD018</v>
      </c>
      <c r="C71" s="1">
        <f>IFERROR(__xludf.DUMMYFUNCTION("""COMPUTED_VALUE"""),6.0)</f>
        <v>6</v>
      </c>
      <c r="D71" s="1">
        <f>IFERROR(__xludf.DUMMYFUNCTION("""COMPUTED_VALUE"""),221.09)</f>
        <v>221.09</v>
      </c>
    </row>
    <row r="72">
      <c r="A72" s="1" t="str">
        <f>IFERROR(__xludf.DUMMYFUNCTION("""COMPUTED_VALUE"""),"PR019")</f>
        <v>PR019</v>
      </c>
      <c r="B72" s="1" t="str">
        <f>IFERROR(__xludf.DUMMYFUNCTION("""COMPUTED_VALUE"""),"VD010")</f>
        <v>VD010</v>
      </c>
      <c r="C72" s="1">
        <f>IFERROR(__xludf.DUMMYFUNCTION("""COMPUTED_VALUE"""),20.0)</f>
        <v>20</v>
      </c>
      <c r="D72" s="1">
        <f>IFERROR(__xludf.DUMMYFUNCTION("""COMPUTED_VALUE"""),1197.6)</f>
        <v>1197.6</v>
      </c>
    </row>
    <row r="73">
      <c r="A73" s="1" t="str">
        <f>IFERROR(__xludf.DUMMYFUNCTION("""COMPUTED_VALUE"""),"PR053")</f>
        <v>PR053</v>
      </c>
      <c r="B73" s="1" t="str">
        <f>IFERROR(__xludf.DUMMYFUNCTION("""COMPUTED_VALUE"""),"VD043")</f>
        <v>VD043</v>
      </c>
      <c r="C73" s="1">
        <f>IFERROR(__xludf.DUMMYFUNCTION("""COMPUTED_VALUE"""),16.0)</f>
        <v>16</v>
      </c>
      <c r="D73" s="1">
        <f>IFERROR(__xludf.DUMMYFUNCTION("""COMPUTED_VALUE"""),950.1)</f>
        <v>950.1</v>
      </c>
    </row>
    <row r="74">
      <c r="A74" s="1" t="str">
        <f>IFERROR(__xludf.DUMMYFUNCTION("""COMPUTED_VALUE"""),"PR031")</f>
        <v>PR031</v>
      </c>
      <c r="B74" s="1" t="str">
        <f>IFERROR(__xludf.DUMMYFUNCTION("""COMPUTED_VALUE"""),"VD035")</f>
        <v>VD035</v>
      </c>
      <c r="C74" s="1">
        <f>IFERROR(__xludf.DUMMYFUNCTION("""COMPUTED_VALUE"""),21.0)</f>
        <v>21</v>
      </c>
      <c r="D74" s="1">
        <f>IFERROR(__xludf.DUMMYFUNCTION("""COMPUTED_VALUE"""),6122.55)</f>
        <v>6122.55</v>
      </c>
    </row>
    <row r="75">
      <c r="A75" s="1" t="str">
        <f>IFERROR(__xludf.DUMMYFUNCTION("""COMPUTED_VALUE"""),"PR008")</f>
        <v>PR008</v>
      </c>
      <c r="B75" s="1" t="str">
        <f>IFERROR(__xludf.DUMMYFUNCTION("""COMPUTED_VALUE"""),"VD037")</f>
        <v>VD037</v>
      </c>
      <c r="C75" s="1">
        <f>IFERROR(__xludf.DUMMYFUNCTION("""COMPUTED_VALUE"""),10.0)</f>
        <v>10</v>
      </c>
      <c r="D75" s="1">
        <f>IFERROR(__xludf.DUMMYFUNCTION("""COMPUTED_VALUE"""),1078.8)</f>
        <v>1078.8</v>
      </c>
    </row>
    <row r="76">
      <c r="A76" s="1" t="str">
        <f>IFERROR(__xludf.DUMMYFUNCTION("""COMPUTED_VALUE"""),"PR010")</f>
        <v>PR010</v>
      </c>
      <c r="B76" s="1" t="str">
        <f>IFERROR(__xludf.DUMMYFUNCTION("""COMPUTED_VALUE"""),"VD023")</f>
        <v>VD023</v>
      </c>
      <c r="C76" s="1">
        <f>IFERROR(__xludf.DUMMYFUNCTION("""COMPUTED_VALUE"""),14.0)</f>
        <v>14</v>
      </c>
      <c r="D76" s="1">
        <f>IFERROR(__xludf.DUMMYFUNCTION("""COMPUTED_VALUE"""),704.03)</f>
        <v>704.03</v>
      </c>
    </row>
    <row r="77">
      <c r="A77" s="1" t="str">
        <f>IFERROR(__xludf.DUMMYFUNCTION("""COMPUTED_VALUE"""),"PR012")</f>
        <v>PR012</v>
      </c>
      <c r="B77" s="1" t="str">
        <f>IFERROR(__xludf.DUMMYFUNCTION("""COMPUTED_VALUE"""),"VD018")</f>
        <v>VD018</v>
      </c>
      <c r="C77" s="1">
        <f>IFERROR(__xludf.DUMMYFUNCTION("""COMPUTED_VALUE"""),10.0)</f>
        <v>10</v>
      </c>
      <c r="D77" s="1">
        <f>IFERROR(__xludf.DUMMYFUNCTION("""COMPUTED_VALUE"""),577.02)</f>
        <v>577.02</v>
      </c>
    </row>
    <row r="78">
      <c r="A78" s="1" t="str">
        <f>IFERROR(__xludf.DUMMYFUNCTION("""COMPUTED_VALUE"""),"PR043")</f>
        <v>PR043</v>
      </c>
      <c r="B78" s="1" t="str">
        <f>IFERROR(__xludf.DUMMYFUNCTION("""COMPUTED_VALUE"""),"VD033")</f>
        <v>VD033</v>
      </c>
      <c r="C78" s="1">
        <f>IFERROR(__xludf.DUMMYFUNCTION("""COMPUTED_VALUE"""),12.0)</f>
        <v>12</v>
      </c>
      <c r="D78" s="1">
        <f>IFERROR(__xludf.DUMMYFUNCTION("""COMPUTED_VALUE"""),983.1)</f>
        <v>983.1</v>
      </c>
    </row>
    <row r="79">
      <c r="A79" s="1" t="str">
        <f>IFERROR(__xludf.DUMMYFUNCTION("""COMPUTED_VALUE"""),"PR004")</f>
        <v>PR004</v>
      </c>
      <c r="B79" s="1" t="str">
        <f>IFERROR(__xludf.DUMMYFUNCTION("""COMPUTED_VALUE"""),"VD015")</f>
        <v>VD015</v>
      </c>
      <c r="C79" s="1">
        <f>IFERROR(__xludf.DUMMYFUNCTION("""COMPUTED_VALUE"""),10.0)</f>
        <v>10</v>
      </c>
      <c r="D79" s="1">
        <f>IFERROR(__xludf.DUMMYFUNCTION("""COMPUTED_VALUE"""),1725.5)</f>
        <v>1725.5</v>
      </c>
    </row>
    <row r="80">
      <c r="A80" s="1" t="str">
        <f>IFERROR(__xludf.DUMMYFUNCTION("""COMPUTED_VALUE"""),"PR045")</f>
        <v>PR045</v>
      </c>
      <c r="B80" s="1" t="str">
        <f>IFERROR(__xludf.DUMMYFUNCTION("""COMPUTED_VALUE"""),"VD027")</f>
        <v>VD027</v>
      </c>
      <c r="C80" s="1">
        <f>IFERROR(__xludf.DUMMYFUNCTION("""COMPUTED_VALUE"""),16.0)</f>
        <v>16</v>
      </c>
      <c r="D80" s="1">
        <f>IFERROR(__xludf.DUMMYFUNCTION("""COMPUTED_VALUE"""),1334.0)</f>
        <v>1334</v>
      </c>
    </row>
    <row r="81">
      <c r="A81" s="1" t="str">
        <f>IFERROR(__xludf.DUMMYFUNCTION("""COMPUTED_VALUE"""),"PR014")</f>
        <v>PR014</v>
      </c>
      <c r="B81" s="1" t="str">
        <f>IFERROR(__xludf.DUMMYFUNCTION("""COMPUTED_VALUE"""),"VD035")</f>
        <v>VD035</v>
      </c>
      <c r="C81" s="1">
        <f>IFERROR(__xludf.DUMMYFUNCTION("""COMPUTED_VALUE"""),20.0)</f>
        <v>20</v>
      </c>
      <c r="D81" s="1">
        <f>IFERROR(__xludf.DUMMYFUNCTION("""COMPUTED_VALUE"""),877.8)</f>
        <v>877.8</v>
      </c>
    </row>
    <row r="82">
      <c r="A82" s="1" t="str">
        <f>IFERROR(__xludf.DUMMYFUNCTION("""COMPUTED_VALUE"""),"PR026")</f>
        <v>PR026</v>
      </c>
      <c r="B82" s="1" t="str">
        <f>IFERROR(__xludf.DUMMYFUNCTION("""COMPUTED_VALUE"""),"VD011")</f>
        <v>VD011</v>
      </c>
      <c r="C82" s="1">
        <f>IFERROR(__xludf.DUMMYFUNCTION("""COMPUTED_VALUE"""),15.0)</f>
        <v>15</v>
      </c>
      <c r="D82" s="1">
        <f>IFERROR(__xludf.DUMMYFUNCTION("""COMPUTED_VALUE"""),6035.78)</f>
        <v>6035.78</v>
      </c>
    </row>
    <row r="83">
      <c r="A83" s="1" t="str">
        <f>IFERROR(__xludf.DUMMYFUNCTION("""COMPUTED_VALUE"""),"PR014")</f>
        <v>PR014</v>
      </c>
      <c r="B83" s="1" t="str">
        <f>IFERROR(__xludf.DUMMYFUNCTION("""COMPUTED_VALUE"""),"VD028")</f>
        <v>VD028</v>
      </c>
      <c r="C83" s="1">
        <f>IFERROR(__xludf.DUMMYFUNCTION("""COMPUTED_VALUE"""),30.0)</f>
        <v>30</v>
      </c>
      <c r="D83" s="1">
        <f>IFERROR(__xludf.DUMMYFUNCTION("""COMPUTED_VALUE"""),1328.67)</f>
        <v>1328.67</v>
      </c>
    </row>
    <row r="84">
      <c r="A84" s="1" t="str">
        <f>IFERROR(__xludf.DUMMYFUNCTION("""COMPUTED_VALUE"""),"PR024")</f>
        <v>PR024</v>
      </c>
      <c r="B84" s="1" t="str">
        <f>IFERROR(__xludf.DUMMYFUNCTION("""COMPUTED_VALUE"""),"VD019")</f>
        <v>VD019</v>
      </c>
      <c r="C84" s="1">
        <f>IFERROR(__xludf.DUMMYFUNCTION("""COMPUTED_VALUE"""),30.0)</f>
        <v>30</v>
      </c>
      <c r="D84" s="1">
        <f>IFERROR(__xludf.DUMMYFUNCTION("""COMPUTED_VALUE"""),8810.61)</f>
        <v>8810.61</v>
      </c>
    </row>
    <row r="85">
      <c r="A85" s="1" t="str">
        <f>IFERROR(__xludf.DUMMYFUNCTION("""COMPUTED_VALUE"""),"PR023")</f>
        <v>PR023</v>
      </c>
      <c r="B85" s="1" t="str">
        <f>IFERROR(__xludf.DUMMYFUNCTION("""COMPUTED_VALUE"""),"VD034")</f>
        <v>VD034</v>
      </c>
      <c r="C85" s="1">
        <f>IFERROR(__xludf.DUMMYFUNCTION("""COMPUTED_VALUE"""),18.0)</f>
        <v>18</v>
      </c>
      <c r="D85" s="1">
        <f>IFERROR(__xludf.DUMMYFUNCTION("""COMPUTED_VALUE"""),5082.97)</f>
        <v>5082.97</v>
      </c>
    </row>
    <row r="86">
      <c r="A86" s="1" t="str">
        <f>IFERROR(__xludf.DUMMYFUNCTION("""COMPUTED_VALUE"""),"PR010")</f>
        <v>PR010</v>
      </c>
      <c r="B86" s="1" t="str">
        <f>IFERROR(__xludf.DUMMYFUNCTION("""COMPUTED_VALUE"""),"VD028")</f>
        <v>VD028</v>
      </c>
      <c r="C86" s="1">
        <f>IFERROR(__xludf.DUMMYFUNCTION("""COMPUTED_VALUE"""),20.0)</f>
        <v>20</v>
      </c>
      <c r="D86" s="1">
        <f>IFERROR(__xludf.DUMMYFUNCTION("""COMPUTED_VALUE"""),1050.66)</f>
        <v>1050.66</v>
      </c>
    </row>
    <row r="87">
      <c r="A87" s="1" t="str">
        <f>IFERROR(__xludf.DUMMYFUNCTION("""COMPUTED_VALUE"""),"PR042")</f>
        <v>PR042</v>
      </c>
      <c r="B87" s="1" t="str">
        <f>IFERROR(__xludf.DUMMYFUNCTION("""COMPUTED_VALUE"""),"VD041")</f>
        <v>VD041</v>
      </c>
      <c r="C87" s="1">
        <f>IFERROR(__xludf.DUMMYFUNCTION("""COMPUTED_VALUE"""),24.0)</f>
        <v>24</v>
      </c>
      <c r="D87" s="1">
        <f>IFERROR(__xludf.DUMMYFUNCTION("""COMPUTED_VALUE"""),1502.06)</f>
        <v>1502.06</v>
      </c>
    </row>
    <row r="88">
      <c r="A88" s="1" t="str">
        <f>IFERROR(__xludf.DUMMYFUNCTION("""COMPUTED_VALUE"""),"PR057")</f>
        <v>PR057</v>
      </c>
      <c r="B88" s="1" t="str">
        <f>IFERROR(__xludf.DUMMYFUNCTION("""COMPUTED_VALUE"""),"VD015")</f>
        <v>VD015</v>
      </c>
      <c r="C88" s="1">
        <f>IFERROR(__xludf.DUMMYFUNCTION("""COMPUTED_VALUE"""),24.0)</f>
        <v>24</v>
      </c>
      <c r="D88" s="1">
        <f>IFERROR(__xludf.DUMMYFUNCTION("""COMPUTED_VALUE"""),2373.36)</f>
        <v>2373.36</v>
      </c>
    </row>
    <row r="89">
      <c r="A89" s="1" t="str">
        <f>IFERROR(__xludf.DUMMYFUNCTION("""COMPUTED_VALUE"""),"PR034")</f>
        <v>PR034</v>
      </c>
      <c r="B89" s="1" t="str">
        <f>IFERROR(__xludf.DUMMYFUNCTION("""COMPUTED_VALUE"""),"VD027")</f>
        <v>VD027</v>
      </c>
      <c r="C89" s="1">
        <f>IFERROR(__xludf.DUMMYFUNCTION("""COMPUTED_VALUE"""),6.0)</f>
        <v>6</v>
      </c>
      <c r="D89" s="1">
        <f>IFERROR(__xludf.DUMMYFUNCTION("""COMPUTED_VALUE"""),598.73)</f>
        <v>598.73</v>
      </c>
    </row>
    <row r="90">
      <c r="A90" s="1" t="str">
        <f>IFERROR(__xludf.DUMMYFUNCTION("""COMPUTED_VALUE"""),"PR031")</f>
        <v>PR031</v>
      </c>
      <c r="B90" s="1" t="str">
        <f>IFERROR(__xludf.DUMMYFUNCTION("""COMPUTED_VALUE"""),"VD024")</f>
        <v>VD024</v>
      </c>
      <c r="C90" s="1">
        <f>IFERROR(__xludf.DUMMYFUNCTION("""COMPUTED_VALUE"""),6.0)</f>
        <v>6</v>
      </c>
      <c r="D90" s="1">
        <f>IFERROR(__xludf.DUMMYFUNCTION("""COMPUTED_VALUE"""),1675.8)</f>
        <v>1675.8</v>
      </c>
    </row>
    <row r="91">
      <c r="A91" s="1" t="str">
        <f>IFERROR(__xludf.DUMMYFUNCTION("""COMPUTED_VALUE"""),"PR046")</f>
        <v>PR046</v>
      </c>
      <c r="B91" s="1" t="str">
        <f>IFERROR(__xludf.DUMMYFUNCTION("""COMPUTED_VALUE"""),"VD038")</f>
        <v>VD038</v>
      </c>
      <c r="C91" s="1">
        <f>IFERROR(__xludf.DUMMYFUNCTION("""COMPUTED_VALUE"""),8.0)</f>
        <v>8</v>
      </c>
      <c r="D91" s="1">
        <f>IFERROR(__xludf.DUMMYFUNCTION("""COMPUTED_VALUE"""),2620.7)</f>
        <v>2620.7</v>
      </c>
    </row>
    <row r="92">
      <c r="A92" s="1" t="str">
        <f>IFERROR(__xludf.DUMMYFUNCTION("""COMPUTED_VALUE"""),"PR033")</f>
        <v>PR033</v>
      </c>
      <c r="B92" s="1" t="str">
        <f>IFERROR(__xludf.DUMMYFUNCTION("""COMPUTED_VALUE"""),"VD014")</f>
        <v>VD014</v>
      </c>
      <c r="C92" s="1">
        <f>IFERROR(__xludf.DUMMYFUNCTION("""COMPUTED_VALUE"""),12.0)</f>
        <v>12</v>
      </c>
      <c r="D92" s="1">
        <f>IFERROR(__xludf.DUMMYFUNCTION("""COMPUTED_VALUE"""),3649.0)</f>
        <v>3649</v>
      </c>
    </row>
    <row r="93">
      <c r="A93" s="1" t="str">
        <f>IFERROR(__xludf.DUMMYFUNCTION("""COMPUTED_VALUE"""),"PR041")</f>
        <v>PR041</v>
      </c>
      <c r="B93" s="1" t="str">
        <f>IFERROR(__xludf.DUMMYFUNCTION("""COMPUTED_VALUE"""),"VD035")</f>
        <v>VD035</v>
      </c>
      <c r="C93" s="1">
        <f>IFERROR(__xludf.DUMMYFUNCTION("""COMPUTED_VALUE"""),18.0)</f>
        <v>18</v>
      </c>
      <c r="D93" s="1">
        <f>IFERROR(__xludf.DUMMYFUNCTION("""COMPUTED_VALUE"""),1166.08)</f>
        <v>1166.08</v>
      </c>
    </row>
    <row r="94">
      <c r="A94" s="1" t="str">
        <f>IFERROR(__xludf.DUMMYFUNCTION("""COMPUTED_VALUE"""),"PR001")</f>
        <v>PR001</v>
      </c>
      <c r="B94" s="1" t="str">
        <f>IFERROR(__xludf.DUMMYFUNCTION("""COMPUTED_VALUE"""),"VD045")</f>
        <v>VD045</v>
      </c>
      <c r="C94" s="1">
        <f>IFERROR(__xludf.DUMMYFUNCTION("""COMPUTED_VALUE"""),12.0)</f>
        <v>12</v>
      </c>
      <c r="D94" s="1">
        <f>IFERROR(__xludf.DUMMYFUNCTION("""COMPUTED_VALUE"""),941.05)</f>
        <v>941.05</v>
      </c>
    </row>
    <row r="95">
      <c r="A95" s="1" t="str">
        <f>IFERROR(__xludf.DUMMYFUNCTION("""COMPUTED_VALUE"""),"PR006")</f>
        <v>PR006</v>
      </c>
      <c r="B95" s="1" t="str">
        <f>IFERROR(__xludf.DUMMYFUNCTION("""COMPUTED_VALUE"""),"VD035")</f>
        <v>VD035</v>
      </c>
      <c r="C95" s="1">
        <f>IFERROR(__xludf.DUMMYFUNCTION("""COMPUTED_VALUE"""),12.0)</f>
        <v>12</v>
      </c>
      <c r="D95" s="1">
        <f>IFERROR(__xludf.DUMMYFUNCTION("""COMPUTED_VALUE"""),541.04)</f>
        <v>541.04</v>
      </c>
    </row>
    <row r="96">
      <c r="A96" s="1" t="str">
        <f>IFERROR(__xludf.DUMMYFUNCTION("""COMPUTED_VALUE"""),"PR049")</f>
        <v>PR049</v>
      </c>
      <c r="B96" s="1" t="str">
        <f>IFERROR(__xludf.DUMMYFUNCTION("""COMPUTED_VALUE"""),"VD039")</f>
        <v>VD039</v>
      </c>
      <c r="C96" s="1">
        <f>IFERROR(__xludf.DUMMYFUNCTION("""COMPUTED_VALUE"""),10.0)</f>
        <v>10</v>
      </c>
      <c r="D96" s="1">
        <f>IFERROR(__xludf.DUMMYFUNCTION("""COMPUTED_VALUE"""),388.22)</f>
        <v>388.22</v>
      </c>
    </row>
    <row r="97">
      <c r="A97" s="1" t="str">
        <f>IFERROR(__xludf.DUMMYFUNCTION("""COMPUTED_VALUE"""),"PR012")</f>
        <v>PR012</v>
      </c>
      <c r="B97" s="1" t="str">
        <f>IFERROR(__xludf.DUMMYFUNCTION("""COMPUTED_VALUE"""),"VD034")</f>
        <v>VD034</v>
      </c>
      <c r="C97" s="1">
        <f>IFERROR(__xludf.DUMMYFUNCTION("""COMPUTED_VALUE"""),27.0)</f>
        <v>27</v>
      </c>
      <c r="D97" s="1">
        <f>IFERROR(__xludf.DUMMYFUNCTION("""COMPUTED_VALUE"""),1584.36)</f>
        <v>1584.36</v>
      </c>
    </row>
    <row r="98">
      <c r="A98" s="1" t="str">
        <f>IFERROR(__xludf.DUMMYFUNCTION("""COMPUTED_VALUE"""),"PR060")</f>
        <v>PR060</v>
      </c>
      <c r="B98" s="1" t="str">
        <f>IFERROR(__xludf.DUMMYFUNCTION("""COMPUTED_VALUE"""),"VD019")</f>
        <v>VD019</v>
      </c>
      <c r="C98" s="1">
        <f>IFERROR(__xludf.DUMMYFUNCTION("""COMPUTED_VALUE"""),18.0)</f>
        <v>18</v>
      </c>
      <c r="D98" s="1">
        <f>IFERROR(__xludf.DUMMYFUNCTION("""COMPUTED_VALUE"""),3628.8)</f>
        <v>3628.8</v>
      </c>
    </row>
    <row r="99">
      <c r="A99" s="1" t="str">
        <f>IFERROR(__xludf.DUMMYFUNCTION("""COMPUTED_VALUE"""),"PR060")</f>
        <v>PR060</v>
      </c>
      <c r="B99" s="1" t="str">
        <f>IFERROR(__xludf.DUMMYFUNCTION("""COMPUTED_VALUE"""),"VD042")</f>
        <v>VD042</v>
      </c>
      <c r="C99" s="1">
        <f>IFERROR(__xludf.DUMMYFUNCTION("""COMPUTED_VALUE"""),10.0)</f>
        <v>10</v>
      </c>
      <c r="D99" s="1">
        <f>IFERROR(__xludf.DUMMYFUNCTION("""COMPUTED_VALUE"""),1980.0)</f>
        <v>1980</v>
      </c>
    </row>
    <row r="100">
      <c r="A100" s="1" t="str">
        <f>IFERROR(__xludf.DUMMYFUNCTION("""COMPUTED_VALUE"""),"PR014")</f>
        <v>PR014</v>
      </c>
      <c r="B100" s="1" t="str">
        <f>IFERROR(__xludf.DUMMYFUNCTION("""COMPUTED_VALUE"""),"VD010")</f>
        <v>VD010</v>
      </c>
      <c r="C100" s="1">
        <f>IFERROR(__xludf.DUMMYFUNCTION("""COMPUTED_VALUE"""),18.0)</f>
        <v>18</v>
      </c>
      <c r="D100" s="1">
        <f>IFERROR(__xludf.DUMMYFUNCTION("""COMPUTED_VALUE"""),790.02)</f>
        <v>790.02</v>
      </c>
    </row>
    <row r="101">
      <c r="A101" s="1" t="str">
        <f>IFERROR(__xludf.DUMMYFUNCTION("""COMPUTED_VALUE"""),"PR036")</f>
        <v>PR036</v>
      </c>
      <c r="B101" s="1" t="str">
        <f>IFERROR(__xludf.DUMMYFUNCTION("""COMPUTED_VALUE"""),"VD019")</f>
        <v>VD019</v>
      </c>
      <c r="C101" s="1">
        <f>IFERROR(__xludf.DUMMYFUNCTION("""COMPUTED_VALUE"""),27.0)</f>
        <v>27</v>
      </c>
      <c r="D101" s="1">
        <f>IFERROR(__xludf.DUMMYFUNCTION("""COMPUTED_VALUE"""),2953.67)</f>
        <v>2953.67</v>
      </c>
    </row>
    <row r="102">
      <c r="A102" s="1" t="str">
        <f>IFERROR(__xludf.DUMMYFUNCTION("""COMPUTED_VALUE"""),"PR035")</f>
        <v>PR035</v>
      </c>
      <c r="B102" s="1" t="str">
        <f>IFERROR(__xludf.DUMMYFUNCTION("""COMPUTED_VALUE"""),"VD012")</f>
        <v>VD012</v>
      </c>
      <c r="C102" s="1">
        <f>IFERROR(__xludf.DUMMYFUNCTION("""COMPUTED_VALUE"""),8.0)</f>
        <v>8</v>
      </c>
      <c r="D102" s="1">
        <f>IFERROR(__xludf.DUMMYFUNCTION("""COMPUTED_VALUE"""),862.82)</f>
        <v>862.82</v>
      </c>
    </row>
    <row r="103">
      <c r="A103" s="1" t="str">
        <f>IFERROR(__xludf.DUMMYFUNCTION("""COMPUTED_VALUE"""),"PR006")</f>
        <v>PR006</v>
      </c>
      <c r="B103" s="1" t="str">
        <f>IFERROR(__xludf.DUMMYFUNCTION("""COMPUTED_VALUE"""),"VD044")</f>
        <v>VD044</v>
      </c>
      <c r="C103" s="1">
        <f>IFERROR(__xludf.DUMMYFUNCTION("""COMPUTED_VALUE"""),16.0)</f>
        <v>16</v>
      </c>
      <c r="D103" s="1">
        <f>IFERROR(__xludf.DUMMYFUNCTION("""COMPUTED_VALUE"""),746.93)</f>
        <v>746.93</v>
      </c>
    </row>
    <row r="104">
      <c r="A104" s="1" t="str">
        <f>IFERROR(__xludf.DUMMYFUNCTION("""COMPUTED_VALUE"""),"PR010")</f>
        <v>PR010</v>
      </c>
      <c r="B104" s="1" t="str">
        <f>IFERROR(__xludf.DUMMYFUNCTION("""COMPUTED_VALUE"""),"VD049")</f>
        <v>VD049</v>
      </c>
      <c r="C104" s="1">
        <f>IFERROR(__xludf.DUMMYFUNCTION("""COMPUTED_VALUE"""),20.0)</f>
        <v>20</v>
      </c>
      <c r="D104" s="1">
        <f>IFERROR(__xludf.DUMMYFUNCTION("""COMPUTED_VALUE"""),1077.6)</f>
        <v>1077.6</v>
      </c>
    </row>
    <row r="105">
      <c r="A105" s="1" t="str">
        <f>IFERROR(__xludf.DUMMYFUNCTION("""COMPUTED_VALUE"""),"PR024")</f>
        <v>PR024</v>
      </c>
      <c r="B105" s="1" t="str">
        <f>IFERROR(__xludf.DUMMYFUNCTION("""COMPUTED_VALUE"""),"VD041")</f>
        <v>VD041</v>
      </c>
      <c r="C105" s="1">
        <f>IFERROR(__xludf.DUMMYFUNCTION("""COMPUTED_VALUE"""),27.0)</f>
        <v>27</v>
      </c>
      <c r="D105" s="1">
        <f>IFERROR(__xludf.DUMMYFUNCTION("""COMPUTED_VALUE"""),8350.59)</f>
        <v>8350.59</v>
      </c>
    </row>
    <row r="106">
      <c r="A106" s="1" t="str">
        <f>IFERROR(__xludf.DUMMYFUNCTION("""COMPUTED_VALUE"""),"PR023")</f>
        <v>PR023</v>
      </c>
      <c r="B106" s="1" t="str">
        <f>IFERROR(__xludf.DUMMYFUNCTION("""COMPUTED_VALUE"""),"VD038")</f>
        <v>VD038</v>
      </c>
      <c r="C106" s="1">
        <f>IFERROR(__xludf.DUMMYFUNCTION("""COMPUTED_VALUE"""),30.0)</f>
        <v>30</v>
      </c>
      <c r="D106" s="1">
        <f>IFERROR(__xludf.DUMMYFUNCTION("""COMPUTED_VALUE"""),8846.46)</f>
        <v>8846.46</v>
      </c>
    </row>
    <row r="107">
      <c r="A107" s="1" t="str">
        <f>IFERROR(__xludf.DUMMYFUNCTION("""COMPUTED_VALUE"""),"PR022")</f>
        <v>PR022</v>
      </c>
      <c r="B107" s="1" t="str">
        <f>IFERROR(__xludf.DUMMYFUNCTION("""COMPUTED_VALUE"""),"VD044")</f>
        <v>VD044</v>
      </c>
      <c r="C107" s="1">
        <f>IFERROR(__xludf.DUMMYFUNCTION("""COMPUTED_VALUE"""),12.0)</f>
        <v>12</v>
      </c>
      <c r="D107" s="1">
        <f>IFERROR(__xludf.DUMMYFUNCTION("""COMPUTED_VALUE"""),4032.0)</f>
        <v>4032</v>
      </c>
    </row>
    <row r="108">
      <c r="A108" s="1" t="str">
        <f>IFERROR(__xludf.DUMMYFUNCTION("""COMPUTED_VALUE"""),"PR053")</f>
        <v>PR053</v>
      </c>
      <c r="B108" s="1" t="str">
        <f>IFERROR(__xludf.DUMMYFUNCTION("""COMPUTED_VALUE"""),"VD010")</f>
        <v>VD010</v>
      </c>
      <c r="C108" s="1">
        <f>IFERROR(__xludf.DUMMYFUNCTION("""COMPUTED_VALUE"""),14.0)</f>
        <v>14</v>
      </c>
      <c r="D108" s="1">
        <f>IFERROR(__xludf.DUMMYFUNCTION("""COMPUTED_VALUE"""),810.38)</f>
        <v>810.38</v>
      </c>
    </row>
    <row r="109">
      <c r="A109" s="1" t="str">
        <f>IFERROR(__xludf.DUMMYFUNCTION("""COMPUTED_VALUE"""),"PR054")</f>
        <v>PR054</v>
      </c>
      <c r="B109" s="1" t="str">
        <f>IFERROR(__xludf.DUMMYFUNCTION("""COMPUTED_VALUE"""),"VD034")</f>
        <v>VD034</v>
      </c>
      <c r="C109" s="1">
        <f>IFERROR(__xludf.DUMMYFUNCTION("""COMPUTED_VALUE"""),21.0)</f>
        <v>21</v>
      </c>
      <c r="D109" s="1">
        <f>IFERROR(__xludf.DUMMYFUNCTION("""COMPUTED_VALUE"""),1236.52)</f>
        <v>1236.52</v>
      </c>
    </row>
    <row r="110">
      <c r="A110" s="1" t="str">
        <f>IFERROR(__xludf.DUMMYFUNCTION("""COMPUTED_VALUE"""),"PR058")</f>
        <v>PR058</v>
      </c>
      <c r="B110" s="1" t="str">
        <f>IFERROR(__xludf.DUMMYFUNCTION("""COMPUTED_VALUE"""),"VD044")</f>
        <v>VD044</v>
      </c>
      <c r="C110" s="1">
        <f>IFERROR(__xludf.DUMMYFUNCTION("""COMPUTED_VALUE"""),15.0)</f>
        <v>15</v>
      </c>
      <c r="D110" s="1">
        <f>IFERROR(__xludf.DUMMYFUNCTION("""COMPUTED_VALUE"""),3240.0)</f>
        <v>3240</v>
      </c>
    </row>
    <row r="111">
      <c r="A111" s="1" t="str">
        <f>IFERROR(__xludf.DUMMYFUNCTION("""COMPUTED_VALUE"""),"PR040")</f>
        <v>PR040</v>
      </c>
      <c r="B111" s="1" t="str">
        <f>IFERROR(__xludf.DUMMYFUNCTION("""COMPUTED_VALUE"""),"VD037")</f>
        <v>VD037</v>
      </c>
      <c r="C111" s="1">
        <f>IFERROR(__xludf.DUMMYFUNCTION("""COMPUTED_VALUE"""),12.0)</f>
        <v>12</v>
      </c>
      <c r="D111" s="1">
        <f>IFERROR(__xludf.DUMMYFUNCTION("""COMPUTED_VALUE"""),974.4)</f>
        <v>974.4</v>
      </c>
    </row>
    <row r="112">
      <c r="A112" s="1" t="str">
        <f>IFERROR(__xludf.DUMMYFUNCTION("""COMPUTED_VALUE"""),"PR031")</f>
        <v>PR031</v>
      </c>
      <c r="B112" s="1" t="str">
        <f>IFERROR(__xludf.DUMMYFUNCTION("""COMPUTED_VALUE"""),"VD037")</f>
        <v>VD037</v>
      </c>
      <c r="C112" s="1">
        <f>IFERROR(__xludf.DUMMYFUNCTION("""COMPUTED_VALUE"""),24.0)</f>
        <v>24</v>
      </c>
      <c r="D112" s="1">
        <f>IFERROR(__xludf.DUMMYFUNCTION("""COMPUTED_VALUE"""),6997.2)</f>
        <v>6997.2</v>
      </c>
    </row>
    <row r="113">
      <c r="A113" s="1" t="str">
        <f>IFERROR(__xludf.DUMMYFUNCTION("""COMPUTED_VALUE"""),"PR009")</f>
        <v>PR009</v>
      </c>
      <c r="B113" s="1" t="str">
        <f>IFERROR(__xludf.DUMMYFUNCTION("""COMPUTED_VALUE"""),"VD011")</f>
        <v>VD011</v>
      </c>
      <c r="C113" s="1">
        <f>IFERROR(__xludf.DUMMYFUNCTION("""COMPUTED_VALUE"""),21.0)</f>
        <v>21</v>
      </c>
      <c r="D113" s="1">
        <f>IFERROR(__xludf.DUMMYFUNCTION("""COMPUTED_VALUE"""),2185.01)</f>
        <v>2185.01</v>
      </c>
    </row>
    <row r="114">
      <c r="A114" s="1" t="str">
        <f>IFERROR(__xludf.DUMMYFUNCTION("""COMPUTED_VALUE"""),"PR029")</f>
        <v>PR029</v>
      </c>
      <c r="B114" s="1" t="str">
        <f>IFERROR(__xludf.DUMMYFUNCTION("""COMPUTED_VALUE"""),"VD047")</f>
        <v>VD047</v>
      </c>
      <c r="C114" s="1">
        <f>IFERROR(__xludf.DUMMYFUNCTION("""COMPUTED_VALUE"""),24.0)</f>
        <v>24</v>
      </c>
      <c r="D114" s="1">
        <f>IFERROR(__xludf.DUMMYFUNCTION("""COMPUTED_VALUE"""),6793.2)</f>
        <v>6793.2</v>
      </c>
    </row>
    <row r="115">
      <c r="A115" s="1" t="str">
        <f>IFERROR(__xludf.DUMMYFUNCTION("""COMPUTED_VALUE"""),"PR017")</f>
        <v>PR017</v>
      </c>
      <c r="B115" s="1" t="str">
        <f>IFERROR(__xludf.DUMMYFUNCTION("""COMPUTED_VALUE"""),"VD042")</f>
        <v>VD042</v>
      </c>
      <c r="C115" s="1">
        <f>IFERROR(__xludf.DUMMYFUNCTION("""COMPUTED_VALUE"""),27.0)</f>
        <v>27</v>
      </c>
      <c r="D115" s="1">
        <f>IFERROR(__xludf.DUMMYFUNCTION("""COMPUTED_VALUE"""),912.25)</f>
        <v>912.25</v>
      </c>
    </row>
    <row r="116">
      <c r="A116" s="1" t="str">
        <f>IFERROR(__xludf.DUMMYFUNCTION("""COMPUTED_VALUE"""),"PR003")</f>
        <v>PR003</v>
      </c>
      <c r="B116" s="1" t="str">
        <f>IFERROR(__xludf.DUMMYFUNCTION("""COMPUTED_VALUE"""),"VD032")</f>
        <v>VD032</v>
      </c>
      <c r="C116" s="1">
        <f>IFERROR(__xludf.DUMMYFUNCTION("""COMPUTED_VALUE"""),24.0)</f>
        <v>24</v>
      </c>
      <c r="D116" s="1">
        <f>IFERROR(__xludf.DUMMYFUNCTION("""COMPUTED_VALUE"""),2041.92)</f>
        <v>2041.92</v>
      </c>
    </row>
    <row r="117">
      <c r="A117" s="1" t="str">
        <f>IFERROR(__xludf.DUMMYFUNCTION("""COMPUTED_VALUE"""),"PR041")</f>
        <v>PR041</v>
      </c>
      <c r="B117" s="1" t="str">
        <f>IFERROR(__xludf.DUMMYFUNCTION("""COMPUTED_VALUE"""),"VD023")</f>
        <v>VD023</v>
      </c>
      <c r="C117" s="1">
        <f>IFERROR(__xludf.DUMMYFUNCTION("""COMPUTED_VALUE"""),18.0)</f>
        <v>18</v>
      </c>
      <c r="D117" s="1">
        <f>IFERROR(__xludf.DUMMYFUNCTION("""COMPUTED_VALUE"""),1136.43)</f>
        <v>1136.43</v>
      </c>
    </row>
    <row r="118">
      <c r="A118" s="1" t="str">
        <f>IFERROR(__xludf.DUMMYFUNCTION("""COMPUTED_VALUE"""),"PR029")</f>
        <v>PR029</v>
      </c>
      <c r="B118" s="1" t="str">
        <f>IFERROR(__xludf.DUMMYFUNCTION("""COMPUTED_VALUE"""),"VD036")</f>
        <v>VD036</v>
      </c>
      <c r="C118" s="1">
        <f>IFERROR(__xludf.DUMMYFUNCTION("""COMPUTED_VALUE"""),24.0)</f>
        <v>24</v>
      </c>
      <c r="D118" s="1">
        <f>IFERROR(__xludf.DUMMYFUNCTION("""COMPUTED_VALUE"""),6976.8)</f>
        <v>6976.8</v>
      </c>
    </row>
    <row r="119">
      <c r="A119" s="1" t="str">
        <f>IFERROR(__xludf.DUMMYFUNCTION("""COMPUTED_VALUE"""),"PR054")</f>
        <v>PR054</v>
      </c>
      <c r="B119" s="1" t="str">
        <f>IFERROR(__xludf.DUMMYFUNCTION("""COMPUTED_VALUE"""),"VD034")</f>
        <v>VD034</v>
      </c>
      <c r="C119" s="1">
        <f>IFERROR(__xludf.DUMMYFUNCTION("""COMPUTED_VALUE"""),18.0)</f>
        <v>18</v>
      </c>
      <c r="D119" s="1">
        <f>IFERROR(__xludf.DUMMYFUNCTION("""COMPUTED_VALUE"""),1059.88)</f>
        <v>1059.88</v>
      </c>
    </row>
    <row r="120">
      <c r="A120" s="1" t="str">
        <f>IFERROR(__xludf.DUMMYFUNCTION("""COMPUTED_VALUE"""),"PR047")</f>
        <v>PR047</v>
      </c>
      <c r="B120" s="1" t="str">
        <f>IFERROR(__xludf.DUMMYFUNCTION("""COMPUTED_VALUE"""),"VD034")</f>
        <v>VD034</v>
      </c>
      <c r="C120" s="1">
        <f>IFERROR(__xludf.DUMMYFUNCTION("""COMPUTED_VALUE"""),21.0)</f>
        <v>21</v>
      </c>
      <c r="D120" s="1">
        <f>IFERROR(__xludf.DUMMYFUNCTION("""COMPUTED_VALUE"""),7122.84)</f>
        <v>7122.84</v>
      </c>
    </row>
    <row r="121">
      <c r="A121" s="1" t="str">
        <f>IFERROR(__xludf.DUMMYFUNCTION("""COMPUTED_VALUE"""),"PR023")</f>
        <v>PR023</v>
      </c>
      <c r="B121" s="1" t="str">
        <f>IFERROR(__xludf.DUMMYFUNCTION("""COMPUTED_VALUE"""),"VD018")</f>
        <v>VD018</v>
      </c>
      <c r="C121" s="1">
        <f>IFERROR(__xludf.DUMMYFUNCTION("""COMPUTED_VALUE"""),12.0)</f>
        <v>12</v>
      </c>
      <c r="D121" s="1">
        <f>IFERROR(__xludf.DUMMYFUNCTION("""COMPUTED_VALUE"""),3598.56)</f>
        <v>3598.56</v>
      </c>
    </row>
    <row r="122">
      <c r="A122" s="1" t="str">
        <f>IFERROR(__xludf.DUMMYFUNCTION("""COMPUTED_VALUE"""),"PR017")</f>
        <v>PR017</v>
      </c>
      <c r="B122" s="1" t="str">
        <f>IFERROR(__xludf.DUMMYFUNCTION("""COMPUTED_VALUE"""),"VD043")</f>
        <v>VD043</v>
      </c>
      <c r="C122" s="1">
        <f>IFERROR(__xludf.DUMMYFUNCTION("""COMPUTED_VALUE"""),18.0)</f>
        <v>18</v>
      </c>
      <c r="D122" s="1">
        <f>IFERROR(__xludf.DUMMYFUNCTION("""COMPUTED_VALUE"""),592.02)</f>
        <v>592.02</v>
      </c>
    </row>
    <row r="123">
      <c r="A123" s="1" t="str">
        <f>IFERROR(__xludf.DUMMYFUNCTION("""COMPUTED_VALUE"""),"PR058")</f>
        <v>PR058</v>
      </c>
      <c r="B123" s="1" t="str">
        <f>IFERROR(__xludf.DUMMYFUNCTION("""COMPUTED_VALUE"""),"VD021")</f>
        <v>VD021</v>
      </c>
      <c r="C123" s="1">
        <f>IFERROR(__xludf.DUMMYFUNCTION("""COMPUTED_VALUE"""),10.0)</f>
        <v>10</v>
      </c>
      <c r="D123" s="1">
        <f>IFERROR(__xludf.DUMMYFUNCTION("""COMPUTED_VALUE"""),2070.0)</f>
        <v>2070</v>
      </c>
    </row>
    <row r="124">
      <c r="A124" s="1" t="str">
        <f>IFERROR(__xludf.DUMMYFUNCTION("""COMPUTED_VALUE"""),"PR012")</f>
        <v>PR012</v>
      </c>
      <c r="B124" s="1" t="str">
        <f>IFERROR(__xludf.DUMMYFUNCTION("""COMPUTED_VALUE"""),"VD031")</f>
        <v>VD031</v>
      </c>
      <c r="C124" s="1">
        <f>IFERROR(__xludf.DUMMYFUNCTION("""COMPUTED_VALUE"""),9.0)</f>
        <v>9</v>
      </c>
      <c r="D124" s="1">
        <f>IFERROR(__xludf.DUMMYFUNCTION("""COMPUTED_VALUE"""),523.72)</f>
        <v>523.72</v>
      </c>
    </row>
    <row r="125">
      <c r="A125" s="1" t="str">
        <f>IFERROR(__xludf.DUMMYFUNCTION("""COMPUTED_VALUE"""),"PR010")</f>
        <v>PR010</v>
      </c>
      <c r="B125" s="1" t="str">
        <f>IFERROR(__xludf.DUMMYFUNCTION("""COMPUTED_VALUE"""),"VD020")</f>
        <v>VD020</v>
      </c>
      <c r="C125" s="1">
        <f>IFERROR(__xludf.DUMMYFUNCTION("""COMPUTED_VALUE"""),27.0)</f>
        <v>27</v>
      </c>
      <c r="D125" s="1">
        <f>IFERROR(__xludf.DUMMYFUNCTION("""COMPUTED_VALUE"""),1357.78)</f>
        <v>1357.78</v>
      </c>
    </row>
    <row r="126">
      <c r="A126" s="1" t="str">
        <f>IFERROR(__xludf.DUMMYFUNCTION("""COMPUTED_VALUE"""),"PR038")</f>
        <v>PR038</v>
      </c>
      <c r="B126" s="1" t="str">
        <f>IFERROR(__xludf.DUMMYFUNCTION("""COMPUTED_VALUE"""),"VD024")</f>
        <v>VD024</v>
      </c>
      <c r="C126" s="1">
        <f>IFERROR(__xludf.DUMMYFUNCTION("""COMPUTED_VALUE"""),24.0)</f>
        <v>24</v>
      </c>
      <c r="D126" s="1">
        <f>IFERROR(__xludf.DUMMYFUNCTION("""COMPUTED_VALUE"""),4081.22)</f>
        <v>4081.22</v>
      </c>
    </row>
    <row r="127">
      <c r="A127" s="1" t="str">
        <f>IFERROR(__xludf.DUMMYFUNCTION("""COMPUTED_VALUE"""),"PR024")</f>
        <v>PR024</v>
      </c>
      <c r="B127" s="1" t="str">
        <f>IFERROR(__xludf.DUMMYFUNCTION("""COMPUTED_VALUE"""),"VD038")</f>
        <v>VD038</v>
      </c>
      <c r="C127" s="1">
        <f>IFERROR(__xludf.DUMMYFUNCTION("""COMPUTED_VALUE"""),18.0)</f>
        <v>18</v>
      </c>
      <c r="D127" s="1">
        <f>IFERROR(__xludf.DUMMYFUNCTION("""COMPUTED_VALUE"""),5567.06)</f>
        <v>5567.06</v>
      </c>
    </row>
    <row r="128">
      <c r="A128" s="1" t="str">
        <f>IFERROR(__xludf.DUMMYFUNCTION("""COMPUTED_VALUE"""),"PR029")</f>
        <v>PR029</v>
      </c>
      <c r="B128" s="1" t="str">
        <f>IFERROR(__xludf.DUMMYFUNCTION("""COMPUTED_VALUE"""),"VD048")</f>
        <v>VD048</v>
      </c>
      <c r="C128" s="1">
        <f>IFERROR(__xludf.DUMMYFUNCTION("""COMPUTED_VALUE"""),8.0)</f>
        <v>8</v>
      </c>
      <c r="D128" s="1">
        <f>IFERROR(__xludf.DUMMYFUNCTION("""COMPUTED_VALUE"""),2325.6)</f>
        <v>2325.6</v>
      </c>
    </row>
    <row r="129">
      <c r="A129" s="1" t="str">
        <f>IFERROR(__xludf.DUMMYFUNCTION("""COMPUTED_VALUE"""),"PR040")</f>
        <v>PR040</v>
      </c>
      <c r="B129" s="1" t="str">
        <f>IFERROR(__xludf.DUMMYFUNCTION("""COMPUTED_VALUE"""),"VD022")</f>
        <v>VD022</v>
      </c>
      <c r="C129" s="1">
        <f>IFERROR(__xludf.DUMMYFUNCTION("""COMPUTED_VALUE"""),18.0)</f>
        <v>18</v>
      </c>
      <c r="D129" s="1">
        <f>IFERROR(__xludf.DUMMYFUNCTION("""COMPUTED_VALUE"""),1423.8)</f>
        <v>1423.8</v>
      </c>
    </row>
    <row r="130">
      <c r="A130" s="1" t="str">
        <f>IFERROR(__xludf.DUMMYFUNCTION("""COMPUTED_VALUE"""),"PR045")</f>
        <v>PR045</v>
      </c>
      <c r="B130" s="1" t="str">
        <f>IFERROR(__xludf.DUMMYFUNCTION("""COMPUTED_VALUE"""),"VD023")</f>
        <v>VD023</v>
      </c>
      <c r="C130" s="1">
        <f>IFERROR(__xludf.DUMMYFUNCTION("""COMPUTED_VALUE"""),16.0)</f>
        <v>16</v>
      </c>
      <c r="D130" s="1">
        <f>IFERROR(__xludf.DUMMYFUNCTION("""COMPUTED_VALUE"""),1345.6)</f>
        <v>1345.6</v>
      </c>
    </row>
    <row r="131">
      <c r="A131" s="1" t="str">
        <f>IFERROR(__xludf.DUMMYFUNCTION("""COMPUTED_VALUE"""),"PR059")</f>
        <v>PR059</v>
      </c>
      <c r="B131" s="1" t="str">
        <f>IFERROR(__xludf.DUMMYFUNCTION("""COMPUTED_VALUE"""),"VD034")</f>
        <v>VD034</v>
      </c>
      <c r="C131" s="1">
        <f>IFERROR(__xludf.DUMMYFUNCTION("""COMPUTED_VALUE"""),18.0)</f>
        <v>18</v>
      </c>
      <c r="D131" s="1">
        <f>IFERROR(__xludf.DUMMYFUNCTION("""COMPUTED_VALUE"""),3888.0)</f>
        <v>3888</v>
      </c>
    </row>
    <row r="132">
      <c r="A132" s="1" t="str">
        <f>IFERROR(__xludf.DUMMYFUNCTION("""COMPUTED_VALUE"""),"PR031")</f>
        <v>PR031</v>
      </c>
      <c r="B132" s="1" t="str">
        <f>IFERROR(__xludf.DUMMYFUNCTION("""COMPUTED_VALUE"""),"VD039")</f>
        <v>VD039</v>
      </c>
      <c r="C132" s="1">
        <f>IFERROR(__xludf.DUMMYFUNCTION("""COMPUTED_VALUE"""),9.0)</f>
        <v>9</v>
      </c>
      <c r="D132" s="1">
        <f>IFERROR(__xludf.DUMMYFUNCTION("""COMPUTED_VALUE"""),2557.8)</f>
        <v>2557.8</v>
      </c>
    </row>
    <row r="133">
      <c r="A133" s="1" t="str">
        <f>IFERROR(__xludf.DUMMYFUNCTION("""COMPUTED_VALUE"""),"PR059")</f>
        <v>PR059</v>
      </c>
      <c r="B133" s="1" t="str">
        <f>IFERROR(__xludf.DUMMYFUNCTION("""COMPUTED_VALUE"""),"VD036")</f>
        <v>VD036</v>
      </c>
      <c r="C133" s="1">
        <f>IFERROR(__xludf.DUMMYFUNCTION("""COMPUTED_VALUE"""),15.0)</f>
        <v>15</v>
      </c>
      <c r="D133" s="1">
        <f>IFERROR(__xludf.DUMMYFUNCTION("""COMPUTED_VALUE"""),2997.0)</f>
        <v>2997</v>
      </c>
    </row>
    <row r="134">
      <c r="A134" s="1" t="str">
        <f>IFERROR(__xludf.DUMMYFUNCTION("""COMPUTED_VALUE"""),"PR058")</f>
        <v>PR058</v>
      </c>
      <c r="B134" s="1" t="str">
        <f>IFERROR(__xludf.DUMMYFUNCTION("""COMPUTED_VALUE"""),"VD027")</f>
        <v>VD027</v>
      </c>
      <c r="C134" s="1">
        <f>IFERROR(__xludf.DUMMYFUNCTION("""COMPUTED_VALUE"""),15.0)</f>
        <v>15</v>
      </c>
      <c r="D134" s="1">
        <f>IFERROR(__xludf.DUMMYFUNCTION("""COMPUTED_VALUE"""),3186.0)</f>
        <v>3186</v>
      </c>
    </row>
    <row r="135">
      <c r="A135" s="1" t="str">
        <f>IFERROR(__xludf.DUMMYFUNCTION("""COMPUTED_VALUE"""),"PR005")</f>
        <v>PR005</v>
      </c>
      <c r="B135" s="1" t="str">
        <f>IFERROR(__xludf.DUMMYFUNCTION("""COMPUTED_VALUE"""),"VD036")</f>
        <v>VD036</v>
      </c>
      <c r="C135" s="1">
        <f>IFERROR(__xludf.DUMMYFUNCTION("""COMPUTED_VALUE"""),27.0)</f>
        <v>27</v>
      </c>
      <c r="D135" s="1">
        <f>IFERROR(__xludf.DUMMYFUNCTION("""COMPUTED_VALUE"""),7929.55)</f>
        <v>7929.55</v>
      </c>
    </row>
    <row r="136">
      <c r="A136" s="1" t="str">
        <f>IFERROR(__xludf.DUMMYFUNCTION("""COMPUTED_VALUE"""),"PR017")</f>
        <v>PR017</v>
      </c>
      <c r="B136" s="1" t="str">
        <f>IFERROR(__xludf.DUMMYFUNCTION("""COMPUTED_VALUE"""),"VD022")</f>
        <v>VD022</v>
      </c>
      <c r="C136" s="1">
        <f>IFERROR(__xludf.DUMMYFUNCTION("""COMPUTED_VALUE"""),18.0)</f>
        <v>18</v>
      </c>
      <c r="D136" s="1">
        <f>IFERROR(__xludf.DUMMYFUNCTION("""COMPUTED_VALUE"""),592.02)</f>
        <v>592.02</v>
      </c>
    </row>
    <row r="137">
      <c r="A137" s="1" t="str">
        <f>IFERROR(__xludf.DUMMYFUNCTION("""COMPUTED_VALUE"""),"PR005")</f>
        <v>PR005</v>
      </c>
      <c r="B137" s="1" t="str">
        <f>IFERROR(__xludf.DUMMYFUNCTION("""COMPUTED_VALUE"""),"VD047")</f>
        <v>VD047</v>
      </c>
      <c r="C137" s="1">
        <f>IFERROR(__xludf.DUMMYFUNCTION("""COMPUTED_VALUE"""),15.0)</f>
        <v>15</v>
      </c>
      <c r="D137" s="1">
        <f>IFERROR(__xludf.DUMMYFUNCTION("""COMPUTED_VALUE"""),4561.25)</f>
        <v>4561.25</v>
      </c>
    </row>
    <row r="138">
      <c r="A138" s="1" t="str">
        <f>IFERROR(__xludf.DUMMYFUNCTION("""COMPUTED_VALUE"""),"PR015")</f>
        <v>PR015</v>
      </c>
      <c r="B138" s="1" t="str">
        <f>IFERROR(__xludf.DUMMYFUNCTION("""COMPUTED_VALUE"""),"VD022")</f>
        <v>VD022</v>
      </c>
      <c r="C138" s="1">
        <f>IFERROR(__xludf.DUMMYFUNCTION("""COMPUTED_VALUE"""),6.0)</f>
        <v>6</v>
      </c>
      <c r="D138" s="1">
        <f>IFERROR(__xludf.DUMMYFUNCTION("""COMPUTED_VALUE"""),306.0)</f>
        <v>306</v>
      </c>
    </row>
    <row r="139">
      <c r="A139" s="1" t="str">
        <f>IFERROR(__xludf.DUMMYFUNCTION("""COMPUTED_VALUE"""),"PR010")</f>
        <v>PR010</v>
      </c>
      <c r="B139" s="1" t="str">
        <f>IFERROR(__xludf.DUMMYFUNCTION("""COMPUTED_VALUE"""),"VD013")</f>
        <v>VD013</v>
      </c>
      <c r="C139" s="1">
        <f>IFERROR(__xludf.DUMMYFUNCTION("""COMPUTED_VALUE"""),8.0)</f>
        <v>8</v>
      </c>
      <c r="D139" s="1">
        <f>IFERROR(__xludf.DUMMYFUNCTION("""COMPUTED_VALUE"""),423.86)</f>
        <v>423.86</v>
      </c>
    </row>
    <row r="140">
      <c r="A140" s="1" t="str">
        <f>IFERROR(__xludf.DUMMYFUNCTION("""COMPUTED_VALUE"""),"PR057")</f>
        <v>PR057</v>
      </c>
      <c r="B140" s="1" t="str">
        <f>IFERROR(__xludf.DUMMYFUNCTION("""COMPUTED_VALUE"""),"VD023")</f>
        <v>VD023</v>
      </c>
      <c r="C140" s="1">
        <f>IFERROR(__xludf.DUMMYFUNCTION("""COMPUTED_VALUE"""),27.0)</f>
        <v>27</v>
      </c>
      <c r="D140" s="1">
        <f>IFERROR(__xludf.DUMMYFUNCTION("""COMPUTED_VALUE"""),2670.03)</f>
        <v>2670.03</v>
      </c>
    </row>
    <row r="141">
      <c r="A141" s="1" t="str">
        <f>IFERROR(__xludf.DUMMYFUNCTION("""COMPUTED_VALUE"""),"PR024")</f>
        <v>PR024</v>
      </c>
      <c r="B141" s="1" t="str">
        <f>IFERROR(__xludf.DUMMYFUNCTION("""COMPUTED_VALUE"""),"VD048")</f>
        <v>VD048</v>
      </c>
      <c r="C141" s="1">
        <f>IFERROR(__xludf.DUMMYFUNCTION("""COMPUTED_VALUE"""),16.0)</f>
        <v>16</v>
      </c>
      <c r="D141" s="1">
        <f>IFERROR(__xludf.DUMMYFUNCTION("""COMPUTED_VALUE"""),4823.74)</f>
        <v>4823.74</v>
      </c>
    </row>
    <row r="142">
      <c r="A142" s="1" t="str">
        <f>IFERROR(__xludf.DUMMYFUNCTION("""COMPUTED_VALUE"""),"PR050")</f>
        <v>PR050</v>
      </c>
      <c r="B142" s="1" t="str">
        <f>IFERROR(__xludf.DUMMYFUNCTION("""COMPUTED_VALUE"""),"VD019")</f>
        <v>VD019</v>
      </c>
      <c r="C142" s="1">
        <f>IFERROR(__xludf.DUMMYFUNCTION("""COMPUTED_VALUE"""),18.0)</f>
        <v>18</v>
      </c>
      <c r="D142" s="1">
        <f>IFERROR(__xludf.DUMMYFUNCTION("""COMPUTED_VALUE"""),681.03)</f>
        <v>681.03</v>
      </c>
    </row>
    <row r="143">
      <c r="A143" s="1" t="str">
        <f>IFERROR(__xludf.DUMMYFUNCTION("""COMPUTED_VALUE"""),"PR012")</f>
        <v>PR012</v>
      </c>
      <c r="B143" s="1" t="str">
        <f>IFERROR(__xludf.DUMMYFUNCTION("""COMPUTED_VALUE"""),"VD028")</f>
        <v>VD028</v>
      </c>
      <c r="C143" s="1">
        <f>IFERROR(__xludf.DUMMYFUNCTION("""COMPUTED_VALUE"""),12.0)</f>
        <v>12</v>
      </c>
      <c r="D143" s="1">
        <f>IFERROR(__xludf.DUMMYFUNCTION("""COMPUTED_VALUE"""),692.42)</f>
        <v>692.42</v>
      </c>
    </row>
    <row r="144">
      <c r="A144" s="1" t="str">
        <f>IFERROR(__xludf.DUMMYFUNCTION("""COMPUTED_VALUE"""),"PR010")</f>
        <v>PR010</v>
      </c>
      <c r="B144" s="1" t="str">
        <f>IFERROR(__xludf.DUMMYFUNCTION("""COMPUTED_VALUE"""),"VD011")</f>
        <v>VD011</v>
      </c>
      <c r="C144" s="1">
        <f>IFERROR(__xludf.DUMMYFUNCTION("""COMPUTED_VALUE"""),12.0)</f>
        <v>12</v>
      </c>
      <c r="D144" s="1">
        <f>IFERROR(__xludf.DUMMYFUNCTION("""COMPUTED_VALUE"""),646.56)</f>
        <v>646.56</v>
      </c>
    </row>
    <row r="145">
      <c r="A145" s="1" t="str">
        <f>IFERROR(__xludf.DUMMYFUNCTION("""COMPUTED_VALUE"""),"PR054")</f>
        <v>PR054</v>
      </c>
      <c r="B145" s="1" t="str">
        <f>IFERROR(__xludf.DUMMYFUNCTION("""COMPUTED_VALUE"""),"VD033")</f>
        <v>VD033</v>
      </c>
      <c r="C145" s="1">
        <f>IFERROR(__xludf.DUMMYFUNCTION("""COMPUTED_VALUE"""),20.0)</f>
        <v>20</v>
      </c>
      <c r="D145" s="1">
        <f>IFERROR(__xludf.DUMMYFUNCTION("""COMPUTED_VALUE"""),1147.7)</f>
        <v>1147.7</v>
      </c>
    </row>
    <row r="146">
      <c r="A146" s="1" t="str">
        <f>IFERROR(__xludf.DUMMYFUNCTION("""COMPUTED_VALUE"""),"PR007")</f>
        <v>PR007</v>
      </c>
      <c r="B146" s="1" t="str">
        <f>IFERROR(__xludf.DUMMYFUNCTION("""COMPUTED_VALUE"""),"VD031")</f>
        <v>VD031</v>
      </c>
      <c r="C146" s="1">
        <f>IFERROR(__xludf.DUMMYFUNCTION("""COMPUTED_VALUE"""),20.0)</f>
        <v>20</v>
      </c>
      <c r="D146" s="1">
        <f>IFERROR(__xludf.DUMMYFUNCTION("""COMPUTED_VALUE"""),1924.16)</f>
        <v>1924.16</v>
      </c>
    </row>
    <row r="147">
      <c r="A147" s="1" t="str">
        <f>IFERROR(__xludf.DUMMYFUNCTION("""COMPUTED_VALUE"""),"PR057")</f>
        <v>PR057</v>
      </c>
      <c r="B147" s="1" t="str">
        <f>IFERROR(__xludf.DUMMYFUNCTION("""COMPUTED_VALUE"""),"VD031")</f>
        <v>VD031</v>
      </c>
      <c r="C147" s="1">
        <f>IFERROR(__xludf.DUMMYFUNCTION("""COMPUTED_VALUE"""),30.0)</f>
        <v>30</v>
      </c>
      <c r="D147" s="1">
        <f>IFERROR(__xludf.DUMMYFUNCTION("""COMPUTED_VALUE"""),3020.64)</f>
        <v>3020.64</v>
      </c>
    </row>
    <row r="148">
      <c r="A148" s="1" t="str">
        <f>IFERROR(__xludf.DUMMYFUNCTION("""COMPUTED_VALUE"""),"PR020")</f>
        <v>PR020</v>
      </c>
      <c r="B148" s="1" t="str">
        <f>IFERROR(__xludf.DUMMYFUNCTION("""COMPUTED_VALUE"""),"VD040")</f>
        <v>VD040</v>
      </c>
      <c r="C148" s="1">
        <f>IFERROR(__xludf.DUMMYFUNCTION("""COMPUTED_VALUE"""),18.0)</f>
        <v>18</v>
      </c>
      <c r="D148" s="1">
        <f>IFERROR(__xludf.DUMMYFUNCTION("""COMPUTED_VALUE"""),5938.02)</f>
        <v>5938.02</v>
      </c>
    </row>
    <row r="149">
      <c r="A149" s="1" t="str">
        <f>IFERROR(__xludf.DUMMYFUNCTION("""COMPUTED_VALUE"""),"PR053")</f>
        <v>PR053</v>
      </c>
      <c r="B149" s="1" t="str">
        <f>IFERROR(__xludf.DUMMYFUNCTION("""COMPUTED_VALUE"""),"VD019")</f>
        <v>VD019</v>
      </c>
      <c r="C149" s="1">
        <f>IFERROR(__xludf.DUMMYFUNCTION("""COMPUTED_VALUE"""),12.0)</f>
        <v>12</v>
      </c>
      <c r="D149" s="1">
        <f>IFERROR(__xludf.DUMMYFUNCTION("""COMPUTED_VALUE"""),670.66)</f>
        <v>670.66</v>
      </c>
    </row>
    <row r="150">
      <c r="A150" s="1" t="str">
        <f>IFERROR(__xludf.DUMMYFUNCTION("""COMPUTED_VALUE"""),"PR049")</f>
        <v>PR049</v>
      </c>
      <c r="B150" s="1" t="str">
        <f>IFERROR(__xludf.DUMMYFUNCTION("""COMPUTED_VALUE"""),"VD016")</f>
        <v>VD016</v>
      </c>
      <c r="C150" s="1">
        <f>IFERROR(__xludf.DUMMYFUNCTION("""COMPUTED_VALUE"""),21.0)</f>
        <v>21</v>
      </c>
      <c r="D150" s="1">
        <f>IFERROR(__xludf.DUMMYFUNCTION("""COMPUTED_VALUE"""),766.9)</f>
        <v>766.9</v>
      </c>
    </row>
    <row r="151">
      <c r="A151" s="1" t="str">
        <f>IFERROR(__xludf.DUMMYFUNCTION("""COMPUTED_VALUE"""),"PR026")</f>
        <v>PR026</v>
      </c>
      <c r="B151" s="1" t="str">
        <f>IFERROR(__xludf.DUMMYFUNCTION("""COMPUTED_VALUE"""),"VD018")</f>
        <v>VD018</v>
      </c>
      <c r="C151" s="1">
        <f>IFERROR(__xludf.DUMMYFUNCTION("""COMPUTED_VALUE"""),9.0)</f>
        <v>9</v>
      </c>
      <c r="D151" s="1">
        <f>IFERROR(__xludf.DUMMYFUNCTION("""COMPUTED_VALUE"""),3589.97)</f>
        <v>3589.97</v>
      </c>
    </row>
    <row r="152">
      <c r="A152" s="1" t="str">
        <f>IFERROR(__xludf.DUMMYFUNCTION("""COMPUTED_VALUE"""),"PR055")</f>
        <v>PR055</v>
      </c>
      <c r="B152" s="1" t="str">
        <f>IFERROR(__xludf.DUMMYFUNCTION("""COMPUTED_VALUE"""),"VD045")</f>
        <v>VD045</v>
      </c>
      <c r="C152" s="1">
        <f>IFERROR(__xludf.DUMMYFUNCTION("""COMPUTED_VALUE"""),27.0)</f>
        <v>27</v>
      </c>
      <c r="D152" s="1">
        <f>IFERROR(__xludf.DUMMYFUNCTION("""COMPUTED_VALUE"""),2815.67)</f>
        <v>2815.67</v>
      </c>
    </row>
    <row r="153">
      <c r="A153" s="1" t="str">
        <f>IFERROR(__xludf.DUMMYFUNCTION("""COMPUTED_VALUE"""),"PR016")</f>
        <v>PR016</v>
      </c>
      <c r="B153" s="1" t="str">
        <f>IFERROR(__xludf.DUMMYFUNCTION("""COMPUTED_VALUE"""),"VD041")</f>
        <v>VD041</v>
      </c>
      <c r="C153" s="1">
        <f>IFERROR(__xludf.DUMMYFUNCTION("""COMPUTED_VALUE"""),30.0)</f>
        <v>30</v>
      </c>
      <c r="D153" s="1">
        <f>IFERROR(__xludf.DUMMYFUNCTION("""COMPUTED_VALUE"""),901.32)</f>
        <v>901.32</v>
      </c>
    </row>
    <row r="154">
      <c r="A154" s="1" t="str">
        <f>IFERROR(__xludf.DUMMYFUNCTION("""COMPUTED_VALUE"""),"PR002")</f>
        <v>PR002</v>
      </c>
      <c r="B154" s="1" t="str">
        <f>IFERROR(__xludf.DUMMYFUNCTION("""COMPUTED_VALUE"""),"VD018")</f>
        <v>VD018</v>
      </c>
      <c r="C154" s="1">
        <f>IFERROR(__xludf.DUMMYFUNCTION("""COMPUTED_VALUE"""),18.0)</f>
        <v>18</v>
      </c>
      <c r="D154" s="1">
        <f>IFERROR(__xludf.DUMMYFUNCTION("""COMPUTED_VALUE"""),1421.77)</f>
        <v>1421.77</v>
      </c>
    </row>
    <row r="155">
      <c r="A155" s="1" t="str">
        <f>IFERROR(__xludf.DUMMYFUNCTION("""COMPUTED_VALUE"""),"PR021")</f>
        <v>PR021</v>
      </c>
      <c r="B155" s="1" t="str">
        <f>IFERROR(__xludf.DUMMYFUNCTION("""COMPUTED_VALUE"""),"VD013")</f>
        <v>VD013</v>
      </c>
      <c r="C155" s="1">
        <f>IFERROR(__xludf.DUMMYFUNCTION("""COMPUTED_VALUE"""),20.0)</f>
        <v>20</v>
      </c>
      <c r="D155" s="1">
        <f>IFERROR(__xludf.DUMMYFUNCTION("""COMPUTED_VALUE"""),7209.02)</f>
        <v>7209.02</v>
      </c>
    </row>
    <row r="156">
      <c r="A156" s="1" t="str">
        <f>IFERROR(__xludf.DUMMYFUNCTION("""COMPUTED_VALUE"""),"PR042")</f>
        <v>PR042</v>
      </c>
      <c r="B156" s="1" t="str">
        <f>IFERROR(__xludf.DUMMYFUNCTION("""COMPUTED_VALUE"""),"VD046")</f>
        <v>VD046</v>
      </c>
      <c r="C156" s="1">
        <f>IFERROR(__xludf.DUMMYFUNCTION("""COMPUTED_VALUE"""),30.0)</f>
        <v>30</v>
      </c>
      <c r="D156" s="1">
        <f>IFERROR(__xludf.DUMMYFUNCTION("""COMPUTED_VALUE"""),1811.7)</f>
        <v>1811.7</v>
      </c>
    </row>
    <row r="157">
      <c r="A157" s="1" t="str">
        <f>IFERROR(__xludf.DUMMYFUNCTION("""COMPUTED_VALUE"""),"PR015")</f>
        <v>PR015</v>
      </c>
      <c r="B157" s="1" t="str">
        <f>IFERROR(__xludf.DUMMYFUNCTION("""COMPUTED_VALUE"""),"VD026")</f>
        <v>VD026</v>
      </c>
      <c r="C157" s="1">
        <f>IFERROR(__xludf.DUMMYFUNCTION("""COMPUTED_VALUE"""),24.0)</f>
        <v>24</v>
      </c>
      <c r="D157" s="1">
        <f>IFERROR(__xludf.DUMMYFUNCTION("""COMPUTED_VALUE"""),1183.2)</f>
        <v>1183.2</v>
      </c>
    </row>
    <row r="158">
      <c r="A158" s="1" t="str">
        <f>IFERROR(__xludf.DUMMYFUNCTION("""COMPUTED_VALUE"""),"PR015")</f>
        <v>PR015</v>
      </c>
      <c r="B158" s="1" t="str">
        <f>IFERROR(__xludf.DUMMYFUNCTION("""COMPUTED_VALUE"""),"VD044")</f>
        <v>VD044</v>
      </c>
      <c r="C158" s="1">
        <f>IFERROR(__xludf.DUMMYFUNCTION("""COMPUTED_VALUE"""),18.0)</f>
        <v>18</v>
      </c>
      <c r="D158" s="1">
        <f>IFERROR(__xludf.DUMMYFUNCTION("""COMPUTED_VALUE"""),918.0)</f>
        <v>918</v>
      </c>
    </row>
    <row r="159">
      <c r="A159" s="1" t="str">
        <f>IFERROR(__xludf.DUMMYFUNCTION("""COMPUTED_VALUE"""),"PR036")</f>
        <v>PR036</v>
      </c>
      <c r="B159" s="1" t="str">
        <f>IFERROR(__xludf.DUMMYFUNCTION("""COMPUTED_VALUE"""),"VD035")</f>
        <v>VD035</v>
      </c>
      <c r="C159" s="1">
        <f>IFERROR(__xludf.DUMMYFUNCTION("""COMPUTED_VALUE"""),20.0)</f>
        <v>20</v>
      </c>
      <c r="D159" s="1">
        <f>IFERROR(__xludf.DUMMYFUNCTION("""COMPUTED_VALUE"""),2187.9)</f>
        <v>2187.9</v>
      </c>
    </row>
    <row r="160">
      <c r="A160" s="1" t="str">
        <f>IFERROR(__xludf.DUMMYFUNCTION("""COMPUTED_VALUE"""),"PR029")</f>
        <v>PR029</v>
      </c>
      <c r="B160" s="1" t="str">
        <f>IFERROR(__xludf.DUMMYFUNCTION("""COMPUTED_VALUE"""),"VD040")</f>
        <v>VD040</v>
      </c>
      <c r="C160" s="1">
        <f>IFERROR(__xludf.DUMMYFUNCTION("""COMPUTED_VALUE"""),12.0)</f>
        <v>12</v>
      </c>
      <c r="D160" s="1">
        <f>IFERROR(__xludf.DUMMYFUNCTION("""COMPUTED_VALUE"""),3610.8)</f>
        <v>3610.8</v>
      </c>
    </row>
    <row r="161">
      <c r="A161" s="1" t="str">
        <f>IFERROR(__xludf.DUMMYFUNCTION("""COMPUTED_VALUE"""),"PR050")</f>
        <v>PR050</v>
      </c>
      <c r="B161" s="1" t="str">
        <f>IFERROR(__xludf.DUMMYFUNCTION("""COMPUTED_VALUE"""),"VD011")</f>
        <v>VD011</v>
      </c>
      <c r="C161" s="1">
        <f>IFERROR(__xludf.DUMMYFUNCTION("""COMPUTED_VALUE"""),18.0)</f>
        <v>18</v>
      </c>
      <c r="D161" s="1">
        <f>IFERROR(__xludf.DUMMYFUNCTION("""COMPUTED_VALUE"""),651.42)</f>
        <v>651.42</v>
      </c>
    </row>
    <row r="162">
      <c r="A162" s="1" t="str">
        <f>IFERROR(__xludf.DUMMYFUNCTION("""COMPUTED_VALUE"""),"PR034")</f>
        <v>PR034</v>
      </c>
      <c r="B162" s="1" t="str">
        <f>IFERROR(__xludf.DUMMYFUNCTION("""COMPUTED_VALUE"""),"VD018")</f>
        <v>VD018</v>
      </c>
      <c r="C162" s="1">
        <f>IFERROR(__xludf.DUMMYFUNCTION("""COMPUTED_VALUE"""),9.0)</f>
        <v>9</v>
      </c>
      <c r="D162" s="1">
        <f>IFERROR(__xludf.DUMMYFUNCTION("""COMPUTED_VALUE"""),954.74)</f>
        <v>954.74</v>
      </c>
    </row>
    <row r="163">
      <c r="A163" s="1" t="str">
        <f>IFERROR(__xludf.DUMMYFUNCTION("""COMPUTED_VALUE"""),"PR027")</f>
        <v>PR027</v>
      </c>
      <c r="B163" s="1" t="str">
        <f>IFERROR(__xludf.DUMMYFUNCTION("""COMPUTED_VALUE"""),"VD016")</f>
        <v>VD016</v>
      </c>
      <c r="C163" s="1">
        <f>IFERROR(__xludf.DUMMYFUNCTION("""COMPUTED_VALUE"""),10.0)</f>
        <v>10</v>
      </c>
      <c r="D163" s="1">
        <f>IFERROR(__xludf.DUMMYFUNCTION("""COMPUTED_VALUE"""),1428.0)</f>
        <v>1428</v>
      </c>
    </row>
    <row r="164">
      <c r="A164" s="1" t="str">
        <f>IFERROR(__xludf.DUMMYFUNCTION("""COMPUTED_VALUE"""),"PR015")</f>
        <v>PR015</v>
      </c>
      <c r="B164" s="1" t="str">
        <f>IFERROR(__xludf.DUMMYFUNCTION("""COMPUTED_VALUE"""),"VD043")</f>
        <v>VD043</v>
      </c>
      <c r="C164" s="1">
        <f>IFERROR(__xludf.DUMMYFUNCTION("""COMPUTED_VALUE"""),18.0)</f>
        <v>18</v>
      </c>
      <c r="D164" s="1">
        <f>IFERROR(__xludf.DUMMYFUNCTION("""COMPUTED_VALUE"""),872.1)</f>
        <v>872.1</v>
      </c>
    </row>
    <row r="165">
      <c r="A165" s="1" t="str">
        <f>IFERROR(__xludf.DUMMYFUNCTION("""COMPUTED_VALUE"""),"PR003")</f>
        <v>PR003</v>
      </c>
      <c r="B165" s="1" t="str">
        <f>IFERROR(__xludf.DUMMYFUNCTION("""COMPUTED_VALUE"""),"VD031")</f>
        <v>VD031</v>
      </c>
      <c r="C165" s="1">
        <f>IFERROR(__xludf.DUMMYFUNCTION("""COMPUTED_VALUE"""),9.0)</f>
        <v>9</v>
      </c>
      <c r="D165" s="1">
        <f>IFERROR(__xludf.DUMMYFUNCTION("""COMPUTED_VALUE"""),708.29)</f>
        <v>708.29</v>
      </c>
    </row>
    <row r="166">
      <c r="A166" s="1" t="str">
        <f>IFERROR(__xludf.DUMMYFUNCTION("""COMPUTED_VALUE"""),"PR026")</f>
        <v>PR026</v>
      </c>
      <c r="B166" s="1" t="str">
        <f>IFERROR(__xludf.DUMMYFUNCTION("""COMPUTED_VALUE"""),"VD032")</f>
        <v>VD032</v>
      </c>
      <c r="C166" s="1">
        <f>IFERROR(__xludf.DUMMYFUNCTION("""COMPUTED_VALUE"""),10.0)</f>
        <v>10</v>
      </c>
      <c r="D166" s="1">
        <f>IFERROR(__xludf.DUMMYFUNCTION("""COMPUTED_VALUE"""),4128.82)</f>
        <v>4128.82</v>
      </c>
    </row>
    <row r="167">
      <c r="A167" s="1" t="str">
        <f>IFERROR(__xludf.DUMMYFUNCTION("""COMPUTED_VALUE"""),"PR006")</f>
        <v>PR006</v>
      </c>
      <c r="B167" s="1" t="str">
        <f>IFERROR(__xludf.DUMMYFUNCTION("""COMPUTED_VALUE"""),"VD017")</f>
        <v>VD017</v>
      </c>
      <c r="C167" s="1">
        <f>IFERROR(__xludf.DUMMYFUNCTION("""COMPUTED_VALUE"""),16.0)</f>
        <v>16</v>
      </c>
      <c r="D167" s="1">
        <f>IFERROR(__xludf.DUMMYFUNCTION("""COMPUTED_VALUE"""),766.08)</f>
        <v>766.08</v>
      </c>
    </row>
    <row r="168">
      <c r="A168" s="1" t="str">
        <f>IFERROR(__xludf.DUMMYFUNCTION("""COMPUTED_VALUE"""),"PR050")</f>
        <v>PR050</v>
      </c>
      <c r="B168" s="1" t="str">
        <f>IFERROR(__xludf.DUMMYFUNCTION("""COMPUTED_VALUE"""),"VD015")</f>
        <v>VD015</v>
      </c>
      <c r="C168" s="1">
        <f>IFERROR(__xludf.DUMMYFUNCTION("""COMPUTED_VALUE"""),27.0)</f>
        <v>27</v>
      </c>
      <c r="D168" s="1">
        <f>IFERROR(__xludf.DUMMYFUNCTION("""COMPUTED_VALUE"""),1012.66)</f>
        <v>1012.66</v>
      </c>
    </row>
    <row r="169">
      <c r="A169" s="1" t="str">
        <f>IFERROR(__xludf.DUMMYFUNCTION("""COMPUTED_VALUE"""),"PR009")</f>
        <v>PR009</v>
      </c>
      <c r="B169" s="1" t="str">
        <f>IFERROR(__xludf.DUMMYFUNCTION("""COMPUTED_VALUE"""),"VD040")</f>
        <v>VD040</v>
      </c>
      <c r="C169" s="1">
        <f>IFERROR(__xludf.DUMMYFUNCTION("""COMPUTED_VALUE"""),30.0)</f>
        <v>30</v>
      </c>
      <c r="D169" s="1">
        <f>IFERROR(__xludf.DUMMYFUNCTION("""COMPUTED_VALUE"""),3065.7)</f>
        <v>3065.7</v>
      </c>
    </row>
    <row r="170">
      <c r="A170" s="1" t="str">
        <f>IFERROR(__xludf.DUMMYFUNCTION("""COMPUTED_VALUE"""),"PR013")</f>
        <v>PR013</v>
      </c>
      <c r="B170" s="1" t="str">
        <f>IFERROR(__xludf.DUMMYFUNCTION("""COMPUTED_VALUE"""),"VD021")</f>
        <v>VD021</v>
      </c>
      <c r="C170" s="1">
        <f>IFERROR(__xludf.DUMMYFUNCTION("""COMPUTED_VALUE"""),15.0)</f>
        <v>15</v>
      </c>
      <c r="D170" s="1">
        <f>IFERROR(__xludf.DUMMYFUNCTION("""COMPUTED_VALUE"""),706.23)</f>
        <v>706.23</v>
      </c>
    </row>
    <row r="171">
      <c r="A171" s="1" t="str">
        <f>IFERROR(__xludf.DUMMYFUNCTION("""COMPUTED_VALUE"""),"PR049")</f>
        <v>PR049</v>
      </c>
      <c r="B171" s="1" t="str">
        <f>IFERROR(__xludf.DUMMYFUNCTION("""COMPUTED_VALUE"""),"VD049")</f>
        <v>VD049</v>
      </c>
      <c r="C171" s="1">
        <f>IFERROR(__xludf.DUMMYFUNCTION("""COMPUTED_VALUE"""),21.0)</f>
        <v>21</v>
      </c>
      <c r="D171" s="1">
        <f>IFERROR(__xludf.DUMMYFUNCTION("""COMPUTED_VALUE"""),759.99)</f>
        <v>759.99</v>
      </c>
    </row>
    <row r="172">
      <c r="A172" s="1" t="str">
        <f>IFERROR(__xludf.DUMMYFUNCTION("""COMPUTED_VALUE"""),"PR004")</f>
        <v>PR004</v>
      </c>
      <c r="B172" s="1" t="str">
        <f>IFERROR(__xludf.DUMMYFUNCTION("""COMPUTED_VALUE"""),"VD035")</f>
        <v>VD035</v>
      </c>
      <c r="C172" s="1">
        <f>IFERROR(__xludf.DUMMYFUNCTION("""COMPUTED_VALUE"""),18.0)</f>
        <v>18</v>
      </c>
      <c r="D172" s="1">
        <f>IFERROR(__xludf.DUMMYFUNCTION("""COMPUTED_VALUE"""),2923.2)</f>
        <v>2923.2</v>
      </c>
    </row>
    <row r="173">
      <c r="A173" s="1" t="str">
        <f>IFERROR(__xludf.DUMMYFUNCTION("""COMPUTED_VALUE"""),"PR046")</f>
        <v>PR046</v>
      </c>
      <c r="B173" s="1" t="str">
        <f>IFERROR(__xludf.DUMMYFUNCTION("""COMPUTED_VALUE"""),"VD019")</f>
        <v>VD019</v>
      </c>
      <c r="C173" s="1">
        <f>IFERROR(__xludf.DUMMYFUNCTION("""COMPUTED_VALUE"""),20.0)</f>
        <v>20</v>
      </c>
      <c r="D173" s="1">
        <f>IFERROR(__xludf.DUMMYFUNCTION("""COMPUTED_VALUE"""),6725.68)</f>
        <v>6725.68</v>
      </c>
    </row>
    <row r="174">
      <c r="A174" s="1" t="str">
        <f>IFERROR(__xludf.DUMMYFUNCTION("""COMPUTED_VALUE"""),"PR047")</f>
        <v>PR047</v>
      </c>
      <c r="B174" s="1" t="str">
        <f>IFERROR(__xludf.DUMMYFUNCTION("""COMPUTED_VALUE"""),"VD046")</f>
        <v>VD046</v>
      </c>
      <c r="C174" s="1">
        <f>IFERROR(__xludf.DUMMYFUNCTION("""COMPUTED_VALUE"""),27.0)</f>
        <v>27</v>
      </c>
      <c r="D174" s="1">
        <f>IFERROR(__xludf.DUMMYFUNCTION("""COMPUTED_VALUE"""),8844.85)</f>
        <v>8844.85</v>
      </c>
    </row>
    <row r="175">
      <c r="A175" s="1" t="str">
        <f>IFERROR(__xludf.DUMMYFUNCTION("""COMPUTED_VALUE"""),"PR054")</f>
        <v>PR054</v>
      </c>
      <c r="B175" s="1" t="str">
        <f>IFERROR(__xludf.DUMMYFUNCTION("""COMPUTED_VALUE"""),"VD019")</f>
        <v>VD019</v>
      </c>
      <c r="C175" s="1">
        <f>IFERROR(__xludf.DUMMYFUNCTION("""COMPUTED_VALUE"""),18.0)</f>
        <v>18</v>
      </c>
      <c r="D175" s="1">
        <f>IFERROR(__xludf.DUMMYFUNCTION("""COMPUTED_VALUE"""),1077.84)</f>
        <v>1077.84</v>
      </c>
    </row>
    <row r="176">
      <c r="A176" s="1" t="str">
        <f>IFERROR(__xludf.DUMMYFUNCTION("""COMPUTED_VALUE"""),"PR041")</f>
        <v>PR041</v>
      </c>
      <c r="B176" s="1" t="str">
        <f>IFERROR(__xludf.DUMMYFUNCTION("""COMPUTED_VALUE"""),"VD033")</f>
        <v>VD033</v>
      </c>
      <c r="C176" s="1">
        <f>IFERROR(__xludf.DUMMYFUNCTION("""COMPUTED_VALUE"""),27.0)</f>
        <v>27</v>
      </c>
      <c r="D176" s="1">
        <f>IFERROR(__xludf.DUMMYFUNCTION("""COMPUTED_VALUE"""),1778.76)</f>
        <v>1778.76</v>
      </c>
    </row>
    <row r="177">
      <c r="A177" s="1" t="str">
        <f>IFERROR(__xludf.DUMMYFUNCTION("""COMPUTED_VALUE"""),"PR024")</f>
        <v>PR024</v>
      </c>
      <c r="B177" s="1" t="str">
        <f>IFERROR(__xludf.DUMMYFUNCTION("""COMPUTED_VALUE"""),"VD018")</f>
        <v>VD018</v>
      </c>
      <c r="C177" s="1">
        <f>IFERROR(__xludf.DUMMYFUNCTION("""COMPUTED_VALUE"""),8.0)</f>
        <v>8</v>
      </c>
      <c r="D177" s="1">
        <f>IFERROR(__xludf.DUMMYFUNCTION("""COMPUTED_VALUE"""),2453.46)</f>
        <v>2453.46</v>
      </c>
    </row>
    <row r="178">
      <c r="A178" s="1" t="str">
        <f>IFERROR(__xludf.DUMMYFUNCTION("""COMPUTED_VALUE"""),"PR024")</f>
        <v>PR024</v>
      </c>
      <c r="B178" s="1" t="str">
        <f>IFERROR(__xludf.DUMMYFUNCTION("""COMPUTED_VALUE"""),"VD048")</f>
        <v>VD048</v>
      </c>
      <c r="C178" s="1">
        <f>IFERROR(__xludf.DUMMYFUNCTION("""COMPUTED_VALUE"""),15.0)</f>
        <v>15</v>
      </c>
      <c r="D178" s="1">
        <f>IFERROR(__xludf.DUMMYFUNCTION("""COMPUTED_VALUE"""),4678.2)</f>
        <v>4678.2</v>
      </c>
    </row>
    <row r="179">
      <c r="A179" s="1" t="str">
        <f>IFERROR(__xludf.DUMMYFUNCTION("""COMPUTED_VALUE"""),"PR039")</f>
        <v>PR039</v>
      </c>
      <c r="B179" s="1" t="str">
        <f>IFERROR(__xludf.DUMMYFUNCTION("""COMPUTED_VALUE"""),"VD015")</f>
        <v>VD015</v>
      </c>
      <c r="C179" s="1">
        <f>IFERROR(__xludf.DUMMYFUNCTION("""COMPUTED_VALUE"""),15.0)</f>
        <v>15</v>
      </c>
      <c r="D179" s="1">
        <f>IFERROR(__xludf.DUMMYFUNCTION("""COMPUTED_VALUE"""),2430.9)</f>
        <v>2430.9</v>
      </c>
    </row>
    <row r="180">
      <c r="A180" s="1" t="str">
        <f>IFERROR(__xludf.DUMMYFUNCTION("""COMPUTED_VALUE"""),"PR032")</f>
        <v>PR032</v>
      </c>
      <c r="B180" s="1" t="str">
        <f>IFERROR(__xludf.DUMMYFUNCTION("""COMPUTED_VALUE"""),"VD016")</f>
        <v>VD016</v>
      </c>
      <c r="C180" s="1">
        <f>IFERROR(__xludf.DUMMYFUNCTION("""COMPUTED_VALUE"""),27.0)</f>
        <v>27</v>
      </c>
      <c r="D180" s="1">
        <f>IFERROR(__xludf.DUMMYFUNCTION("""COMPUTED_VALUE"""),7897.5)</f>
        <v>7897.5</v>
      </c>
    </row>
    <row r="181">
      <c r="A181" s="1" t="str">
        <f>IFERROR(__xludf.DUMMYFUNCTION("""COMPUTED_VALUE"""),"PR006")</f>
        <v>PR006</v>
      </c>
      <c r="B181" s="1" t="str">
        <f>IFERROR(__xludf.DUMMYFUNCTION("""COMPUTED_VALUE"""),"VD015")</f>
        <v>VD015</v>
      </c>
      <c r="C181" s="1">
        <f>IFERROR(__xludf.DUMMYFUNCTION("""COMPUTED_VALUE"""),24.0)</f>
        <v>24</v>
      </c>
      <c r="D181" s="1">
        <f>IFERROR(__xludf.DUMMYFUNCTION("""COMPUTED_VALUE"""),1139.54)</f>
        <v>1139.54</v>
      </c>
    </row>
    <row r="182">
      <c r="A182" s="1" t="str">
        <f>IFERROR(__xludf.DUMMYFUNCTION("""COMPUTED_VALUE"""),"PR006")</f>
        <v>PR006</v>
      </c>
      <c r="B182" s="1" t="str">
        <f>IFERROR(__xludf.DUMMYFUNCTION("""COMPUTED_VALUE"""),"VD035")</f>
        <v>VD035</v>
      </c>
      <c r="C182" s="1">
        <f>IFERROR(__xludf.DUMMYFUNCTION("""COMPUTED_VALUE"""),30.0)</f>
        <v>30</v>
      </c>
      <c r="D182" s="1">
        <f>IFERROR(__xludf.DUMMYFUNCTION("""COMPUTED_VALUE"""),1340.64)</f>
        <v>1340.64</v>
      </c>
    </row>
    <row r="183">
      <c r="A183" s="1" t="str">
        <f>IFERROR(__xludf.DUMMYFUNCTION("""COMPUTED_VALUE"""),"PR051")</f>
        <v>PR051</v>
      </c>
      <c r="B183" s="1" t="str">
        <f>IFERROR(__xludf.DUMMYFUNCTION("""COMPUTED_VALUE"""),"VD024")</f>
        <v>VD024</v>
      </c>
      <c r="C183" s="1">
        <f>IFERROR(__xludf.DUMMYFUNCTION("""COMPUTED_VALUE"""),30.0)</f>
        <v>30</v>
      </c>
      <c r="D183" s="1">
        <f>IFERROR(__xludf.DUMMYFUNCTION("""COMPUTED_VALUE"""),1135.05)</f>
        <v>1135.05</v>
      </c>
    </row>
    <row r="184">
      <c r="A184" s="1" t="str">
        <f>IFERROR(__xludf.DUMMYFUNCTION("""COMPUTED_VALUE"""),"PR047")</f>
        <v>PR047</v>
      </c>
      <c r="B184" s="1" t="str">
        <f>IFERROR(__xludf.DUMMYFUNCTION("""COMPUTED_VALUE"""),"VD019")</f>
        <v>VD019</v>
      </c>
      <c r="C184" s="1">
        <f>IFERROR(__xludf.DUMMYFUNCTION("""COMPUTED_VALUE"""),27.0)</f>
        <v>27</v>
      </c>
      <c r="D184" s="1">
        <f>IFERROR(__xludf.DUMMYFUNCTION("""COMPUTED_VALUE"""),9157.94)</f>
        <v>9157.94</v>
      </c>
    </row>
    <row r="185">
      <c r="A185" s="1" t="str">
        <f>IFERROR(__xludf.DUMMYFUNCTION("""COMPUTED_VALUE"""),"PR006")</f>
        <v>PR006</v>
      </c>
      <c r="B185" s="1" t="str">
        <f>IFERROR(__xludf.DUMMYFUNCTION("""COMPUTED_VALUE"""),"VD030")</f>
        <v>VD030</v>
      </c>
      <c r="C185" s="1">
        <f>IFERROR(__xludf.DUMMYFUNCTION("""COMPUTED_VALUE"""),9.0)</f>
        <v>9</v>
      </c>
      <c r="D185" s="1">
        <f>IFERROR(__xludf.DUMMYFUNCTION("""COMPUTED_VALUE"""),395.01)</f>
        <v>395.01</v>
      </c>
    </row>
    <row r="186">
      <c r="A186" s="1" t="str">
        <f>IFERROR(__xludf.DUMMYFUNCTION("""COMPUTED_VALUE"""),"PR050")</f>
        <v>PR050</v>
      </c>
      <c r="B186" s="1" t="str">
        <f>IFERROR(__xludf.DUMMYFUNCTION("""COMPUTED_VALUE"""),"VD016")</f>
        <v>VD016</v>
      </c>
      <c r="C186" s="1">
        <f>IFERROR(__xludf.DUMMYFUNCTION("""COMPUTED_VALUE"""),27.0)</f>
        <v>27</v>
      </c>
      <c r="D186" s="1">
        <f>IFERROR(__xludf.DUMMYFUNCTION("""COMPUTED_VALUE"""),1030.43)</f>
        <v>1030.43</v>
      </c>
    </row>
    <row r="187">
      <c r="A187" s="1" t="str">
        <f>IFERROR(__xludf.DUMMYFUNCTION("""COMPUTED_VALUE"""),"PR019")</f>
        <v>PR019</v>
      </c>
      <c r="B187" s="1" t="str">
        <f>IFERROR(__xludf.DUMMYFUNCTION("""COMPUTED_VALUE"""),"VD042")</f>
        <v>VD042</v>
      </c>
      <c r="C187" s="1">
        <f>IFERROR(__xludf.DUMMYFUNCTION("""COMPUTED_VALUE"""),18.0)</f>
        <v>18</v>
      </c>
      <c r="D187" s="1">
        <f>IFERROR(__xludf.DUMMYFUNCTION("""COMPUTED_VALUE"""),1014.97)</f>
        <v>1014.97</v>
      </c>
    </row>
    <row r="188">
      <c r="A188" s="1" t="str">
        <f>IFERROR(__xludf.DUMMYFUNCTION("""COMPUTED_VALUE"""),"PR044")</f>
        <v>PR044</v>
      </c>
      <c r="B188" s="1" t="str">
        <f>IFERROR(__xludf.DUMMYFUNCTION("""COMPUTED_VALUE"""),"VD011")</f>
        <v>VD011</v>
      </c>
      <c r="C188" s="1">
        <f>IFERROR(__xludf.DUMMYFUNCTION("""COMPUTED_VALUE"""),27.0)</f>
        <v>27</v>
      </c>
      <c r="D188" s="1">
        <f>IFERROR(__xludf.DUMMYFUNCTION("""COMPUTED_VALUE"""),2153.25)</f>
        <v>2153.25</v>
      </c>
    </row>
    <row r="189">
      <c r="A189" s="1" t="str">
        <f>IFERROR(__xludf.DUMMYFUNCTION("""COMPUTED_VALUE"""),"PR017")</f>
        <v>PR017</v>
      </c>
      <c r="B189" s="1" t="str">
        <f>IFERROR(__xludf.DUMMYFUNCTION("""COMPUTED_VALUE"""),"VD019")</f>
        <v>VD019</v>
      </c>
      <c r="C189" s="1">
        <f>IFERROR(__xludf.DUMMYFUNCTION("""COMPUTED_VALUE"""),18.0)</f>
        <v>18</v>
      </c>
      <c r="D189" s="1">
        <f>IFERROR(__xludf.DUMMYFUNCTION("""COMPUTED_VALUE"""),613.55)</f>
        <v>613.55</v>
      </c>
    </row>
    <row r="190">
      <c r="A190" s="1" t="str">
        <f>IFERROR(__xludf.DUMMYFUNCTION("""COMPUTED_VALUE"""),"PR004")</f>
        <v>PR004</v>
      </c>
      <c r="B190" s="1" t="str">
        <f>IFERROR(__xludf.DUMMYFUNCTION("""COMPUTED_VALUE"""),"VD033")</f>
        <v>VD033</v>
      </c>
      <c r="C190" s="1">
        <f>IFERROR(__xludf.DUMMYFUNCTION("""COMPUTED_VALUE"""),24.0)</f>
        <v>24</v>
      </c>
      <c r="D190" s="1">
        <f>IFERROR(__xludf.DUMMYFUNCTION("""COMPUTED_VALUE"""),4141.2)</f>
        <v>4141.2</v>
      </c>
    </row>
    <row r="191">
      <c r="A191" s="1" t="str">
        <f>IFERROR(__xludf.DUMMYFUNCTION("""COMPUTED_VALUE"""),"PR059")</f>
        <v>PR059</v>
      </c>
      <c r="B191" s="1" t="str">
        <f>IFERROR(__xludf.DUMMYFUNCTION("""COMPUTED_VALUE"""),"VD028")</f>
        <v>VD028</v>
      </c>
      <c r="C191" s="1">
        <f>IFERROR(__xludf.DUMMYFUNCTION("""COMPUTED_VALUE"""),12.0)</f>
        <v>12</v>
      </c>
      <c r="D191" s="1">
        <f>IFERROR(__xludf.DUMMYFUNCTION("""COMPUTED_VALUE"""),2527.2)</f>
        <v>2527.2</v>
      </c>
    </row>
    <row r="192">
      <c r="A192" s="1" t="str">
        <f>IFERROR(__xludf.DUMMYFUNCTION("""COMPUTED_VALUE"""),"PR003")</f>
        <v>PR003</v>
      </c>
      <c r="B192" s="1" t="str">
        <f>IFERROR(__xludf.DUMMYFUNCTION("""COMPUTED_VALUE"""),"VD040")</f>
        <v>VD040</v>
      </c>
      <c r="C192" s="1">
        <f>IFERROR(__xludf.DUMMYFUNCTION("""COMPUTED_VALUE"""),16.0)</f>
        <v>16</v>
      </c>
      <c r="D192" s="1">
        <f>IFERROR(__xludf.DUMMYFUNCTION("""COMPUTED_VALUE"""),1247.84)</f>
        <v>1247.84</v>
      </c>
    </row>
    <row r="193">
      <c r="A193" s="1" t="str">
        <f>IFERROR(__xludf.DUMMYFUNCTION("""COMPUTED_VALUE"""),"PR055")</f>
        <v>PR055</v>
      </c>
      <c r="B193" s="1" t="str">
        <f>IFERROR(__xludf.DUMMYFUNCTION("""COMPUTED_VALUE"""),"VD018")</f>
        <v>VD018</v>
      </c>
      <c r="C193" s="1">
        <f>IFERROR(__xludf.DUMMYFUNCTION("""COMPUTED_VALUE"""),14.0)</f>
        <v>14</v>
      </c>
      <c r="D193" s="1">
        <f>IFERROR(__xludf.DUMMYFUNCTION("""COMPUTED_VALUE"""),1485.15)</f>
        <v>1485.15</v>
      </c>
    </row>
    <row r="194">
      <c r="A194" s="1" t="str">
        <f>IFERROR(__xludf.DUMMYFUNCTION("""COMPUTED_VALUE"""),"PR041")</f>
        <v>PR041</v>
      </c>
      <c r="B194" s="1" t="str">
        <f>IFERROR(__xludf.DUMMYFUNCTION("""COMPUTED_VALUE"""),"VD031")</f>
        <v>VD031</v>
      </c>
      <c r="C194" s="1">
        <f>IFERROR(__xludf.DUMMYFUNCTION("""COMPUTED_VALUE"""),21.0)</f>
        <v>21</v>
      </c>
      <c r="D194" s="1">
        <f>IFERROR(__xludf.DUMMYFUNCTION("""COMPUTED_VALUE"""),1314.31)</f>
        <v>1314.31</v>
      </c>
    </row>
    <row r="195">
      <c r="A195" s="1" t="str">
        <f>IFERROR(__xludf.DUMMYFUNCTION("""COMPUTED_VALUE"""),"PR056")</f>
        <v>PR056</v>
      </c>
      <c r="B195" s="1" t="str">
        <f>IFERROR(__xludf.DUMMYFUNCTION("""COMPUTED_VALUE"""),"VD040")</f>
        <v>VD040</v>
      </c>
      <c r="C195" s="1">
        <f>IFERROR(__xludf.DUMMYFUNCTION("""COMPUTED_VALUE"""),16.0)</f>
        <v>16</v>
      </c>
      <c r="D195" s="1">
        <f>IFERROR(__xludf.DUMMYFUNCTION("""COMPUTED_VALUE"""),1639.78)</f>
        <v>1639.78</v>
      </c>
    </row>
    <row r="196">
      <c r="A196" s="1" t="str">
        <f>IFERROR(__xludf.DUMMYFUNCTION("""COMPUTED_VALUE"""),"PR038")</f>
        <v>PR038</v>
      </c>
      <c r="B196" s="1" t="str">
        <f>IFERROR(__xludf.DUMMYFUNCTION("""COMPUTED_VALUE"""),"VD028")</f>
        <v>VD028</v>
      </c>
      <c r="C196" s="1">
        <f>IFERROR(__xludf.DUMMYFUNCTION("""COMPUTED_VALUE"""),24.0)</f>
        <v>24</v>
      </c>
      <c r="D196" s="1">
        <f>IFERROR(__xludf.DUMMYFUNCTION("""COMPUTED_VALUE"""),3772.56)</f>
        <v>3772.56</v>
      </c>
    </row>
    <row r="197">
      <c r="A197" s="1" t="str">
        <f>IFERROR(__xludf.DUMMYFUNCTION("""COMPUTED_VALUE"""),"PR022")</f>
        <v>PR022</v>
      </c>
      <c r="B197" s="1" t="str">
        <f>IFERROR(__xludf.DUMMYFUNCTION("""COMPUTED_VALUE"""),"VD045")</f>
        <v>VD045</v>
      </c>
      <c r="C197" s="1">
        <f>IFERROR(__xludf.DUMMYFUNCTION("""COMPUTED_VALUE"""),21.0)</f>
        <v>21</v>
      </c>
      <c r="D197" s="1">
        <f>IFERROR(__xludf.DUMMYFUNCTION("""COMPUTED_VALUE"""),7371.0)</f>
        <v>7371</v>
      </c>
    </row>
    <row r="198">
      <c r="A198" s="1" t="str">
        <f>IFERROR(__xludf.DUMMYFUNCTION("""COMPUTED_VALUE"""),"PR023")</f>
        <v>PR023</v>
      </c>
      <c r="B198" s="1" t="str">
        <f>IFERROR(__xludf.DUMMYFUNCTION("""COMPUTED_VALUE"""),"VD024")</f>
        <v>VD024</v>
      </c>
      <c r="C198" s="1">
        <f>IFERROR(__xludf.DUMMYFUNCTION("""COMPUTED_VALUE"""),14.0)</f>
        <v>14</v>
      </c>
      <c r="D198" s="1">
        <f>IFERROR(__xludf.DUMMYFUNCTION("""COMPUTED_VALUE"""),4093.36)</f>
        <v>4093.36</v>
      </c>
    </row>
    <row r="199">
      <c r="A199" s="1" t="str">
        <f>IFERROR(__xludf.DUMMYFUNCTION("""COMPUTED_VALUE"""),"PR053")</f>
        <v>PR053</v>
      </c>
      <c r="B199" s="1" t="str">
        <f>IFERROR(__xludf.DUMMYFUNCTION("""COMPUTED_VALUE"""),"VD019")</f>
        <v>VD019</v>
      </c>
      <c r="C199" s="1">
        <f>IFERROR(__xludf.DUMMYFUNCTION("""COMPUTED_VALUE"""),21.0)</f>
        <v>21</v>
      </c>
      <c r="D199" s="1">
        <f>IFERROR(__xludf.DUMMYFUNCTION("""COMPUTED_VALUE"""),1152.69)</f>
        <v>1152.69</v>
      </c>
    </row>
    <row r="200">
      <c r="A200" s="1" t="str">
        <f>IFERROR(__xludf.DUMMYFUNCTION("""COMPUTED_VALUE"""),"PR046")</f>
        <v>PR046</v>
      </c>
      <c r="B200" s="1" t="str">
        <f>IFERROR(__xludf.DUMMYFUNCTION("""COMPUTED_VALUE"""),"VD047")</f>
        <v>VD047</v>
      </c>
      <c r="C200" s="1">
        <f>IFERROR(__xludf.DUMMYFUNCTION("""COMPUTED_VALUE"""),16.0)</f>
        <v>16</v>
      </c>
      <c r="D200" s="1">
        <f>IFERROR(__xludf.DUMMYFUNCTION("""COMPUTED_VALUE"""),5566.08)</f>
        <v>5566.08</v>
      </c>
    </row>
    <row r="201">
      <c r="A201" s="1" t="str">
        <f>IFERROR(__xludf.DUMMYFUNCTION("""COMPUTED_VALUE"""),"PR048")</f>
        <v>PR048</v>
      </c>
      <c r="B201" s="1" t="str">
        <f>IFERROR(__xludf.DUMMYFUNCTION("""COMPUTED_VALUE"""),"VD027")</f>
        <v>VD027</v>
      </c>
      <c r="C201" s="1">
        <f>IFERROR(__xludf.DUMMYFUNCTION("""COMPUTED_VALUE"""),27.0)</f>
        <v>27</v>
      </c>
      <c r="D201" s="1">
        <f>IFERROR(__xludf.DUMMYFUNCTION("""COMPUTED_VALUE"""),9392.76)</f>
        <v>9392.76</v>
      </c>
    </row>
    <row r="202">
      <c r="A202" s="1" t="str">
        <f>IFERROR(__xludf.DUMMYFUNCTION("""COMPUTED_VALUE"""),"PR055")</f>
        <v>PR055</v>
      </c>
      <c r="B202" s="1" t="str">
        <f>IFERROR(__xludf.DUMMYFUNCTION("""COMPUTED_VALUE"""),"VD033")</f>
        <v>VD033</v>
      </c>
      <c r="C202" s="1">
        <f>IFERROR(__xludf.DUMMYFUNCTION("""COMPUTED_VALUE"""),14.0)</f>
        <v>14</v>
      </c>
      <c r="D202" s="1">
        <f>IFERROR(__xludf.DUMMYFUNCTION("""COMPUTED_VALUE"""),1397.05)</f>
        <v>1397.05</v>
      </c>
    </row>
    <row r="203">
      <c r="A203" s="1" t="str">
        <f>IFERROR(__xludf.DUMMYFUNCTION("""COMPUTED_VALUE"""),"PR017")</f>
        <v>PR017</v>
      </c>
      <c r="B203" s="1" t="str">
        <f>IFERROR(__xludf.DUMMYFUNCTION("""COMPUTED_VALUE"""),"VD036")</f>
        <v>VD036</v>
      </c>
      <c r="C203" s="1">
        <f>IFERROR(__xludf.DUMMYFUNCTION("""COMPUTED_VALUE"""),21.0)</f>
        <v>21</v>
      </c>
      <c r="D203" s="1">
        <f>IFERROR(__xludf.DUMMYFUNCTION("""COMPUTED_VALUE"""),753.48)</f>
        <v>753.48</v>
      </c>
    </row>
    <row r="204">
      <c r="A204" s="1" t="str">
        <f>IFERROR(__xludf.DUMMYFUNCTION("""COMPUTED_VALUE"""),"PR029")</f>
        <v>PR029</v>
      </c>
      <c r="B204" s="1" t="str">
        <f>IFERROR(__xludf.DUMMYFUNCTION("""COMPUTED_VALUE"""),"VD035")</f>
        <v>VD035</v>
      </c>
      <c r="C204" s="1">
        <f>IFERROR(__xludf.DUMMYFUNCTION("""COMPUTED_VALUE"""),12.0)</f>
        <v>12</v>
      </c>
      <c r="D204" s="1">
        <f>IFERROR(__xludf.DUMMYFUNCTION("""COMPUTED_VALUE"""),3610.8)</f>
        <v>3610.8</v>
      </c>
    </row>
    <row r="205">
      <c r="A205" s="1" t="str">
        <f>IFERROR(__xludf.DUMMYFUNCTION("""COMPUTED_VALUE"""),"PR005")</f>
        <v>PR005</v>
      </c>
      <c r="B205" s="1" t="str">
        <f>IFERROR(__xludf.DUMMYFUNCTION("""COMPUTED_VALUE"""),"VD037")</f>
        <v>VD037</v>
      </c>
      <c r="C205" s="1">
        <f>IFERROR(__xludf.DUMMYFUNCTION("""COMPUTED_VALUE"""),20.0)</f>
        <v>20</v>
      </c>
      <c r="D205" s="1">
        <f>IFERROR(__xludf.DUMMYFUNCTION("""COMPUTED_VALUE"""),6185.62)</f>
        <v>6185.62</v>
      </c>
    </row>
    <row r="206">
      <c r="A206" s="1" t="str">
        <f>IFERROR(__xludf.DUMMYFUNCTION("""COMPUTED_VALUE"""),"PR058")</f>
        <v>PR058</v>
      </c>
      <c r="B206" s="1" t="str">
        <f>IFERROR(__xludf.DUMMYFUNCTION("""COMPUTED_VALUE"""),"VD048")</f>
        <v>VD048</v>
      </c>
      <c r="C206" s="1">
        <f>IFERROR(__xludf.DUMMYFUNCTION("""COMPUTED_VALUE"""),15.0)</f>
        <v>15</v>
      </c>
      <c r="D206" s="1">
        <f>IFERROR(__xludf.DUMMYFUNCTION("""COMPUTED_VALUE"""),3105.0)</f>
        <v>3105</v>
      </c>
    </row>
    <row r="207">
      <c r="A207" s="1" t="str">
        <f>IFERROR(__xludf.DUMMYFUNCTION("""COMPUTED_VALUE"""),"PR025")</f>
        <v>PR025</v>
      </c>
      <c r="B207" s="1" t="str">
        <f>IFERROR(__xludf.DUMMYFUNCTION("""COMPUTED_VALUE"""),"VD035")</f>
        <v>VD035</v>
      </c>
      <c r="C207" s="1">
        <f>IFERROR(__xludf.DUMMYFUNCTION("""COMPUTED_VALUE"""),12.0)</f>
        <v>12</v>
      </c>
      <c r="D207" s="1">
        <f>IFERROR(__xludf.DUMMYFUNCTION("""COMPUTED_VALUE"""),4102.63)</f>
        <v>4102.63</v>
      </c>
    </row>
    <row r="208">
      <c r="A208" s="1" t="str">
        <f>IFERROR(__xludf.DUMMYFUNCTION("""COMPUTED_VALUE"""),"PR042")</f>
        <v>PR042</v>
      </c>
      <c r="B208" s="1" t="str">
        <f>IFERROR(__xludf.DUMMYFUNCTION("""COMPUTED_VALUE"""),"VD017")</f>
        <v>VD017</v>
      </c>
      <c r="C208" s="1">
        <f>IFERROR(__xludf.DUMMYFUNCTION("""COMPUTED_VALUE"""),3.0)</f>
        <v>3</v>
      </c>
      <c r="D208" s="1">
        <f>IFERROR(__xludf.DUMMYFUNCTION("""COMPUTED_VALUE"""),197.64)</f>
        <v>197.64</v>
      </c>
    </row>
    <row r="209">
      <c r="A209" s="1" t="str">
        <f>IFERROR(__xludf.DUMMYFUNCTION("""COMPUTED_VALUE"""),"PR046")</f>
        <v>PR046</v>
      </c>
      <c r="B209" s="1" t="str">
        <f>IFERROR(__xludf.DUMMYFUNCTION("""COMPUTED_VALUE"""),"VD039")</f>
        <v>VD039</v>
      </c>
      <c r="C209" s="1">
        <f>IFERROR(__xludf.DUMMYFUNCTION("""COMPUTED_VALUE"""),15.0)</f>
        <v>15</v>
      </c>
      <c r="D209" s="1">
        <f>IFERROR(__xludf.DUMMYFUNCTION("""COMPUTED_VALUE"""),4870.32)</f>
        <v>4870.32</v>
      </c>
    </row>
    <row r="210">
      <c r="A210" s="1" t="str">
        <f>IFERROR(__xludf.DUMMYFUNCTION("""COMPUTED_VALUE"""),"PR006")</f>
        <v>PR006</v>
      </c>
      <c r="B210" s="1" t="str">
        <f>IFERROR(__xludf.DUMMYFUNCTION("""COMPUTED_VALUE"""),"VD044")</f>
        <v>VD044</v>
      </c>
      <c r="C210" s="1">
        <f>IFERROR(__xludf.DUMMYFUNCTION("""COMPUTED_VALUE"""),27.0)</f>
        <v>27</v>
      </c>
      <c r="D210" s="1">
        <f>IFERROR(__xludf.DUMMYFUNCTION("""COMPUTED_VALUE"""),1238.9)</f>
        <v>1238.9</v>
      </c>
    </row>
    <row r="211">
      <c r="A211" s="1" t="str">
        <f>IFERROR(__xludf.DUMMYFUNCTION("""COMPUTED_VALUE"""),"PR053")</f>
        <v>PR053</v>
      </c>
      <c r="B211" s="1" t="str">
        <f>IFERROR(__xludf.DUMMYFUNCTION("""COMPUTED_VALUE"""),"VD047")</f>
        <v>VD047</v>
      </c>
      <c r="C211" s="1">
        <f>IFERROR(__xludf.DUMMYFUNCTION("""COMPUTED_VALUE"""),12.0)</f>
        <v>12</v>
      </c>
      <c r="D211" s="1">
        <f>IFERROR(__xludf.DUMMYFUNCTION("""COMPUTED_VALUE"""),676.64)</f>
        <v>676.64</v>
      </c>
    </row>
    <row r="212">
      <c r="A212" s="1" t="str">
        <f>IFERROR(__xludf.DUMMYFUNCTION("""COMPUTED_VALUE"""),"PR042")</f>
        <v>PR042</v>
      </c>
      <c r="B212" s="1" t="str">
        <f>IFERROR(__xludf.DUMMYFUNCTION("""COMPUTED_VALUE"""),"VD018")</f>
        <v>VD018</v>
      </c>
      <c r="C212" s="1">
        <f>IFERROR(__xludf.DUMMYFUNCTION("""COMPUTED_VALUE"""),8.0)</f>
        <v>8</v>
      </c>
      <c r="D212" s="1">
        <f>IFERROR(__xludf.DUMMYFUNCTION("""COMPUTED_VALUE"""),491.9)</f>
        <v>491.9</v>
      </c>
    </row>
    <row r="213">
      <c r="A213" s="1" t="str">
        <f>IFERROR(__xludf.DUMMYFUNCTION("""COMPUTED_VALUE"""),"PR002")</f>
        <v>PR002</v>
      </c>
      <c r="B213" s="1" t="str">
        <f>IFERROR(__xludf.DUMMYFUNCTION("""COMPUTED_VALUE"""),"VD034")</f>
        <v>VD034</v>
      </c>
      <c r="C213" s="1">
        <f>IFERROR(__xludf.DUMMYFUNCTION("""COMPUTED_VALUE"""),3.0)</f>
        <v>3</v>
      </c>
      <c r="D213" s="1">
        <f>IFERROR(__xludf.DUMMYFUNCTION("""COMPUTED_VALUE"""),245.35)</f>
        <v>245.35</v>
      </c>
    </row>
    <row r="214">
      <c r="A214" s="1" t="str">
        <f>IFERROR(__xludf.DUMMYFUNCTION("""COMPUTED_VALUE"""),"PR016")</f>
        <v>PR016</v>
      </c>
      <c r="B214" s="1" t="str">
        <f>IFERROR(__xludf.DUMMYFUNCTION("""COMPUTED_VALUE"""),"VD019")</f>
        <v>VD019</v>
      </c>
      <c r="C214" s="1">
        <f>IFERROR(__xludf.DUMMYFUNCTION("""COMPUTED_VALUE"""),16.0)</f>
        <v>16</v>
      </c>
      <c r="D214" s="1">
        <f>IFERROR(__xludf.DUMMYFUNCTION("""COMPUTED_VALUE"""),472.42)</f>
        <v>472.42</v>
      </c>
    </row>
    <row r="215">
      <c r="A215" s="1" t="str">
        <f>IFERROR(__xludf.DUMMYFUNCTION("""COMPUTED_VALUE"""),"PR055")</f>
        <v>PR055</v>
      </c>
      <c r="B215" s="1" t="str">
        <f>IFERROR(__xludf.DUMMYFUNCTION("""COMPUTED_VALUE"""),"VD029")</f>
        <v>VD029</v>
      </c>
      <c r="C215" s="1">
        <f>IFERROR(__xludf.DUMMYFUNCTION("""COMPUTED_VALUE"""),2.0)</f>
        <v>2</v>
      </c>
      <c r="D215" s="1">
        <f>IFERROR(__xludf.DUMMYFUNCTION("""COMPUTED_VALUE"""),213.96)</f>
        <v>213.96</v>
      </c>
    </row>
    <row r="216">
      <c r="A216" s="1" t="str">
        <f>IFERROR(__xludf.DUMMYFUNCTION("""COMPUTED_VALUE"""),"PR057")</f>
        <v>PR057</v>
      </c>
      <c r="B216" s="1" t="str">
        <f>IFERROR(__xludf.DUMMYFUNCTION("""COMPUTED_VALUE"""),"VD037")</f>
        <v>VD037</v>
      </c>
      <c r="C216" s="1">
        <f>IFERROR(__xludf.DUMMYFUNCTION("""COMPUTED_VALUE"""),3.0)</f>
        <v>3</v>
      </c>
      <c r="D216" s="1">
        <f>IFERROR(__xludf.DUMMYFUNCTION("""COMPUTED_VALUE"""),315.55)</f>
        <v>315.55</v>
      </c>
    </row>
    <row r="217">
      <c r="A217" s="1" t="str">
        <f>IFERROR(__xludf.DUMMYFUNCTION("""COMPUTED_VALUE"""),"PR011")</f>
        <v>PR011</v>
      </c>
      <c r="B217" s="1" t="str">
        <f>IFERROR(__xludf.DUMMYFUNCTION("""COMPUTED_VALUE"""),"VD030")</f>
        <v>VD030</v>
      </c>
      <c r="C217" s="1">
        <f>IFERROR(__xludf.DUMMYFUNCTION("""COMPUTED_VALUE"""),7.0)</f>
        <v>7</v>
      </c>
      <c r="D217" s="1">
        <f>IFERROR(__xludf.DUMMYFUNCTION("""COMPUTED_VALUE"""),380.83)</f>
        <v>380.83</v>
      </c>
    </row>
    <row r="218">
      <c r="A218" s="1" t="str">
        <f>IFERROR(__xludf.DUMMYFUNCTION("""COMPUTED_VALUE"""),"PR006")</f>
        <v>PR006</v>
      </c>
      <c r="B218" s="1" t="str">
        <f>IFERROR(__xludf.DUMMYFUNCTION("""COMPUTED_VALUE"""),"VD047")</f>
        <v>VD047</v>
      </c>
      <c r="C218" s="1">
        <f>IFERROR(__xludf.DUMMYFUNCTION("""COMPUTED_VALUE"""),16.0)</f>
        <v>16</v>
      </c>
      <c r="D218" s="1">
        <f>IFERROR(__xludf.DUMMYFUNCTION("""COMPUTED_VALUE"""),766.08)</f>
        <v>766.08</v>
      </c>
    </row>
    <row r="219">
      <c r="A219" s="1" t="str">
        <f>IFERROR(__xludf.DUMMYFUNCTION("""COMPUTED_VALUE"""),"PR019")</f>
        <v>PR019</v>
      </c>
      <c r="B219" s="1" t="str">
        <f>IFERROR(__xludf.DUMMYFUNCTION("""COMPUTED_VALUE"""),"VD034")</f>
        <v>VD034</v>
      </c>
      <c r="C219" s="1">
        <f>IFERROR(__xludf.DUMMYFUNCTION("""COMPUTED_VALUE"""),12.0)</f>
        <v>12</v>
      </c>
      <c r="D219" s="1">
        <f>IFERROR(__xludf.DUMMYFUNCTION("""COMPUTED_VALUE"""),670.66)</f>
        <v>670.66</v>
      </c>
    </row>
    <row r="220">
      <c r="A220" s="1" t="str">
        <f>IFERROR(__xludf.DUMMYFUNCTION("""COMPUTED_VALUE"""),"PR006")</f>
        <v>PR006</v>
      </c>
      <c r="B220" s="1" t="str">
        <f>IFERROR(__xludf.DUMMYFUNCTION("""COMPUTED_VALUE"""),"VD037")</f>
        <v>VD037</v>
      </c>
      <c r="C220" s="1">
        <f>IFERROR(__xludf.DUMMYFUNCTION("""COMPUTED_VALUE"""),10.0)</f>
        <v>10</v>
      </c>
      <c r="D220" s="1">
        <f>IFERROR(__xludf.DUMMYFUNCTION("""COMPUTED_VALUE"""),462.84)</f>
        <v>462.84</v>
      </c>
    </row>
    <row r="221">
      <c r="A221" s="1" t="str">
        <f>IFERROR(__xludf.DUMMYFUNCTION("""COMPUTED_VALUE"""),"PR026")</f>
        <v>PR026</v>
      </c>
      <c r="B221" s="1" t="str">
        <f>IFERROR(__xludf.DUMMYFUNCTION("""COMPUTED_VALUE"""),"VD032")</f>
        <v>VD032</v>
      </c>
      <c r="C221" s="1">
        <f>IFERROR(__xludf.DUMMYFUNCTION("""COMPUTED_VALUE"""),6.0)</f>
        <v>6</v>
      </c>
      <c r="D221" s="1">
        <f>IFERROR(__xludf.DUMMYFUNCTION("""COMPUTED_VALUE"""),2393.32)</f>
        <v>2393.32</v>
      </c>
    </row>
    <row r="222">
      <c r="A222" s="1" t="str">
        <f>IFERROR(__xludf.DUMMYFUNCTION("""COMPUTED_VALUE"""),"PR058")</f>
        <v>PR058</v>
      </c>
      <c r="B222" s="1" t="str">
        <f>IFERROR(__xludf.DUMMYFUNCTION("""COMPUTED_VALUE"""),"VD027")</f>
        <v>VD027</v>
      </c>
      <c r="C222" s="1">
        <f>IFERROR(__xludf.DUMMYFUNCTION("""COMPUTED_VALUE"""),2.0)</f>
        <v>2</v>
      </c>
      <c r="D222" s="1">
        <f>IFERROR(__xludf.DUMMYFUNCTION("""COMPUTED_VALUE"""),417.6)</f>
        <v>417.6</v>
      </c>
    </row>
    <row r="223">
      <c r="A223" s="1" t="str">
        <f>IFERROR(__xludf.DUMMYFUNCTION("""COMPUTED_VALUE"""),"PR013")</f>
        <v>PR013</v>
      </c>
      <c r="B223" s="1" t="str">
        <f>IFERROR(__xludf.DUMMYFUNCTION("""COMPUTED_VALUE"""),"VD011")</f>
        <v>VD011</v>
      </c>
      <c r="C223" s="1">
        <f>IFERROR(__xludf.DUMMYFUNCTION("""COMPUTED_VALUE"""),15.0)</f>
        <v>15</v>
      </c>
      <c r="D223" s="1">
        <f>IFERROR(__xludf.DUMMYFUNCTION("""COMPUTED_VALUE"""),712.22)</f>
        <v>712.22</v>
      </c>
    </row>
    <row r="224">
      <c r="A224" s="1" t="str">
        <f>IFERROR(__xludf.DUMMYFUNCTION("""COMPUTED_VALUE"""),"PR058")</f>
        <v>PR058</v>
      </c>
      <c r="B224" s="1" t="str">
        <f>IFERROR(__xludf.DUMMYFUNCTION("""COMPUTED_VALUE"""),"VD017")</f>
        <v>VD017</v>
      </c>
      <c r="C224" s="1">
        <f>IFERROR(__xludf.DUMMYFUNCTION("""COMPUTED_VALUE"""),7.0)</f>
        <v>7</v>
      </c>
      <c r="D224" s="1">
        <f>IFERROR(__xludf.DUMMYFUNCTION("""COMPUTED_VALUE"""),1486.8)</f>
        <v>1486.8</v>
      </c>
    </row>
    <row r="225">
      <c r="A225" s="1" t="str">
        <f>IFERROR(__xludf.DUMMYFUNCTION("""COMPUTED_VALUE"""),"PR030")</f>
        <v>PR030</v>
      </c>
      <c r="B225" s="1" t="str">
        <f>IFERROR(__xludf.DUMMYFUNCTION("""COMPUTED_VALUE"""),"VD036")</f>
        <v>VD036</v>
      </c>
      <c r="C225" s="1">
        <f>IFERROR(__xludf.DUMMYFUNCTION("""COMPUTED_VALUE"""),9.0)</f>
        <v>9</v>
      </c>
      <c r="D225" s="1">
        <f>IFERROR(__xludf.DUMMYFUNCTION("""COMPUTED_VALUE"""),2689.97)</f>
        <v>2689.97</v>
      </c>
    </row>
    <row r="226">
      <c r="A226" s="1" t="str">
        <f>IFERROR(__xludf.DUMMYFUNCTION("""COMPUTED_VALUE"""),"PR015")</f>
        <v>PR015</v>
      </c>
      <c r="B226" s="1" t="str">
        <f>IFERROR(__xludf.DUMMYFUNCTION("""COMPUTED_VALUE"""),"VD049")</f>
        <v>VD049</v>
      </c>
      <c r="C226" s="1">
        <f>IFERROR(__xludf.DUMMYFUNCTION("""COMPUTED_VALUE"""),30.0)</f>
        <v>30</v>
      </c>
      <c r="D226" s="1">
        <f>IFERROR(__xludf.DUMMYFUNCTION("""COMPUTED_VALUE"""),1415.25)</f>
        <v>1415.25</v>
      </c>
    </row>
    <row r="227">
      <c r="A227" s="1" t="str">
        <f>IFERROR(__xludf.DUMMYFUNCTION("""COMPUTED_VALUE"""),"PR001")</f>
        <v>PR001</v>
      </c>
      <c r="B227" s="1" t="str">
        <f>IFERROR(__xludf.DUMMYFUNCTION("""COMPUTED_VALUE"""),"VD013")</f>
        <v>VD013</v>
      </c>
      <c r="C227" s="1">
        <f>IFERROR(__xludf.DUMMYFUNCTION("""COMPUTED_VALUE"""),16.0)</f>
        <v>16</v>
      </c>
      <c r="D227" s="1">
        <f>IFERROR(__xludf.DUMMYFUNCTION("""COMPUTED_VALUE"""),1254.74)</f>
        <v>1254.74</v>
      </c>
    </row>
    <row r="228">
      <c r="A228" s="1" t="str">
        <f>IFERROR(__xludf.DUMMYFUNCTION("""COMPUTED_VALUE"""),"PR053")</f>
        <v>PR053</v>
      </c>
      <c r="B228" s="1" t="str">
        <f>IFERROR(__xludf.DUMMYFUNCTION("""COMPUTED_VALUE"""),"VD012")</f>
        <v>VD012</v>
      </c>
      <c r="C228" s="1">
        <f>IFERROR(__xludf.DUMMYFUNCTION("""COMPUTED_VALUE"""),3.0)</f>
        <v>3</v>
      </c>
      <c r="D228" s="1">
        <f>IFERROR(__xludf.DUMMYFUNCTION("""COMPUTED_VALUE"""),166.17)</f>
        <v>166.17</v>
      </c>
    </row>
    <row r="229">
      <c r="A229" s="1" t="str">
        <f>IFERROR(__xludf.DUMMYFUNCTION("""COMPUTED_VALUE"""),"PR041")</f>
        <v>PR041</v>
      </c>
      <c r="B229" s="1" t="str">
        <f>IFERROR(__xludf.DUMMYFUNCTION("""COMPUTED_VALUE"""),"VD037")</f>
        <v>VD037</v>
      </c>
      <c r="C229" s="1">
        <f>IFERROR(__xludf.DUMMYFUNCTION("""COMPUTED_VALUE"""),2.0)</f>
        <v>2</v>
      </c>
      <c r="D229" s="1">
        <f>IFERROR(__xludf.DUMMYFUNCTION("""COMPUTED_VALUE"""),122.98)</f>
        <v>122.98</v>
      </c>
    </row>
    <row r="230">
      <c r="A230" s="1" t="str">
        <f>IFERROR(__xludf.DUMMYFUNCTION("""COMPUTED_VALUE"""),"PR002")</f>
        <v>PR002</v>
      </c>
      <c r="B230" s="1" t="str">
        <f>IFERROR(__xludf.DUMMYFUNCTION("""COMPUTED_VALUE"""),"VD047")</f>
        <v>VD047</v>
      </c>
      <c r="C230" s="1">
        <f>IFERROR(__xludf.DUMMYFUNCTION("""COMPUTED_VALUE"""),2.0)</f>
        <v>2</v>
      </c>
      <c r="D230" s="1">
        <f>IFERROR(__xludf.DUMMYFUNCTION("""COMPUTED_VALUE"""),153.78)</f>
        <v>153.78</v>
      </c>
    </row>
    <row r="231">
      <c r="A231" s="1" t="str">
        <f>IFERROR(__xludf.DUMMYFUNCTION("""COMPUTED_VALUE"""),"PR021")</f>
        <v>PR021</v>
      </c>
      <c r="B231" s="1" t="str">
        <f>IFERROR(__xludf.DUMMYFUNCTION("""COMPUTED_VALUE"""),"VD039")</f>
        <v>VD039</v>
      </c>
      <c r="C231" s="1">
        <f>IFERROR(__xludf.DUMMYFUNCTION("""COMPUTED_VALUE"""),27.0)</f>
        <v>27</v>
      </c>
      <c r="D231" s="1">
        <f>IFERROR(__xludf.DUMMYFUNCTION("""COMPUTED_VALUE"""),9241.48)</f>
        <v>9241.48</v>
      </c>
    </row>
    <row r="232">
      <c r="A232" s="1" t="str">
        <f>IFERROR(__xludf.DUMMYFUNCTION("""COMPUTED_VALUE"""),"PR035")</f>
        <v>PR035</v>
      </c>
      <c r="B232" s="1" t="str">
        <f>IFERROR(__xludf.DUMMYFUNCTION("""COMPUTED_VALUE"""),"VD026")</f>
        <v>VD026</v>
      </c>
      <c r="C232" s="1">
        <f>IFERROR(__xludf.DUMMYFUNCTION("""COMPUTED_VALUE"""),6.0)</f>
        <v>6</v>
      </c>
      <c r="D232" s="1">
        <f>IFERROR(__xludf.DUMMYFUNCTION("""COMPUTED_VALUE"""),608.72)</f>
        <v>608.72</v>
      </c>
    </row>
    <row r="233">
      <c r="A233" s="1" t="str">
        <f>IFERROR(__xludf.DUMMYFUNCTION("""COMPUTED_VALUE"""),"PR008")</f>
        <v>PR008</v>
      </c>
      <c r="B233" s="1" t="str">
        <f>IFERROR(__xludf.DUMMYFUNCTION("""COMPUTED_VALUE"""),"VD036")</f>
        <v>VD036</v>
      </c>
      <c r="C233" s="1">
        <f>IFERROR(__xludf.DUMMYFUNCTION("""COMPUTED_VALUE"""),6.0)</f>
        <v>6</v>
      </c>
      <c r="D233" s="1">
        <f>IFERROR(__xludf.DUMMYFUNCTION("""COMPUTED_VALUE"""),593.34)</f>
        <v>593.34</v>
      </c>
    </row>
    <row r="234">
      <c r="A234" s="1" t="str">
        <f>IFERROR(__xludf.DUMMYFUNCTION("""COMPUTED_VALUE"""),"PR045")</f>
        <v>PR045</v>
      </c>
      <c r="B234" s="1" t="str">
        <f>IFERROR(__xludf.DUMMYFUNCTION("""COMPUTED_VALUE"""),"VD045")</f>
        <v>VD045</v>
      </c>
      <c r="C234" s="1">
        <f>IFERROR(__xludf.DUMMYFUNCTION("""COMPUTED_VALUE"""),6.0)</f>
        <v>6</v>
      </c>
      <c r="D234" s="1">
        <f>IFERROR(__xludf.DUMMYFUNCTION("""COMPUTED_VALUE"""),513.3)</f>
        <v>513.3</v>
      </c>
    </row>
    <row r="235">
      <c r="A235" s="1" t="str">
        <f>IFERROR(__xludf.DUMMYFUNCTION("""COMPUTED_VALUE"""),"PR037")</f>
        <v>PR037</v>
      </c>
      <c r="B235" s="1" t="str">
        <f>IFERROR(__xludf.DUMMYFUNCTION("""COMPUTED_VALUE"""),"VD021")</f>
        <v>VD021</v>
      </c>
      <c r="C235" s="1">
        <f>IFERROR(__xludf.DUMMYFUNCTION("""COMPUTED_VALUE"""),9.0)</f>
        <v>9</v>
      </c>
      <c r="D235" s="1">
        <f>IFERROR(__xludf.DUMMYFUNCTION("""COMPUTED_VALUE"""),1398.6)</f>
        <v>1398.6</v>
      </c>
    </row>
    <row r="236">
      <c r="A236" s="1" t="str">
        <f>IFERROR(__xludf.DUMMYFUNCTION("""COMPUTED_VALUE"""),"PR016")</f>
        <v>PR016</v>
      </c>
      <c r="B236" s="1" t="str">
        <f>IFERROR(__xludf.DUMMYFUNCTION("""COMPUTED_VALUE"""),"VD041")</f>
        <v>VD041</v>
      </c>
      <c r="C236" s="1">
        <f>IFERROR(__xludf.DUMMYFUNCTION("""COMPUTED_VALUE"""),2.0)</f>
        <v>2</v>
      </c>
      <c r="D236" s="1">
        <f>IFERROR(__xludf.DUMMYFUNCTION("""COMPUTED_VALUE"""),57.5)</f>
        <v>57.5</v>
      </c>
    </row>
    <row r="237">
      <c r="A237" s="1" t="str">
        <f>IFERROR(__xludf.DUMMYFUNCTION("""COMPUTED_VALUE"""),"PR053")</f>
        <v>PR053</v>
      </c>
      <c r="B237" s="1" t="str">
        <f>IFERROR(__xludf.DUMMYFUNCTION("""COMPUTED_VALUE"""),"VD013")</f>
        <v>VD013</v>
      </c>
      <c r="C237" s="1">
        <f>IFERROR(__xludf.DUMMYFUNCTION("""COMPUTED_VALUE"""),21.0)</f>
        <v>21</v>
      </c>
      <c r="D237" s="1">
        <f>IFERROR(__xludf.DUMMYFUNCTION("""COMPUTED_VALUE"""),1247.0)</f>
        <v>1247</v>
      </c>
    </row>
    <row r="238">
      <c r="A238" s="1" t="str">
        <f>IFERROR(__xludf.DUMMYFUNCTION("""COMPUTED_VALUE"""),"PR001")</f>
        <v>PR001</v>
      </c>
      <c r="B238" s="1" t="str">
        <f>IFERROR(__xludf.DUMMYFUNCTION("""COMPUTED_VALUE"""),"VD019")</f>
        <v>VD019</v>
      </c>
      <c r="C238" s="1">
        <f>IFERROR(__xludf.DUMMYFUNCTION("""COMPUTED_VALUE"""),21.0)</f>
        <v>21</v>
      </c>
      <c r="D238" s="1">
        <f>IFERROR(__xludf.DUMMYFUNCTION("""COMPUTED_VALUE"""),1577.65)</f>
        <v>1577.65</v>
      </c>
    </row>
    <row r="239">
      <c r="A239" s="1" t="str">
        <f>IFERROR(__xludf.DUMMYFUNCTION("""COMPUTED_VALUE"""),"PR052")</f>
        <v>PR052</v>
      </c>
      <c r="B239" s="1" t="str">
        <f>IFERROR(__xludf.DUMMYFUNCTION("""COMPUTED_VALUE"""),"VD032")</f>
        <v>VD032</v>
      </c>
      <c r="C239" s="1">
        <f>IFERROR(__xludf.DUMMYFUNCTION("""COMPUTED_VALUE"""),2.0)</f>
        <v>2</v>
      </c>
      <c r="D239" s="1">
        <f>IFERROR(__xludf.DUMMYFUNCTION("""COMPUTED_VALUE"""),114.77)</f>
        <v>114.77</v>
      </c>
    </row>
    <row r="240">
      <c r="A240" s="1" t="str">
        <f>IFERROR(__xludf.DUMMYFUNCTION("""COMPUTED_VALUE"""),"PR027")</f>
        <v>PR027</v>
      </c>
      <c r="B240" s="1" t="str">
        <f>IFERROR(__xludf.DUMMYFUNCTION("""COMPUTED_VALUE"""),"VD018")</f>
        <v>VD018</v>
      </c>
      <c r="C240" s="1">
        <f>IFERROR(__xludf.DUMMYFUNCTION("""COMPUTED_VALUE"""),8.0)</f>
        <v>8</v>
      </c>
      <c r="D240" s="1">
        <f>IFERROR(__xludf.DUMMYFUNCTION("""COMPUTED_VALUE"""),1056.0)</f>
        <v>1056</v>
      </c>
    </row>
    <row r="241">
      <c r="A241" s="1" t="str">
        <f>IFERROR(__xludf.DUMMYFUNCTION("""COMPUTED_VALUE"""),"PR049")</f>
        <v>PR049</v>
      </c>
      <c r="B241" s="1" t="str">
        <f>IFERROR(__xludf.DUMMYFUNCTION("""COMPUTED_VALUE"""),"VD013")</f>
        <v>VD013</v>
      </c>
      <c r="C241" s="1">
        <f>IFERROR(__xludf.DUMMYFUNCTION("""COMPUTED_VALUE"""),14.0)</f>
        <v>14</v>
      </c>
      <c r="D241" s="1">
        <f>IFERROR(__xludf.DUMMYFUNCTION("""COMPUTED_VALUE"""),515.87)</f>
        <v>515.87</v>
      </c>
    </row>
    <row r="242">
      <c r="A242" s="1" t="str">
        <f>IFERROR(__xludf.DUMMYFUNCTION("""COMPUTED_VALUE"""),"PR021")</f>
        <v>PR021</v>
      </c>
      <c r="B242" s="1" t="str">
        <f>IFERROR(__xludf.DUMMYFUNCTION("""COMPUTED_VALUE"""),"VD035")</f>
        <v>VD035</v>
      </c>
      <c r="C242" s="1">
        <f>IFERROR(__xludf.DUMMYFUNCTION("""COMPUTED_VALUE"""),7.0)</f>
        <v>7</v>
      </c>
      <c r="D242" s="1">
        <f>IFERROR(__xludf.DUMMYFUNCTION("""COMPUTED_VALUE"""),2417.14)</f>
        <v>2417.14</v>
      </c>
    </row>
    <row r="243">
      <c r="A243" s="1" t="str">
        <f>IFERROR(__xludf.DUMMYFUNCTION("""COMPUTED_VALUE"""),"PR055")</f>
        <v>PR055</v>
      </c>
      <c r="B243" s="1" t="str">
        <f>IFERROR(__xludf.DUMMYFUNCTION("""COMPUTED_VALUE"""),"VD030")</f>
        <v>VD030</v>
      </c>
      <c r="C243" s="1">
        <f>IFERROR(__xludf.DUMMYFUNCTION("""COMPUTED_VALUE"""),10.0)</f>
        <v>10</v>
      </c>
      <c r="D243" s="1">
        <f>IFERROR(__xludf.DUMMYFUNCTION("""COMPUTED_VALUE"""),1024.86)</f>
        <v>1024.86</v>
      </c>
    </row>
    <row r="244">
      <c r="A244" s="1" t="str">
        <f>IFERROR(__xludf.DUMMYFUNCTION("""COMPUTED_VALUE"""),"PR022")</f>
        <v>PR022</v>
      </c>
      <c r="B244" s="1" t="str">
        <f>IFERROR(__xludf.DUMMYFUNCTION("""COMPUTED_VALUE"""),"VD022")</f>
        <v>VD022</v>
      </c>
      <c r="C244" s="1">
        <f>IFERROR(__xludf.DUMMYFUNCTION("""COMPUTED_VALUE"""),8.0)</f>
        <v>8</v>
      </c>
      <c r="D244" s="1">
        <f>IFERROR(__xludf.DUMMYFUNCTION("""COMPUTED_VALUE"""),2712.0)</f>
        <v>2712</v>
      </c>
    </row>
    <row r="245">
      <c r="A245" s="1" t="str">
        <f>IFERROR(__xludf.DUMMYFUNCTION("""COMPUTED_VALUE"""),"PR043")</f>
        <v>PR043</v>
      </c>
      <c r="B245" s="1" t="str">
        <f>IFERROR(__xludf.DUMMYFUNCTION("""COMPUTED_VALUE"""),"VD037")</f>
        <v>VD037</v>
      </c>
      <c r="C245" s="1">
        <f>IFERROR(__xludf.DUMMYFUNCTION("""COMPUTED_VALUE"""),27.0)</f>
        <v>27</v>
      </c>
      <c r="D245" s="1">
        <f>IFERROR(__xludf.DUMMYFUNCTION("""COMPUTED_VALUE"""),2349.0)</f>
        <v>2349</v>
      </c>
    </row>
    <row r="246">
      <c r="A246" s="1" t="str">
        <f>IFERROR(__xludf.DUMMYFUNCTION("""COMPUTED_VALUE"""),"PR008")</f>
        <v>PR008</v>
      </c>
      <c r="B246" s="1" t="str">
        <f>IFERROR(__xludf.DUMMYFUNCTION("""COMPUTED_VALUE"""),"VD023")</f>
        <v>VD023</v>
      </c>
      <c r="C246" s="1">
        <f>IFERROR(__xludf.DUMMYFUNCTION("""COMPUTED_VALUE"""),6.0)</f>
        <v>6</v>
      </c>
      <c r="D246" s="1">
        <f>IFERROR(__xludf.DUMMYFUNCTION("""COMPUTED_VALUE"""),593.34)</f>
        <v>593.34</v>
      </c>
    </row>
    <row r="247">
      <c r="A247" s="1" t="str">
        <f>IFERROR(__xludf.DUMMYFUNCTION("""COMPUTED_VALUE"""),"PR004")</f>
        <v>PR004</v>
      </c>
      <c r="B247" s="1" t="str">
        <f>IFERROR(__xludf.DUMMYFUNCTION("""COMPUTED_VALUE"""),"VD017")</f>
        <v>VD017</v>
      </c>
      <c r="C247" s="1">
        <f>IFERROR(__xludf.DUMMYFUNCTION("""COMPUTED_VALUE"""),3.0)</f>
        <v>3</v>
      </c>
      <c r="D247" s="1">
        <f>IFERROR(__xludf.DUMMYFUNCTION("""COMPUTED_VALUE"""),491.55)</f>
        <v>491.55</v>
      </c>
    </row>
    <row r="248">
      <c r="A248" s="1" t="str">
        <f>IFERROR(__xludf.DUMMYFUNCTION("""COMPUTED_VALUE"""),"PR012")</f>
        <v>PR012</v>
      </c>
      <c r="B248" s="1" t="str">
        <f>IFERROR(__xludf.DUMMYFUNCTION("""COMPUTED_VALUE"""),"VD039")</f>
        <v>VD039</v>
      </c>
      <c r="C248" s="1">
        <f>IFERROR(__xludf.DUMMYFUNCTION("""COMPUTED_VALUE"""),2.0)</f>
        <v>2</v>
      </c>
      <c r="D248" s="1">
        <f>IFERROR(__xludf.DUMMYFUNCTION("""COMPUTED_VALUE"""),113.45)</f>
        <v>113.45</v>
      </c>
    </row>
    <row r="249">
      <c r="A249" s="1" t="str">
        <f>IFERROR(__xludf.DUMMYFUNCTION("""COMPUTED_VALUE"""),"PR024")</f>
        <v>PR024</v>
      </c>
      <c r="B249" s="1" t="str">
        <f>IFERROR(__xludf.DUMMYFUNCTION("""COMPUTED_VALUE"""),"VD032")</f>
        <v>VD032</v>
      </c>
      <c r="C249" s="1">
        <f>IFERROR(__xludf.DUMMYFUNCTION("""COMPUTED_VALUE"""),18.0)</f>
        <v>18</v>
      </c>
      <c r="D249" s="1">
        <f>IFERROR(__xludf.DUMMYFUNCTION("""COMPUTED_VALUE"""),5192.8)</f>
        <v>5192.8</v>
      </c>
    </row>
    <row r="250">
      <c r="A250" s="1" t="str">
        <f>IFERROR(__xludf.DUMMYFUNCTION("""COMPUTED_VALUE"""),"PR047")</f>
        <v>PR047</v>
      </c>
      <c r="B250" s="1" t="str">
        <f>IFERROR(__xludf.DUMMYFUNCTION("""COMPUTED_VALUE"""),"VD045")</f>
        <v>VD045</v>
      </c>
      <c r="C250" s="1">
        <f>IFERROR(__xludf.DUMMYFUNCTION("""COMPUTED_VALUE"""),8.0)</f>
        <v>8</v>
      </c>
      <c r="D250" s="1">
        <f>IFERROR(__xludf.DUMMYFUNCTION("""COMPUTED_VALUE"""),2736.66)</f>
        <v>2736.66</v>
      </c>
    </row>
    <row r="251">
      <c r="A251" s="1" t="str">
        <f>IFERROR(__xludf.DUMMYFUNCTION("""COMPUTED_VALUE"""),"PR030")</f>
        <v>PR030</v>
      </c>
      <c r="B251" s="1" t="str">
        <f>IFERROR(__xludf.DUMMYFUNCTION("""COMPUTED_VALUE"""),"VD022")</f>
        <v>VD022</v>
      </c>
      <c r="C251" s="1">
        <f>IFERROR(__xludf.DUMMYFUNCTION("""COMPUTED_VALUE"""),6.0)</f>
        <v>6</v>
      </c>
      <c r="D251" s="1">
        <f>IFERROR(__xludf.DUMMYFUNCTION("""COMPUTED_VALUE"""),1730.93)</f>
        <v>1730.93</v>
      </c>
    </row>
    <row r="252">
      <c r="A252" s="1" t="str">
        <f>IFERROR(__xludf.DUMMYFUNCTION("""COMPUTED_VALUE"""),"PR006")</f>
        <v>PR006</v>
      </c>
      <c r="B252" s="1" t="str">
        <f>IFERROR(__xludf.DUMMYFUNCTION("""COMPUTED_VALUE"""),"VD032")</f>
        <v>VD032</v>
      </c>
      <c r="C252" s="1">
        <f>IFERROR(__xludf.DUMMYFUNCTION("""COMPUTED_VALUE"""),7.0)</f>
        <v>7</v>
      </c>
      <c r="D252" s="1">
        <f>IFERROR(__xludf.DUMMYFUNCTION("""COMPUTED_VALUE"""),318.4)</f>
        <v>318.4</v>
      </c>
    </row>
    <row r="253">
      <c r="A253" s="1" t="str">
        <f>IFERROR(__xludf.DUMMYFUNCTION("""COMPUTED_VALUE"""),"PR032")</f>
        <v>PR032</v>
      </c>
      <c r="B253" s="1" t="str">
        <f>IFERROR(__xludf.DUMMYFUNCTION("""COMPUTED_VALUE"""),"VD014")</f>
        <v>VD014</v>
      </c>
      <c r="C253" s="1">
        <f>IFERROR(__xludf.DUMMYFUNCTION("""COMPUTED_VALUE"""),6.0)</f>
        <v>6</v>
      </c>
      <c r="D253" s="1">
        <f>IFERROR(__xludf.DUMMYFUNCTION("""COMPUTED_VALUE"""),1800.0)</f>
        <v>1800</v>
      </c>
    </row>
    <row r="254">
      <c r="A254" s="1" t="str">
        <f>IFERROR(__xludf.DUMMYFUNCTION("""COMPUTED_VALUE"""),"PR031")</f>
        <v>PR031</v>
      </c>
      <c r="B254" s="1" t="str">
        <f>IFERROR(__xludf.DUMMYFUNCTION("""COMPUTED_VALUE"""),"VD038")</f>
        <v>VD038</v>
      </c>
      <c r="C254" s="1">
        <f>IFERROR(__xludf.DUMMYFUNCTION("""COMPUTED_VALUE"""),16.0)</f>
        <v>16</v>
      </c>
      <c r="D254" s="1">
        <f>IFERROR(__xludf.DUMMYFUNCTION("""COMPUTED_VALUE"""),4664.8)</f>
        <v>4664.8</v>
      </c>
    </row>
    <row r="255">
      <c r="A255" s="1" t="str">
        <f>IFERROR(__xludf.DUMMYFUNCTION("""COMPUTED_VALUE"""),"PR029")</f>
        <v>PR029</v>
      </c>
      <c r="B255" s="1" t="str">
        <f>IFERROR(__xludf.DUMMYFUNCTION("""COMPUTED_VALUE"""),"VD027")</f>
        <v>VD027</v>
      </c>
      <c r="C255" s="1">
        <f>IFERROR(__xludf.DUMMYFUNCTION("""COMPUTED_VALUE"""),8.0)</f>
        <v>8</v>
      </c>
      <c r="D255" s="1">
        <f>IFERROR(__xludf.DUMMYFUNCTION("""COMPUTED_VALUE"""),2427.6)</f>
        <v>2427.6</v>
      </c>
    </row>
    <row r="256">
      <c r="A256" s="1" t="str">
        <f>IFERROR(__xludf.DUMMYFUNCTION("""COMPUTED_VALUE"""),"PR021")</f>
        <v>PR021</v>
      </c>
      <c r="B256" s="1" t="str">
        <f>IFERROR(__xludf.DUMMYFUNCTION("""COMPUTED_VALUE"""),"VD011")</f>
        <v>VD011</v>
      </c>
      <c r="C256" s="1">
        <f>IFERROR(__xludf.DUMMYFUNCTION("""COMPUTED_VALUE"""),5.0)</f>
        <v>5</v>
      </c>
      <c r="D256" s="1">
        <f>IFERROR(__xludf.DUMMYFUNCTION("""COMPUTED_VALUE"""),1696.24)</f>
        <v>1696.24</v>
      </c>
    </row>
    <row r="257">
      <c r="A257" s="1" t="str">
        <f>IFERROR(__xludf.DUMMYFUNCTION("""COMPUTED_VALUE"""),"PR039")</f>
        <v>PR039</v>
      </c>
      <c r="B257" s="1" t="str">
        <f>IFERROR(__xludf.DUMMYFUNCTION("""COMPUTED_VALUE"""),"VD017")</f>
        <v>VD017</v>
      </c>
      <c r="C257" s="1">
        <f>IFERROR(__xludf.DUMMYFUNCTION("""COMPUTED_VALUE"""),6.0)</f>
        <v>6</v>
      </c>
      <c r="D257" s="1">
        <f>IFERROR(__xludf.DUMMYFUNCTION("""COMPUTED_VALUE"""),1033.68)</f>
        <v>1033.68</v>
      </c>
    </row>
    <row r="258">
      <c r="A258" s="1" t="str">
        <f>IFERROR(__xludf.DUMMYFUNCTION("""COMPUTED_VALUE"""),"PR024")</f>
        <v>PR024</v>
      </c>
      <c r="B258" s="1" t="str">
        <f>IFERROR(__xludf.DUMMYFUNCTION("""COMPUTED_VALUE"""),"VD021")</f>
        <v>VD021</v>
      </c>
      <c r="C258" s="1">
        <f>IFERROR(__xludf.DUMMYFUNCTION("""COMPUTED_VALUE"""),12.0)</f>
        <v>12</v>
      </c>
      <c r="D258" s="1">
        <f>IFERROR(__xludf.DUMMYFUNCTION("""COMPUTED_VALUE"""),3617.81)</f>
        <v>3617.81</v>
      </c>
    </row>
    <row r="259">
      <c r="A259" s="1" t="str">
        <f>IFERROR(__xludf.DUMMYFUNCTION("""COMPUTED_VALUE"""),"PR039")</f>
        <v>PR039</v>
      </c>
      <c r="B259" s="1" t="str">
        <f>IFERROR(__xludf.DUMMYFUNCTION("""COMPUTED_VALUE"""),"VD042")</f>
        <v>VD042</v>
      </c>
      <c r="C259" s="1">
        <f>IFERROR(__xludf.DUMMYFUNCTION("""COMPUTED_VALUE"""),14.0)</f>
        <v>14</v>
      </c>
      <c r="D259" s="1">
        <f>IFERROR(__xludf.DUMMYFUNCTION("""COMPUTED_VALUE"""),2289.28)</f>
        <v>2289.28</v>
      </c>
    </row>
    <row r="260">
      <c r="A260" s="1" t="str">
        <f>IFERROR(__xludf.DUMMYFUNCTION("""COMPUTED_VALUE"""),"PR050")</f>
        <v>PR050</v>
      </c>
      <c r="B260" s="1" t="str">
        <f>IFERROR(__xludf.DUMMYFUNCTION("""COMPUTED_VALUE"""),"VD042")</f>
        <v>VD042</v>
      </c>
      <c r="C260" s="1">
        <f>IFERROR(__xludf.DUMMYFUNCTION("""COMPUTED_VALUE"""),8.0)</f>
        <v>8</v>
      </c>
      <c r="D260" s="1">
        <f>IFERROR(__xludf.DUMMYFUNCTION("""COMPUTED_VALUE"""),313.21)</f>
        <v>313.21</v>
      </c>
    </row>
    <row r="261">
      <c r="A261" s="1" t="str">
        <f>IFERROR(__xludf.DUMMYFUNCTION("""COMPUTED_VALUE"""),"PR032")</f>
        <v>PR032</v>
      </c>
      <c r="B261" s="1" t="str">
        <f>IFERROR(__xludf.DUMMYFUNCTION("""COMPUTED_VALUE"""),"VD036")</f>
        <v>VD036</v>
      </c>
      <c r="C261" s="1">
        <f>IFERROR(__xludf.DUMMYFUNCTION("""COMPUTED_VALUE"""),30.0)</f>
        <v>30</v>
      </c>
      <c r="D261" s="1">
        <f>IFERROR(__xludf.DUMMYFUNCTION("""COMPUTED_VALUE"""),8925.0)</f>
        <v>8925</v>
      </c>
    </row>
    <row r="262">
      <c r="A262" s="1" t="str">
        <f>IFERROR(__xludf.DUMMYFUNCTION("""COMPUTED_VALUE"""),"PR047")</f>
        <v>PR047</v>
      </c>
      <c r="B262" s="1" t="str">
        <f>IFERROR(__xludf.DUMMYFUNCTION("""COMPUTED_VALUE"""),"VD027")</f>
        <v>VD027</v>
      </c>
      <c r="C262" s="1">
        <f>IFERROR(__xludf.DUMMYFUNCTION("""COMPUTED_VALUE"""),8.0)</f>
        <v>8</v>
      </c>
      <c r="D262" s="1">
        <f>IFERROR(__xludf.DUMMYFUNCTION("""COMPUTED_VALUE"""),2481.54)</f>
        <v>2481.54</v>
      </c>
    </row>
    <row r="263">
      <c r="A263" s="1" t="str">
        <f>IFERROR(__xludf.DUMMYFUNCTION("""COMPUTED_VALUE"""),"PR016")</f>
        <v>PR016</v>
      </c>
      <c r="B263" s="1" t="str">
        <f>IFERROR(__xludf.DUMMYFUNCTION("""COMPUTED_VALUE"""),"VD023")</f>
        <v>VD023</v>
      </c>
      <c r="C263" s="1">
        <f>IFERROR(__xludf.DUMMYFUNCTION("""COMPUTED_VALUE"""),18.0)</f>
        <v>18</v>
      </c>
      <c r="D263" s="1">
        <f>IFERROR(__xludf.DUMMYFUNCTION("""COMPUTED_VALUE"""),470.86)</f>
        <v>470.86</v>
      </c>
    </row>
    <row r="264">
      <c r="A264" s="1" t="str">
        <f>IFERROR(__xludf.DUMMYFUNCTION("""COMPUTED_VALUE"""),"PR029")</f>
        <v>PR029</v>
      </c>
      <c r="B264" s="1" t="str">
        <f>IFERROR(__xludf.DUMMYFUNCTION("""COMPUTED_VALUE"""),"VD033")</f>
        <v>VD033</v>
      </c>
      <c r="C264" s="1">
        <f>IFERROR(__xludf.DUMMYFUNCTION("""COMPUTED_VALUE"""),16.0)</f>
        <v>16</v>
      </c>
      <c r="D264" s="1">
        <f>IFERROR(__xludf.DUMMYFUNCTION("""COMPUTED_VALUE"""),4161.6)</f>
        <v>4161.6</v>
      </c>
    </row>
    <row r="265">
      <c r="A265" s="1" t="str">
        <f>IFERROR(__xludf.DUMMYFUNCTION("""COMPUTED_VALUE"""),"PR050")</f>
        <v>PR050</v>
      </c>
      <c r="B265" s="1" t="str">
        <f>IFERROR(__xludf.DUMMYFUNCTION("""COMPUTED_VALUE"""),"VD036")</f>
        <v>VD036</v>
      </c>
      <c r="C265" s="1">
        <f>IFERROR(__xludf.DUMMYFUNCTION("""COMPUTED_VALUE"""),10.0)</f>
        <v>10</v>
      </c>
      <c r="D265" s="1">
        <f>IFERROR(__xludf.DUMMYFUNCTION("""COMPUTED_VALUE"""),345.45)</f>
        <v>345.45</v>
      </c>
    </row>
    <row r="266">
      <c r="A266" s="1" t="str">
        <f>IFERROR(__xludf.DUMMYFUNCTION("""COMPUTED_VALUE"""),"PR045")</f>
        <v>PR045</v>
      </c>
      <c r="B266" s="1" t="str">
        <f>IFERROR(__xludf.DUMMYFUNCTION("""COMPUTED_VALUE"""),"VD045")</f>
        <v>VD045</v>
      </c>
      <c r="C266" s="1">
        <f>IFERROR(__xludf.DUMMYFUNCTION("""COMPUTED_VALUE"""),3.0)</f>
        <v>3</v>
      </c>
      <c r="D266" s="1">
        <f>IFERROR(__xludf.DUMMYFUNCTION("""COMPUTED_VALUE"""),237.08)</f>
        <v>237.08</v>
      </c>
    </row>
    <row r="267">
      <c r="A267" s="1" t="str">
        <f>IFERROR(__xludf.DUMMYFUNCTION("""COMPUTED_VALUE"""),"PR053")</f>
        <v>PR053</v>
      </c>
      <c r="B267" s="1" t="str">
        <f>IFERROR(__xludf.DUMMYFUNCTION("""COMPUTED_VALUE"""),"VD022")</f>
        <v>VD022</v>
      </c>
      <c r="C267" s="1">
        <f>IFERROR(__xludf.DUMMYFUNCTION("""COMPUTED_VALUE"""),10.0)</f>
        <v>10</v>
      </c>
      <c r="D267" s="1">
        <f>IFERROR(__xludf.DUMMYFUNCTION("""COMPUTED_VALUE"""),543.91)</f>
        <v>543.91</v>
      </c>
    </row>
    <row r="268">
      <c r="A268" s="1" t="str">
        <f>IFERROR(__xludf.DUMMYFUNCTION("""COMPUTED_VALUE"""),"PR042")</f>
        <v>PR042</v>
      </c>
      <c r="B268" s="1" t="str">
        <f>IFERROR(__xludf.DUMMYFUNCTION("""COMPUTED_VALUE"""),"VD020")</f>
        <v>VD020</v>
      </c>
      <c r="C268" s="1">
        <f>IFERROR(__xludf.DUMMYFUNCTION("""COMPUTED_VALUE"""),3.0)</f>
        <v>3</v>
      </c>
      <c r="D268" s="1">
        <f>IFERROR(__xludf.DUMMYFUNCTION("""COMPUTED_VALUE"""),167.99)</f>
        <v>167.99</v>
      </c>
    </row>
    <row r="269">
      <c r="A269" s="1" t="str">
        <f>IFERROR(__xludf.DUMMYFUNCTION("""COMPUTED_VALUE"""),"PR049")</f>
        <v>PR049</v>
      </c>
      <c r="B269" s="1" t="str">
        <f>IFERROR(__xludf.DUMMYFUNCTION("""COMPUTED_VALUE"""),"VD019")</f>
        <v>VD019</v>
      </c>
      <c r="C269" s="1">
        <f>IFERROR(__xludf.DUMMYFUNCTION("""COMPUTED_VALUE"""),4.0)</f>
        <v>4</v>
      </c>
      <c r="D269" s="1">
        <f>IFERROR(__xludf.DUMMYFUNCTION("""COMPUTED_VALUE"""),132.92)</f>
        <v>132.92</v>
      </c>
    </row>
    <row r="270">
      <c r="A270" s="1" t="str">
        <f>IFERROR(__xludf.DUMMYFUNCTION("""COMPUTED_VALUE"""),"PR045")</f>
        <v>PR045</v>
      </c>
      <c r="B270" s="1" t="str">
        <f>IFERROR(__xludf.DUMMYFUNCTION("""COMPUTED_VALUE"""),"VD015")</f>
        <v>VD015</v>
      </c>
      <c r="C270" s="1">
        <f>IFERROR(__xludf.DUMMYFUNCTION("""COMPUTED_VALUE"""),18.0)</f>
        <v>18</v>
      </c>
      <c r="D270" s="1">
        <f>IFERROR(__xludf.DUMMYFUNCTION("""COMPUTED_VALUE"""),1357.2)</f>
        <v>1357.2</v>
      </c>
    </row>
    <row r="271">
      <c r="A271" s="1" t="str">
        <f>IFERROR(__xludf.DUMMYFUNCTION("""COMPUTED_VALUE"""),"PR037")</f>
        <v>PR037</v>
      </c>
      <c r="B271" s="1" t="str">
        <f>IFERROR(__xludf.DUMMYFUNCTION("""COMPUTED_VALUE"""),"VD029")</f>
        <v>VD029</v>
      </c>
      <c r="C271" s="1">
        <f>IFERROR(__xludf.DUMMYFUNCTION("""COMPUTED_VALUE"""),6.0)</f>
        <v>6</v>
      </c>
      <c r="D271" s="1">
        <f>IFERROR(__xludf.DUMMYFUNCTION("""COMPUTED_VALUE"""),915.6)</f>
        <v>915.6</v>
      </c>
    </row>
    <row r="272">
      <c r="A272" s="1" t="str">
        <f>IFERROR(__xludf.DUMMYFUNCTION("""COMPUTED_VALUE"""),"PR021")</f>
        <v>PR021</v>
      </c>
      <c r="B272" s="1" t="str">
        <f>IFERROR(__xludf.DUMMYFUNCTION("""COMPUTED_VALUE"""),"VD017")</f>
        <v>VD017</v>
      </c>
      <c r="C272" s="1">
        <f>IFERROR(__xludf.DUMMYFUNCTION("""COMPUTED_VALUE"""),10.0)</f>
        <v>10</v>
      </c>
      <c r="D272" s="1">
        <f>IFERROR(__xludf.DUMMYFUNCTION("""COMPUTED_VALUE"""),3331.9)</f>
        <v>3331.9</v>
      </c>
    </row>
    <row r="273">
      <c r="A273" s="1" t="str">
        <f>IFERROR(__xludf.DUMMYFUNCTION("""COMPUTED_VALUE"""),"PR034")</f>
        <v>PR034</v>
      </c>
      <c r="B273" s="1" t="str">
        <f>IFERROR(__xludf.DUMMYFUNCTION("""COMPUTED_VALUE"""),"VD045")</f>
        <v>VD045</v>
      </c>
      <c r="C273" s="1">
        <f>IFERROR(__xludf.DUMMYFUNCTION("""COMPUTED_VALUE"""),8.0)</f>
        <v>8</v>
      </c>
      <c r="D273" s="1">
        <f>IFERROR(__xludf.DUMMYFUNCTION("""COMPUTED_VALUE"""),719.2)</f>
        <v>719.2</v>
      </c>
    </row>
    <row r="274">
      <c r="A274" s="1" t="str">
        <f>IFERROR(__xludf.DUMMYFUNCTION("""COMPUTED_VALUE"""),"PR047")</f>
        <v>PR047</v>
      </c>
      <c r="B274" s="1" t="str">
        <f>IFERROR(__xludf.DUMMYFUNCTION("""COMPUTED_VALUE"""),"VD041")</f>
        <v>VD041</v>
      </c>
      <c r="C274" s="1">
        <f>IFERROR(__xludf.DUMMYFUNCTION("""COMPUTED_VALUE"""),8.0)</f>
        <v>8</v>
      </c>
      <c r="D274" s="1">
        <f>IFERROR(__xludf.DUMMYFUNCTION("""COMPUTED_VALUE"""),2388.78)</f>
        <v>2388.78</v>
      </c>
    </row>
    <row r="275">
      <c r="A275" s="1" t="str">
        <f>IFERROR(__xludf.DUMMYFUNCTION("""COMPUTED_VALUE"""),"PR025")</f>
        <v>PR025</v>
      </c>
      <c r="B275" s="1" t="str">
        <f>IFERROR(__xludf.DUMMYFUNCTION("""COMPUTED_VALUE"""),"VD033")</f>
        <v>VD033</v>
      </c>
      <c r="C275" s="1">
        <f>IFERROR(__xludf.DUMMYFUNCTION("""COMPUTED_VALUE"""),4.0)</f>
        <v>4</v>
      </c>
      <c r="D275" s="1">
        <f>IFERROR(__xludf.DUMMYFUNCTION("""COMPUTED_VALUE"""),1295.57)</f>
        <v>1295.57</v>
      </c>
    </row>
    <row r="276">
      <c r="A276" s="1" t="str">
        <f>IFERROR(__xludf.DUMMYFUNCTION("""COMPUTED_VALUE"""),"PR056")</f>
        <v>PR056</v>
      </c>
      <c r="B276" s="1" t="str">
        <f>IFERROR(__xludf.DUMMYFUNCTION("""COMPUTED_VALUE"""),"VD025")</f>
        <v>VD025</v>
      </c>
      <c r="C276" s="1">
        <f>IFERROR(__xludf.DUMMYFUNCTION("""COMPUTED_VALUE"""),30.0)</f>
        <v>30</v>
      </c>
      <c r="D276" s="1">
        <f>IFERROR(__xludf.DUMMYFUNCTION("""COMPUTED_VALUE"""),2697.0)</f>
        <v>2697</v>
      </c>
    </row>
    <row r="277">
      <c r="A277" s="1" t="str">
        <f>IFERROR(__xludf.DUMMYFUNCTION("""COMPUTED_VALUE"""),"PR017")</f>
        <v>PR017</v>
      </c>
      <c r="B277" s="1" t="str">
        <f>IFERROR(__xludf.DUMMYFUNCTION("""COMPUTED_VALUE"""),"VD014")</f>
        <v>VD014</v>
      </c>
      <c r="C277" s="1">
        <f>IFERROR(__xludf.DUMMYFUNCTION("""COMPUTED_VALUE"""),10.0)</f>
        <v>10</v>
      </c>
      <c r="D277" s="1">
        <f>IFERROR(__xludf.DUMMYFUNCTION("""COMPUTED_VALUE"""),310.96)</f>
        <v>310.96</v>
      </c>
    </row>
    <row r="278">
      <c r="A278" s="1" t="str">
        <f>IFERROR(__xludf.DUMMYFUNCTION("""COMPUTED_VALUE"""),"PR057")</f>
        <v>PR057</v>
      </c>
      <c r="B278" s="1" t="str">
        <f>IFERROR(__xludf.DUMMYFUNCTION("""COMPUTED_VALUE"""),"VD025")</f>
        <v>VD025</v>
      </c>
      <c r="C278" s="1">
        <f>IFERROR(__xludf.DUMMYFUNCTION("""COMPUTED_VALUE"""),3.0)</f>
        <v>3</v>
      </c>
      <c r="D278" s="1">
        <f>IFERROR(__xludf.DUMMYFUNCTION("""COMPUTED_VALUE"""),269.7)</f>
        <v>269.7</v>
      </c>
    </row>
    <row r="279">
      <c r="A279" s="1" t="str">
        <f>IFERROR(__xludf.DUMMYFUNCTION("""COMPUTED_VALUE"""),"PR033")</f>
        <v>PR033</v>
      </c>
      <c r="B279" s="1" t="str">
        <f>IFERROR(__xludf.DUMMYFUNCTION("""COMPUTED_VALUE"""),"VD016")</f>
        <v>VD016</v>
      </c>
      <c r="C279" s="1">
        <f>IFERROR(__xludf.DUMMYFUNCTION("""COMPUTED_VALUE"""),3.0)</f>
        <v>3</v>
      </c>
      <c r="D279" s="1">
        <f>IFERROR(__xludf.DUMMYFUNCTION("""COMPUTED_VALUE"""),818.69)</f>
        <v>818.69</v>
      </c>
    </row>
    <row r="280">
      <c r="A280" s="1" t="str">
        <f>IFERROR(__xludf.DUMMYFUNCTION("""COMPUTED_VALUE"""),"PR029")</f>
        <v>PR029</v>
      </c>
      <c r="B280" s="1" t="str">
        <f>IFERROR(__xludf.DUMMYFUNCTION("""COMPUTED_VALUE"""),"VD038")</f>
        <v>VD038</v>
      </c>
      <c r="C280" s="1">
        <f>IFERROR(__xludf.DUMMYFUNCTION("""COMPUTED_VALUE"""),3.0)</f>
        <v>3</v>
      </c>
      <c r="D280" s="1">
        <f>IFERROR(__xludf.DUMMYFUNCTION("""COMPUTED_VALUE"""),818.55)</f>
        <v>818.55</v>
      </c>
    </row>
    <row r="281">
      <c r="A281" s="1" t="str">
        <f>IFERROR(__xludf.DUMMYFUNCTION("""COMPUTED_VALUE"""),"PR060")</f>
        <v>PR060</v>
      </c>
      <c r="B281" s="1" t="str">
        <f>IFERROR(__xludf.DUMMYFUNCTION("""COMPUTED_VALUE"""),"VD039")</f>
        <v>VD039</v>
      </c>
      <c r="C281" s="1">
        <f>IFERROR(__xludf.DUMMYFUNCTION("""COMPUTED_VALUE"""),7.0)</f>
        <v>7</v>
      </c>
      <c r="D281" s="1">
        <f>IFERROR(__xludf.DUMMYFUNCTION("""COMPUTED_VALUE"""),1386.0)</f>
        <v>1386</v>
      </c>
    </row>
    <row r="282">
      <c r="A282" s="1" t="str">
        <f>IFERROR(__xludf.DUMMYFUNCTION("""COMPUTED_VALUE"""),"PR031")</f>
        <v>PR031</v>
      </c>
      <c r="B282" s="1" t="str">
        <f>IFERROR(__xludf.DUMMYFUNCTION("""COMPUTED_VALUE"""),"VD029")</f>
        <v>VD029</v>
      </c>
      <c r="C282" s="1">
        <f>IFERROR(__xludf.DUMMYFUNCTION("""COMPUTED_VALUE"""),6.0)</f>
        <v>6</v>
      </c>
      <c r="D282" s="1">
        <f>IFERROR(__xludf.DUMMYFUNCTION("""COMPUTED_VALUE"""),1484.7)</f>
        <v>1484.7</v>
      </c>
    </row>
    <row r="283">
      <c r="A283" s="1" t="str">
        <f>IFERROR(__xludf.DUMMYFUNCTION("""COMPUTED_VALUE"""),"PR038")</f>
        <v>PR038</v>
      </c>
      <c r="B283" s="1" t="str">
        <f>IFERROR(__xludf.DUMMYFUNCTION("""COMPUTED_VALUE"""),"VD036")</f>
        <v>VD036</v>
      </c>
      <c r="C283" s="1">
        <f>IFERROR(__xludf.DUMMYFUNCTION("""COMPUTED_VALUE"""),21.0)</f>
        <v>21</v>
      </c>
      <c r="D283" s="1">
        <f>IFERROR(__xludf.DUMMYFUNCTION("""COMPUTED_VALUE"""),3240.97)</f>
        <v>3240.97</v>
      </c>
    </row>
    <row r="284">
      <c r="A284" s="1" t="str">
        <f>IFERROR(__xludf.DUMMYFUNCTION("""COMPUTED_VALUE"""),"PR054")</f>
        <v>PR054</v>
      </c>
      <c r="B284" s="1" t="str">
        <f>IFERROR(__xludf.DUMMYFUNCTION("""COMPUTED_VALUE"""),"VD041")</f>
        <v>VD041</v>
      </c>
      <c r="C284" s="1">
        <f>IFERROR(__xludf.DUMMYFUNCTION("""COMPUTED_VALUE"""),10.0)</f>
        <v>10</v>
      </c>
      <c r="D284" s="1">
        <f>IFERROR(__xludf.DUMMYFUNCTION("""COMPUTED_VALUE"""),499.0)</f>
        <v>499</v>
      </c>
    </row>
    <row r="285">
      <c r="A285" s="1" t="str">
        <f>IFERROR(__xludf.DUMMYFUNCTION("""COMPUTED_VALUE"""),"PR022")</f>
        <v>PR022</v>
      </c>
      <c r="B285" s="1" t="str">
        <f>IFERROR(__xludf.DUMMYFUNCTION("""COMPUTED_VALUE"""),"VD045")</f>
        <v>VD045</v>
      </c>
      <c r="C285" s="1">
        <f>IFERROR(__xludf.DUMMYFUNCTION("""COMPUTED_VALUE"""),1.0)</f>
        <v>1</v>
      </c>
      <c r="D285" s="1">
        <f>IFERROR(__xludf.DUMMYFUNCTION("""COMPUTED_VALUE"""),306.0)</f>
        <v>306</v>
      </c>
    </row>
    <row r="286">
      <c r="A286" s="1" t="str">
        <f>IFERROR(__xludf.DUMMYFUNCTION("""COMPUTED_VALUE"""),"PR034")</f>
        <v>PR034</v>
      </c>
      <c r="B286" s="1" t="str">
        <f>IFERROR(__xludf.DUMMYFUNCTION("""COMPUTED_VALUE"""),"VD033")</f>
        <v>VD033</v>
      </c>
      <c r="C286" s="1">
        <f>IFERROR(__xludf.DUMMYFUNCTION("""COMPUTED_VALUE"""),18.0)</f>
        <v>18</v>
      </c>
      <c r="D286" s="1">
        <f>IFERROR(__xludf.DUMMYFUNCTION("""COMPUTED_VALUE"""),1747.66)</f>
        <v>1747.66</v>
      </c>
    </row>
    <row r="287">
      <c r="A287" s="1" t="str">
        <f>IFERROR(__xludf.DUMMYFUNCTION("""COMPUTED_VALUE"""),"PR010")</f>
        <v>PR010</v>
      </c>
      <c r="B287" s="1" t="str">
        <f>IFERROR(__xludf.DUMMYFUNCTION("""COMPUTED_VALUE"""),"VD034")</f>
        <v>VD034</v>
      </c>
      <c r="C287" s="1">
        <f>IFERROR(__xludf.DUMMYFUNCTION("""COMPUTED_VALUE"""),12.0)</f>
        <v>12</v>
      </c>
      <c r="D287" s="1">
        <f>IFERROR(__xludf.DUMMYFUNCTION("""COMPUTED_VALUE"""),538.8)</f>
        <v>538.8</v>
      </c>
    </row>
    <row r="288">
      <c r="A288" s="1" t="str">
        <f>IFERROR(__xludf.DUMMYFUNCTION("""COMPUTED_VALUE"""),"PR058")</f>
        <v>PR058</v>
      </c>
      <c r="B288" s="1" t="str">
        <f>IFERROR(__xludf.DUMMYFUNCTION("""COMPUTED_VALUE"""),"VD031")</f>
        <v>VD031</v>
      </c>
      <c r="C288" s="1">
        <f>IFERROR(__xludf.DUMMYFUNCTION("""COMPUTED_VALUE"""),10.0)</f>
        <v>10</v>
      </c>
      <c r="D288" s="1">
        <f>IFERROR(__xludf.DUMMYFUNCTION("""COMPUTED_VALUE"""),1890.0)</f>
        <v>1890</v>
      </c>
    </row>
    <row r="289">
      <c r="A289" s="1" t="str">
        <f>IFERROR(__xludf.DUMMYFUNCTION("""COMPUTED_VALUE"""),"PR012")</f>
        <v>PR012</v>
      </c>
      <c r="B289" s="1" t="str">
        <f>IFERROR(__xludf.DUMMYFUNCTION("""COMPUTED_VALUE"""),"VD015")</f>
        <v>VD015</v>
      </c>
      <c r="C289" s="1">
        <f>IFERROR(__xludf.DUMMYFUNCTION("""COMPUTED_VALUE"""),2.0)</f>
        <v>2</v>
      </c>
      <c r="D289" s="1">
        <f>IFERROR(__xludf.DUMMYFUNCTION("""COMPUTED_VALUE"""),103.67)</f>
        <v>103.67</v>
      </c>
    </row>
    <row r="290">
      <c r="A290" s="1" t="str">
        <f>IFERROR(__xludf.DUMMYFUNCTION("""COMPUTED_VALUE"""),"PR004")</f>
        <v>PR004</v>
      </c>
      <c r="B290" s="1" t="str">
        <f>IFERROR(__xludf.DUMMYFUNCTION("""COMPUTED_VALUE"""),"VD031")</f>
        <v>VD031</v>
      </c>
      <c r="C290" s="1">
        <f>IFERROR(__xludf.DUMMYFUNCTION("""COMPUTED_VALUE"""),1.0)</f>
        <v>1</v>
      </c>
      <c r="D290" s="1">
        <f>IFERROR(__xludf.DUMMYFUNCTION("""COMPUTED_VALUE"""),149.35)</f>
        <v>149.35</v>
      </c>
    </row>
    <row r="291">
      <c r="A291" s="1" t="str">
        <f>IFERROR(__xludf.DUMMYFUNCTION("""COMPUTED_VALUE"""),"PR027")</f>
        <v>PR027</v>
      </c>
      <c r="B291" s="1" t="str">
        <f>IFERROR(__xludf.DUMMYFUNCTION("""COMPUTED_VALUE"""),"VD030")</f>
        <v>VD030</v>
      </c>
      <c r="C291" s="1">
        <f>IFERROR(__xludf.DUMMYFUNCTION("""COMPUTED_VALUE"""),6.0)</f>
        <v>6</v>
      </c>
      <c r="D291" s="1">
        <f>IFERROR(__xludf.DUMMYFUNCTION("""COMPUTED_VALUE"""),770.4)</f>
        <v>770.4</v>
      </c>
    </row>
    <row r="292">
      <c r="A292" s="1" t="str">
        <f>IFERROR(__xludf.DUMMYFUNCTION("""COMPUTED_VALUE"""),"PR020")</f>
        <v>PR020</v>
      </c>
      <c r="B292" s="1" t="str">
        <f>IFERROR(__xludf.DUMMYFUNCTION("""COMPUTED_VALUE"""),"VD032")</f>
        <v>VD032</v>
      </c>
      <c r="C292" s="1">
        <f>IFERROR(__xludf.DUMMYFUNCTION("""COMPUTED_VALUE"""),18.0)</f>
        <v>18</v>
      </c>
      <c r="D292" s="1">
        <f>IFERROR(__xludf.DUMMYFUNCTION("""COMPUTED_VALUE"""),5668.11)</f>
        <v>5668.11</v>
      </c>
    </row>
    <row r="293">
      <c r="A293" s="1" t="str">
        <f>IFERROR(__xludf.DUMMYFUNCTION("""COMPUTED_VALUE"""),"PR016")</f>
        <v>PR016</v>
      </c>
      <c r="B293" s="1" t="str">
        <f>IFERROR(__xludf.DUMMYFUNCTION("""COMPUTED_VALUE"""),"VD032")</f>
        <v>VD032</v>
      </c>
      <c r="C293" s="1">
        <f>IFERROR(__xludf.DUMMYFUNCTION("""COMPUTED_VALUE"""),12.0)</f>
        <v>12</v>
      </c>
      <c r="D293" s="1">
        <f>IFERROR(__xludf.DUMMYFUNCTION("""COMPUTED_VALUE"""),320.12)</f>
        <v>320.12</v>
      </c>
    </row>
    <row r="294">
      <c r="A294" s="1" t="str">
        <f>IFERROR(__xludf.DUMMYFUNCTION("""COMPUTED_VALUE"""),"PR056")</f>
        <v>PR056</v>
      </c>
      <c r="B294" s="1" t="str">
        <f>IFERROR(__xludf.DUMMYFUNCTION("""COMPUTED_VALUE"""),"VD015")</f>
        <v>VD015</v>
      </c>
      <c r="C294" s="1">
        <f>IFERROR(__xludf.DUMMYFUNCTION("""COMPUTED_VALUE"""),1.0)</f>
        <v>1</v>
      </c>
      <c r="D294" s="1">
        <f>IFERROR(__xludf.DUMMYFUNCTION("""COMPUTED_VALUE"""),96.19)</f>
        <v>96.19</v>
      </c>
    </row>
    <row r="295">
      <c r="A295" s="1" t="str">
        <f>IFERROR(__xludf.DUMMYFUNCTION("""COMPUTED_VALUE"""),"PR017")</f>
        <v>PR017</v>
      </c>
      <c r="B295" s="1" t="str">
        <f>IFERROR(__xludf.DUMMYFUNCTION("""COMPUTED_VALUE"""),"VD016")</f>
        <v>VD016</v>
      </c>
      <c r="C295" s="1">
        <f>IFERROR(__xludf.DUMMYFUNCTION("""COMPUTED_VALUE"""),8.0)</f>
        <v>8</v>
      </c>
      <c r="D295" s="1">
        <f>IFERROR(__xludf.DUMMYFUNCTION("""COMPUTED_VALUE"""),241.59)</f>
        <v>241.59</v>
      </c>
    </row>
    <row r="296">
      <c r="A296" s="1" t="str">
        <f>IFERROR(__xludf.DUMMYFUNCTION("""COMPUTED_VALUE"""),"PR001")</f>
        <v>PR001</v>
      </c>
      <c r="B296" s="1" t="str">
        <f>IFERROR(__xludf.DUMMYFUNCTION("""COMPUTED_VALUE"""),"VD044")</f>
        <v>VD044</v>
      </c>
      <c r="C296" s="1">
        <f>IFERROR(__xludf.DUMMYFUNCTION("""COMPUTED_VALUE"""),6.0)</f>
        <v>6</v>
      </c>
      <c r="D296" s="1">
        <f>IFERROR(__xludf.DUMMYFUNCTION("""COMPUTED_VALUE"""),403.31)</f>
        <v>403.31</v>
      </c>
    </row>
    <row r="297">
      <c r="A297" s="1" t="str">
        <f>IFERROR(__xludf.DUMMYFUNCTION("""COMPUTED_VALUE"""),"PR059")</f>
        <v>PR059</v>
      </c>
      <c r="B297" s="1" t="str">
        <f>IFERROR(__xludf.DUMMYFUNCTION("""COMPUTED_VALUE"""),"VD042")</f>
        <v>VD042</v>
      </c>
      <c r="C297" s="1">
        <f>IFERROR(__xludf.DUMMYFUNCTION("""COMPUTED_VALUE"""),21.0)</f>
        <v>21</v>
      </c>
      <c r="D297" s="1">
        <f>IFERROR(__xludf.DUMMYFUNCTION("""COMPUTED_VALUE"""),3817.8)</f>
        <v>3817.8</v>
      </c>
    </row>
    <row r="298">
      <c r="A298" s="1" t="str">
        <f>IFERROR(__xludf.DUMMYFUNCTION("""COMPUTED_VALUE"""),"PR039")</f>
        <v>PR039</v>
      </c>
      <c r="B298" s="1" t="str">
        <f>IFERROR(__xludf.DUMMYFUNCTION("""COMPUTED_VALUE"""),"VD013")</f>
        <v>VD013</v>
      </c>
      <c r="C298" s="1">
        <f>IFERROR(__xludf.DUMMYFUNCTION("""COMPUTED_VALUE"""),3.0)</f>
        <v>3</v>
      </c>
      <c r="D298" s="1">
        <f>IFERROR(__xludf.DUMMYFUNCTION("""COMPUTED_VALUE"""),438.0)</f>
        <v>438</v>
      </c>
    </row>
    <row r="299">
      <c r="A299" s="1" t="str">
        <f>IFERROR(__xludf.DUMMYFUNCTION("""COMPUTED_VALUE"""),"PR035")</f>
        <v>PR035</v>
      </c>
      <c r="B299" s="1" t="str">
        <f>IFERROR(__xludf.DUMMYFUNCTION("""COMPUTED_VALUE"""),"VD011")</f>
        <v>VD011</v>
      </c>
      <c r="C299" s="1">
        <f>IFERROR(__xludf.DUMMYFUNCTION("""COMPUTED_VALUE"""),4.0)</f>
        <v>4</v>
      </c>
      <c r="D299" s="1">
        <f>IFERROR(__xludf.DUMMYFUNCTION("""COMPUTED_VALUE"""),383.88)</f>
        <v>383.88</v>
      </c>
    </row>
    <row r="300">
      <c r="A300" s="1" t="str">
        <f>IFERROR(__xludf.DUMMYFUNCTION("""COMPUTED_VALUE"""),"PR051")</f>
        <v>PR051</v>
      </c>
      <c r="B300" s="1" t="str">
        <f>IFERROR(__xludf.DUMMYFUNCTION("""COMPUTED_VALUE"""),"VD041")</f>
        <v>VD041</v>
      </c>
      <c r="C300" s="1">
        <f>IFERROR(__xludf.DUMMYFUNCTION("""COMPUTED_VALUE"""),30.0)</f>
        <v>30</v>
      </c>
      <c r="D300" s="1">
        <f>IFERROR(__xludf.DUMMYFUNCTION("""COMPUTED_VALUE"""),1026.48)</f>
        <v>1026.48</v>
      </c>
    </row>
    <row r="301">
      <c r="A301" s="1" t="str">
        <f>IFERROR(__xludf.DUMMYFUNCTION("""COMPUTED_VALUE"""),"PR047")</f>
        <v>PR047</v>
      </c>
      <c r="B301" s="1" t="str">
        <f>IFERROR(__xludf.DUMMYFUNCTION("""COMPUTED_VALUE"""),"VD034")</f>
        <v>VD034</v>
      </c>
      <c r="C301" s="1">
        <f>IFERROR(__xludf.DUMMYFUNCTION("""COMPUTED_VALUE"""),6.0)</f>
        <v>6</v>
      </c>
      <c r="D301" s="1">
        <f>IFERROR(__xludf.DUMMYFUNCTION("""COMPUTED_VALUE"""),1774.19)</f>
        <v>1774.19</v>
      </c>
    </row>
    <row r="302">
      <c r="A302" s="1" t="str">
        <f>IFERROR(__xludf.DUMMYFUNCTION("""COMPUTED_VALUE"""),"PR008")</f>
        <v>PR008</v>
      </c>
      <c r="B302" s="1" t="str">
        <f>IFERROR(__xludf.DUMMYFUNCTION("""COMPUTED_VALUE"""),"VD025")</f>
        <v>VD025</v>
      </c>
      <c r="C302" s="1">
        <f>IFERROR(__xludf.DUMMYFUNCTION("""COMPUTED_VALUE"""),12.0)</f>
        <v>12</v>
      </c>
      <c r="D302" s="1">
        <f>IFERROR(__xludf.DUMMYFUNCTION("""COMPUTED_VALUE"""),1121.95)</f>
        <v>1121.95</v>
      </c>
    </row>
    <row r="303">
      <c r="A303" s="1" t="str">
        <f>IFERROR(__xludf.DUMMYFUNCTION("""COMPUTED_VALUE"""),"PR045")</f>
        <v>PR045</v>
      </c>
      <c r="B303" s="1" t="str">
        <f>IFERROR(__xludf.DUMMYFUNCTION("""COMPUTED_VALUE"""),"VD035")</f>
        <v>VD035</v>
      </c>
      <c r="C303" s="1">
        <f>IFERROR(__xludf.DUMMYFUNCTION("""COMPUTED_VALUE"""),8.0)</f>
        <v>8</v>
      </c>
      <c r="D303" s="1">
        <f>IFERROR(__xludf.DUMMYFUNCTION("""COMPUTED_VALUE"""),609.0)</f>
        <v>609</v>
      </c>
    </row>
    <row r="304">
      <c r="A304" s="1" t="str">
        <f>IFERROR(__xludf.DUMMYFUNCTION("""COMPUTED_VALUE"""),"PR029")</f>
        <v>PR029</v>
      </c>
      <c r="B304" s="1" t="str">
        <f>IFERROR(__xludf.DUMMYFUNCTION("""COMPUTED_VALUE"""),"VD043")</f>
        <v>VD043</v>
      </c>
      <c r="C304" s="1">
        <f>IFERROR(__xludf.DUMMYFUNCTION("""COMPUTED_VALUE"""),21.0)</f>
        <v>21</v>
      </c>
      <c r="D304" s="1">
        <f>IFERROR(__xludf.DUMMYFUNCTION("""COMPUTED_VALUE"""),5462.1)</f>
        <v>5462.1</v>
      </c>
    </row>
    <row r="305">
      <c r="A305" s="1" t="str">
        <f>IFERROR(__xludf.DUMMYFUNCTION("""COMPUTED_VALUE"""),"PR054")</f>
        <v>PR054</v>
      </c>
      <c r="B305" s="1" t="str">
        <f>IFERROR(__xludf.DUMMYFUNCTION("""COMPUTED_VALUE"""),"VD015")</f>
        <v>VD015</v>
      </c>
      <c r="C305" s="1">
        <f>IFERROR(__xludf.DUMMYFUNCTION("""COMPUTED_VALUE"""),2.0)</f>
        <v>2</v>
      </c>
      <c r="D305" s="1">
        <f>IFERROR(__xludf.DUMMYFUNCTION("""COMPUTED_VALUE"""),105.79)</f>
        <v>105.79</v>
      </c>
    </row>
    <row r="306">
      <c r="A306" s="1" t="str">
        <f>IFERROR(__xludf.DUMMYFUNCTION("""COMPUTED_VALUE"""),"PR033")</f>
        <v>PR033</v>
      </c>
      <c r="B306" s="1" t="str">
        <f>IFERROR(__xludf.DUMMYFUNCTION("""COMPUTED_VALUE"""),"VD025")</f>
        <v>VD025</v>
      </c>
      <c r="C306" s="1">
        <f>IFERROR(__xludf.DUMMYFUNCTION("""COMPUTED_VALUE"""),4.0)</f>
        <v>4</v>
      </c>
      <c r="D306" s="1">
        <f>IFERROR(__xludf.DUMMYFUNCTION("""COMPUTED_VALUE"""),1133.16)</f>
        <v>1133.16</v>
      </c>
    </row>
    <row r="307">
      <c r="A307" s="1" t="str">
        <f>IFERROR(__xludf.DUMMYFUNCTION("""COMPUTED_VALUE"""),"PR001")</f>
        <v>PR001</v>
      </c>
      <c r="B307" s="1" t="str">
        <f>IFERROR(__xludf.DUMMYFUNCTION("""COMPUTED_VALUE"""),"VD021")</f>
        <v>VD021</v>
      </c>
      <c r="C307" s="1">
        <f>IFERROR(__xludf.DUMMYFUNCTION("""COMPUTED_VALUE"""),6.0)</f>
        <v>6</v>
      </c>
      <c r="D307" s="1">
        <f>IFERROR(__xludf.DUMMYFUNCTION("""COMPUTED_VALUE"""),430.99)</f>
        <v>430.99</v>
      </c>
    </row>
    <row r="308">
      <c r="A308" s="1" t="str">
        <f>IFERROR(__xludf.DUMMYFUNCTION("""COMPUTED_VALUE"""),"PR010")</f>
        <v>PR010</v>
      </c>
      <c r="B308" s="1" t="str">
        <f>IFERROR(__xludf.DUMMYFUNCTION("""COMPUTED_VALUE"""),"VD029")</f>
        <v>VD029</v>
      </c>
      <c r="C308" s="1">
        <f>IFERROR(__xludf.DUMMYFUNCTION("""COMPUTED_VALUE"""),3.0)</f>
        <v>3</v>
      </c>
      <c r="D308" s="1">
        <f>IFERROR(__xludf.DUMMYFUNCTION("""COMPUTED_VALUE"""),134.7)</f>
        <v>134.7</v>
      </c>
    </row>
    <row r="309">
      <c r="A309" s="1" t="str">
        <f>IFERROR(__xludf.DUMMYFUNCTION("""COMPUTED_VALUE"""),"PR005")</f>
        <v>PR005</v>
      </c>
      <c r="B309" s="1" t="str">
        <f>IFERROR(__xludf.DUMMYFUNCTION("""COMPUTED_VALUE"""),"VD038")</f>
        <v>VD038</v>
      </c>
      <c r="C309" s="1">
        <f>IFERROR(__xludf.DUMMYFUNCTION("""COMPUTED_VALUE"""),10.0)</f>
        <v>10</v>
      </c>
      <c r="D309" s="1">
        <f>IFERROR(__xludf.DUMMYFUNCTION("""COMPUTED_VALUE"""),2728.95)</f>
        <v>2728.95</v>
      </c>
    </row>
    <row r="310">
      <c r="A310" s="1" t="str">
        <f>IFERROR(__xludf.DUMMYFUNCTION("""COMPUTED_VALUE"""),"PR040")</f>
        <v>PR040</v>
      </c>
      <c r="B310" s="1" t="str">
        <f>IFERROR(__xludf.DUMMYFUNCTION("""COMPUTED_VALUE"""),"VD045")</f>
        <v>VD045</v>
      </c>
      <c r="C310" s="1">
        <f>IFERROR(__xludf.DUMMYFUNCTION("""COMPUTED_VALUE"""),21.0)</f>
        <v>21</v>
      </c>
      <c r="D310" s="1">
        <f>IFERROR(__xludf.DUMMYFUNCTION("""COMPUTED_VALUE"""),1543.5)</f>
        <v>1543.5</v>
      </c>
    </row>
    <row r="311">
      <c r="A311" s="1" t="str">
        <f>IFERROR(__xludf.DUMMYFUNCTION("""COMPUTED_VALUE"""),"PR017")</f>
        <v>PR017</v>
      </c>
      <c r="B311" s="1" t="str">
        <f>IFERROR(__xludf.DUMMYFUNCTION("""COMPUTED_VALUE"""),"VD029")</f>
        <v>VD029</v>
      </c>
      <c r="C311" s="1">
        <f>IFERROR(__xludf.DUMMYFUNCTION("""COMPUTED_VALUE"""),27.0)</f>
        <v>27</v>
      </c>
      <c r="D311" s="1">
        <f>IFERROR(__xludf.DUMMYFUNCTION("""COMPUTED_VALUE"""),815.37)</f>
        <v>815.37</v>
      </c>
    </row>
    <row r="312">
      <c r="A312" s="1" t="str">
        <f>IFERROR(__xludf.DUMMYFUNCTION("""COMPUTED_VALUE"""),"PR045")</f>
        <v>PR045</v>
      </c>
      <c r="B312" s="1" t="str">
        <f>IFERROR(__xludf.DUMMYFUNCTION("""COMPUTED_VALUE"""),"VD041")</f>
        <v>VD041</v>
      </c>
      <c r="C312" s="1">
        <f>IFERROR(__xludf.DUMMYFUNCTION("""COMPUTED_VALUE"""),10.0)</f>
        <v>10</v>
      </c>
      <c r="D312" s="1">
        <f>IFERROR(__xludf.DUMMYFUNCTION("""COMPUTED_VALUE"""),768.5)</f>
        <v>768.5</v>
      </c>
    </row>
    <row r="313">
      <c r="A313" s="1" t="str">
        <f>IFERROR(__xludf.DUMMYFUNCTION("""COMPUTED_VALUE"""),"PR014")</f>
        <v>PR014</v>
      </c>
      <c r="B313" s="1" t="str">
        <f>IFERROR(__xludf.DUMMYFUNCTION("""COMPUTED_VALUE"""),"VD018")</f>
        <v>VD018</v>
      </c>
      <c r="C313" s="1">
        <f>IFERROR(__xludf.DUMMYFUNCTION("""COMPUTED_VALUE"""),27.0)</f>
        <v>27</v>
      </c>
      <c r="D313" s="1">
        <f>IFERROR(__xludf.DUMMYFUNCTION("""COMPUTED_VALUE"""),1141.94)</f>
        <v>1141.94</v>
      </c>
    </row>
    <row r="314">
      <c r="A314" s="1" t="str">
        <f>IFERROR(__xludf.DUMMYFUNCTION("""COMPUTED_VALUE"""),"PR028")</f>
        <v>PR028</v>
      </c>
      <c r="B314" s="1" t="str">
        <f>IFERROR(__xludf.DUMMYFUNCTION("""COMPUTED_VALUE"""),"VD015")</f>
        <v>VD015</v>
      </c>
      <c r="C314" s="1">
        <f>IFERROR(__xludf.DUMMYFUNCTION("""COMPUTED_VALUE"""),15.0)</f>
        <v>15</v>
      </c>
      <c r="D314" s="1">
        <f>IFERROR(__xludf.DUMMYFUNCTION("""COMPUTED_VALUE"""),3785.99)</f>
        <v>3785.99</v>
      </c>
    </row>
    <row r="315">
      <c r="A315" s="1" t="str">
        <f>IFERROR(__xludf.DUMMYFUNCTION("""COMPUTED_VALUE"""),"PR046")</f>
        <v>PR046</v>
      </c>
      <c r="B315" s="1" t="str">
        <f>IFERROR(__xludf.DUMMYFUNCTION("""COMPUTED_VALUE"""),"VD021")</f>
        <v>VD021</v>
      </c>
      <c r="C315" s="1">
        <f>IFERROR(__xludf.DUMMYFUNCTION("""COMPUTED_VALUE"""),14.0)</f>
        <v>14</v>
      </c>
      <c r="D315" s="1">
        <f>IFERROR(__xludf.DUMMYFUNCTION("""COMPUTED_VALUE"""),4180.36)</f>
        <v>4180.36</v>
      </c>
    </row>
    <row r="316">
      <c r="A316" s="1" t="str">
        <f>IFERROR(__xludf.DUMMYFUNCTION("""COMPUTED_VALUE"""),"PR043")</f>
        <v>PR043</v>
      </c>
      <c r="B316" s="1" t="str">
        <f>IFERROR(__xludf.DUMMYFUNCTION("""COMPUTED_VALUE"""),"VD015")</f>
        <v>VD015</v>
      </c>
      <c r="C316" s="1">
        <f>IFERROR(__xludf.DUMMYFUNCTION("""COMPUTED_VALUE"""),20.0)</f>
        <v>20</v>
      </c>
      <c r="D316" s="1">
        <f>IFERROR(__xludf.DUMMYFUNCTION("""COMPUTED_VALUE"""),1595.0)</f>
        <v>1595</v>
      </c>
    </row>
    <row r="317">
      <c r="A317" s="1" t="str">
        <f>IFERROR(__xludf.DUMMYFUNCTION("""COMPUTED_VALUE"""),"PR030")</f>
        <v>PR030</v>
      </c>
      <c r="B317" s="1" t="str">
        <f>IFERROR(__xludf.DUMMYFUNCTION("""COMPUTED_VALUE"""),"VD017")</f>
        <v>VD017</v>
      </c>
      <c r="C317" s="1">
        <f>IFERROR(__xludf.DUMMYFUNCTION("""COMPUTED_VALUE"""),18.0)</f>
        <v>18</v>
      </c>
      <c r="D317" s="1">
        <f>IFERROR(__xludf.DUMMYFUNCTION("""COMPUTED_VALUE"""),4865.33)</f>
        <v>4865.33</v>
      </c>
    </row>
    <row r="318">
      <c r="A318" s="1" t="str">
        <f>IFERROR(__xludf.DUMMYFUNCTION("""COMPUTED_VALUE"""),"PR047")</f>
        <v>PR047</v>
      </c>
      <c r="B318" s="1" t="str">
        <f>IFERROR(__xludf.DUMMYFUNCTION("""COMPUTED_VALUE"""),"VD024")</f>
        <v>VD024</v>
      </c>
      <c r="C318" s="1">
        <f>IFERROR(__xludf.DUMMYFUNCTION("""COMPUTED_VALUE"""),24.0)</f>
        <v>24</v>
      </c>
      <c r="D318" s="1">
        <f>IFERROR(__xludf.DUMMYFUNCTION("""COMPUTED_VALUE"""),7027.18)</f>
        <v>7027.18</v>
      </c>
    </row>
    <row r="319">
      <c r="A319" s="1" t="str">
        <f>IFERROR(__xludf.DUMMYFUNCTION("""COMPUTED_VALUE"""),"PR010")</f>
        <v>PR010</v>
      </c>
      <c r="B319" s="1" t="str">
        <f>IFERROR(__xludf.DUMMYFUNCTION("""COMPUTED_VALUE"""),"VD028")</f>
        <v>VD028</v>
      </c>
      <c r="C319" s="1">
        <f>IFERROR(__xludf.DUMMYFUNCTION("""COMPUTED_VALUE"""),2.0)</f>
        <v>2</v>
      </c>
      <c r="D319" s="1">
        <f>IFERROR(__xludf.DUMMYFUNCTION("""COMPUTED_VALUE"""),95.19)</f>
        <v>95.19</v>
      </c>
    </row>
    <row r="320">
      <c r="A320" s="1" t="str">
        <f>IFERROR(__xludf.DUMMYFUNCTION("""COMPUTED_VALUE"""),"PR001")</f>
        <v>PR001</v>
      </c>
      <c r="B320" s="1" t="str">
        <f>IFERROR(__xludf.DUMMYFUNCTION("""COMPUTED_VALUE"""),"VD035")</f>
        <v>VD035</v>
      </c>
      <c r="C320" s="1">
        <f>IFERROR(__xludf.DUMMYFUNCTION("""COMPUTED_VALUE"""),1.0)</f>
        <v>1</v>
      </c>
      <c r="D320" s="1">
        <f>IFERROR(__xludf.DUMMYFUNCTION("""COMPUTED_VALUE"""),72.49)</f>
        <v>72.49</v>
      </c>
    </row>
    <row r="321">
      <c r="A321" s="1" t="str">
        <f>IFERROR(__xludf.DUMMYFUNCTION("""COMPUTED_VALUE"""),"PR014")</f>
        <v>PR014</v>
      </c>
      <c r="B321" s="1" t="str">
        <f>IFERROR(__xludf.DUMMYFUNCTION("""COMPUTED_VALUE"""),"VD030")</f>
        <v>VD030</v>
      </c>
      <c r="C321" s="1">
        <f>IFERROR(__xludf.DUMMYFUNCTION("""COMPUTED_VALUE"""),9.0)</f>
        <v>9</v>
      </c>
      <c r="D321" s="1">
        <f>IFERROR(__xludf.DUMMYFUNCTION("""COMPUTED_VALUE"""),377.06)</f>
        <v>377.06</v>
      </c>
    </row>
    <row r="322">
      <c r="A322" s="1" t="str">
        <f>IFERROR(__xludf.DUMMYFUNCTION("""COMPUTED_VALUE"""),"PR041")</f>
        <v>PR041</v>
      </c>
      <c r="B322" s="1" t="str">
        <f>IFERROR(__xludf.DUMMYFUNCTION("""COMPUTED_VALUE"""),"VD042")</f>
        <v>VD042</v>
      </c>
      <c r="C322" s="1">
        <f>IFERROR(__xludf.DUMMYFUNCTION("""COMPUTED_VALUE"""),2.0)</f>
        <v>2</v>
      </c>
      <c r="D322" s="1">
        <f>IFERROR(__xludf.DUMMYFUNCTION("""COMPUTED_VALUE"""),109.8)</f>
        <v>109.8</v>
      </c>
    </row>
    <row r="323">
      <c r="A323" s="1" t="str">
        <f>IFERROR(__xludf.DUMMYFUNCTION("""COMPUTED_VALUE"""),"PR037")</f>
        <v>PR037</v>
      </c>
      <c r="B323" s="1" t="str">
        <f>IFERROR(__xludf.DUMMYFUNCTION("""COMPUTED_VALUE"""),"VD028")</f>
        <v>VD028</v>
      </c>
      <c r="C323" s="1">
        <f>IFERROR(__xludf.DUMMYFUNCTION("""COMPUTED_VALUE"""),8.0)</f>
        <v>8</v>
      </c>
      <c r="D323" s="1">
        <f>IFERROR(__xludf.DUMMYFUNCTION("""COMPUTED_VALUE"""),1187.2)</f>
        <v>1187.2</v>
      </c>
    </row>
    <row r="324">
      <c r="A324" s="1" t="str">
        <f>IFERROR(__xludf.DUMMYFUNCTION("""COMPUTED_VALUE"""),"PR003")</f>
        <v>PR003</v>
      </c>
      <c r="B324" s="1" t="str">
        <f>IFERROR(__xludf.DUMMYFUNCTION("""COMPUTED_VALUE"""),"VD048")</f>
        <v>VD048</v>
      </c>
      <c r="C324" s="1">
        <f>IFERROR(__xludf.DUMMYFUNCTION("""COMPUTED_VALUE"""),3.0)</f>
        <v>3</v>
      </c>
      <c r="D324" s="1">
        <f>IFERROR(__xludf.DUMMYFUNCTION("""COMPUTED_VALUE"""),227.59)</f>
        <v>227.59</v>
      </c>
    </row>
    <row r="325">
      <c r="A325" s="1" t="str">
        <f>IFERROR(__xludf.DUMMYFUNCTION("""COMPUTED_VALUE"""),"PR006")</f>
        <v>PR006</v>
      </c>
      <c r="B325" s="1" t="str">
        <f>IFERROR(__xludf.DUMMYFUNCTION("""COMPUTED_VALUE"""),"VD012")</f>
        <v>VD012</v>
      </c>
      <c r="C325" s="1">
        <f>IFERROR(__xludf.DUMMYFUNCTION("""COMPUTED_VALUE"""),3.0)</f>
        <v>3</v>
      </c>
      <c r="D325" s="1">
        <f>IFERROR(__xludf.DUMMYFUNCTION("""COMPUTED_VALUE"""),122.09)</f>
        <v>122.09</v>
      </c>
    </row>
    <row r="326">
      <c r="A326" s="1" t="str">
        <f>IFERROR(__xludf.DUMMYFUNCTION("""COMPUTED_VALUE"""),"PR012")</f>
        <v>PR012</v>
      </c>
      <c r="B326" s="1" t="str">
        <f>IFERROR(__xludf.DUMMYFUNCTION("""COMPUTED_VALUE"""),"VD023")</f>
        <v>VD023</v>
      </c>
      <c r="C326" s="1">
        <f>IFERROR(__xludf.DUMMYFUNCTION("""COMPUTED_VALUE"""),16.0)</f>
        <v>16</v>
      </c>
      <c r="D326" s="1">
        <f>IFERROR(__xludf.DUMMYFUNCTION("""COMPUTED_VALUE"""),805.87)</f>
        <v>805.87</v>
      </c>
    </row>
    <row r="327">
      <c r="A327" s="1" t="str">
        <f>IFERROR(__xludf.DUMMYFUNCTION("""COMPUTED_VALUE"""),"PR028")</f>
        <v>PR028</v>
      </c>
      <c r="B327" s="1" t="str">
        <f>IFERROR(__xludf.DUMMYFUNCTION("""COMPUTED_VALUE"""),"VD015")</f>
        <v>VD015</v>
      </c>
      <c r="C327" s="1">
        <f>IFERROR(__xludf.DUMMYFUNCTION("""COMPUTED_VALUE"""),2.0)</f>
        <v>2</v>
      </c>
      <c r="D327" s="1">
        <f>IFERROR(__xludf.DUMMYFUNCTION("""COMPUTED_VALUE"""),549.78)</f>
        <v>549.78</v>
      </c>
    </row>
    <row r="328">
      <c r="A328" s="1" t="str">
        <f>IFERROR(__xludf.DUMMYFUNCTION("""COMPUTED_VALUE"""),"PR043")</f>
        <v>PR043</v>
      </c>
      <c r="B328" s="1" t="str">
        <f>IFERROR(__xludf.DUMMYFUNCTION("""COMPUTED_VALUE"""),"VD031")</f>
        <v>VD031</v>
      </c>
      <c r="C328" s="1">
        <f>IFERROR(__xludf.DUMMYFUNCTION("""COMPUTED_VALUE"""),6.0)</f>
        <v>6</v>
      </c>
      <c r="D328" s="1">
        <f>IFERROR(__xludf.DUMMYFUNCTION("""COMPUTED_VALUE"""),443.7)</f>
        <v>443.7</v>
      </c>
    </row>
    <row r="329">
      <c r="A329" s="1" t="str">
        <f>IFERROR(__xludf.DUMMYFUNCTION("""COMPUTED_VALUE"""),"PR031")</f>
        <v>PR031</v>
      </c>
      <c r="B329" s="1" t="str">
        <f>IFERROR(__xludf.DUMMYFUNCTION("""COMPUTED_VALUE"""),"VD023")</f>
        <v>VD023</v>
      </c>
      <c r="C329" s="1">
        <f>IFERROR(__xludf.DUMMYFUNCTION("""COMPUTED_VALUE"""),8.0)</f>
        <v>8</v>
      </c>
      <c r="D329" s="1">
        <f>IFERROR(__xludf.DUMMYFUNCTION("""COMPUTED_VALUE"""),1999.2)</f>
        <v>1999.2</v>
      </c>
    </row>
    <row r="330">
      <c r="A330" s="1" t="str">
        <f>IFERROR(__xludf.DUMMYFUNCTION("""COMPUTED_VALUE"""),"PR005")</f>
        <v>PR005</v>
      </c>
      <c r="B330" s="1" t="str">
        <f>IFERROR(__xludf.DUMMYFUNCTION("""COMPUTED_VALUE"""),"VD030")</f>
        <v>VD030</v>
      </c>
      <c r="C330" s="1">
        <f>IFERROR(__xludf.DUMMYFUNCTION("""COMPUTED_VALUE"""),15.0)</f>
        <v>15</v>
      </c>
      <c r="D330" s="1">
        <f>IFERROR(__xludf.DUMMYFUNCTION("""COMPUTED_VALUE"""),4210.38)</f>
        <v>4210.38</v>
      </c>
    </row>
    <row r="331">
      <c r="A331" s="1" t="str">
        <f>IFERROR(__xludf.DUMMYFUNCTION("""COMPUTED_VALUE"""),"PR051")</f>
        <v>PR051</v>
      </c>
      <c r="B331" s="1" t="str">
        <f>IFERROR(__xludf.DUMMYFUNCTION("""COMPUTED_VALUE"""),"VD041")</f>
        <v>VD041</v>
      </c>
      <c r="C331" s="1">
        <f>IFERROR(__xludf.DUMMYFUNCTION("""COMPUTED_VALUE"""),5.0)</f>
        <v>5</v>
      </c>
      <c r="D331" s="1">
        <f>IFERROR(__xludf.DUMMYFUNCTION("""COMPUTED_VALUE"""),171.08)</f>
        <v>171.08</v>
      </c>
    </row>
    <row r="332">
      <c r="A332" s="1" t="str">
        <f>IFERROR(__xludf.DUMMYFUNCTION("""COMPUTED_VALUE"""),"PR018")</f>
        <v>PR018</v>
      </c>
      <c r="B332" s="1" t="str">
        <f>IFERROR(__xludf.DUMMYFUNCTION("""COMPUTED_VALUE"""),"VD028")</f>
        <v>VD028</v>
      </c>
      <c r="C332" s="1">
        <f>IFERROR(__xludf.DUMMYFUNCTION("""COMPUTED_VALUE"""),12.0)</f>
        <v>12</v>
      </c>
      <c r="D332" s="1">
        <f>IFERROR(__xludf.DUMMYFUNCTION("""COMPUTED_VALUE"""),430.33)</f>
        <v>430.33</v>
      </c>
    </row>
    <row r="333">
      <c r="A333" s="1" t="str">
        <f>IFERROR(__xludf.DUMMYFUNCTION("""COMPUTED_VALUE"""),"PR016")</f>
        <v>PR016</v>
      </c>
      <c r="B333" s="1" t="str">
        <f>IFERROR(__xludf.DUMMYFUNCTION("""COMPUTED_VALUE"""),"VD042")</f>
        <v>VD042</v>
      </c>
      <c r="C333" s="1">
        <f>IFERROR(__xludf.DUMMYFUNCTION("""COMPUTED_VALUE"""),5.0)</f>
        <v>5</v>
      </c>
      <c r="D333" s="1">
        <f>IFERROR(__xludf.DUMMYFUNCTION("""COMPUTED_VALUE"""),138.57)</f>
        <v>138.57</v>
      </c>
    </row>
    <row r="334">
      <c r="A334" s="1" t="str">
        <f>IFERROR(__xludf.DUMMYFUNCTION("""COMPUTED_VALUE"""),"PR048")</f>
        <v>PR048</v>
      </c>
      <c r="B334" s="1" t="str">
        <f>IFERROR(__xludf.DUMMYFUNCTION("""COMPUTED_VALUE"""),"VD019")</f>
        <v>VD019</v>
      </c>
      <c r="C334" s="1">
        <f>IFERROR(__xludf.DUMMYFUNCTION("""COMPUTED_VALUE"""),2.0)</f>
        <v>2</v>
      </c>
      <c r="D334" s="1">
        <f>IFERROR(__xludf.DUMMYFUNCTION("""COMPUTED_VALUE"""),614.59)</f>
        <v>614.59</v>
      </c>
    </row>
    <row r="335">
      <c r="A335" s="1" t="str">
        <f>IFERROR(__xludf.DUMMYFUNCTION("""COMPUTED_VALUE"""),"PR036")</f>
        <v>PR036</v>
      </c>
      <c r="B335" s="1" t="str">
        <f>IFERROR(__xludf.DUMMYFUNCTION("""COMPUTED_VALUE"""),"VD036")</f>
        <v>VD036</v>
      </c>
      <c r="C335" s="1">
        <f>IFERROR(__xludf.DUMMYFUNCTION("""COMPUTED_VALUE"""),16.0)</f>
        <v>16</v>
      </c>
      <c r="D335" s="1">
        <f>IFERROR(__xludf.DUMMYFUNCTION("""COMPUTED_VALUE"""),1630.64)</f>
        <v>1630.64</v>
      </c>
    </row>
    <row r="336">
      <c r="A336" s="1" t="str">
        <f>IFERROR(__xludf.DUMMYFUNCTION("""COMPUTED_VALUE"""),"PR023")</f>
        <v>PR023</v>
      </c>
      <c r="B336" s="1" t="str">
        <f>IFERROR(__xludf.DUMMYFUNCTION("""COMPUTED_VALUE"""),"VD032")</f>
        <v>VD032</v>
      </c>
      <c r="C336" s="1">
        <f>IFERROR(__xludf.DUMMYFUNCTION("""COMPUTED_VALUE"""),8.0)</f>
        <v>8</v>
      </c>
      <c r="D336" s="1">
        <f>IFERROR(__xludf.DUMMYFUNCTION("""COMPUTED_VALUE"""),2199.12)</f>
        <v>2199.12</v>
      </c>
    </row>
    <row r="337">
      <c r="A337" s="1" t="str">
        <f>IFERROR(__xludf.DUMMYFUNCTION("""COMPUTED_VALUE"""),"PR038")</f>
        <v>PR038</v>
      </c>
      <c r="B337" s="1" t="str">
        <f>IFERROR(__xludf.DUMMYFUNCTION("""COMPUTED_VALUE"""),"VD032")</f>
        <v>VD032</v>
      </c>
      <c r="C337" s="1">
        <f>IFERROR(__xludf.DUMMYFUNCTION("""COMPUTED_VALUE"""),15.0)</f>
        <v>15</v>
      </c>
      <c r="D337" s="1">
        <f>IFERROR(__xludf.DUMMYFUNCTION("""COMPUTED_VALUE"""),2357.85)</f>
        <v>2357.85</v>
      </c>
    </row>
    <row r="338">
      <c r="A338" s="1" t="str">
        <f>IFERROR(__xludf.DUMMYFUNCTION("""COMPUTED_VALUE"""),"PR037")</f>
        <v>PR037</v>
      </c>
      <c r="B338" s="1" t="str">
        <f>IFERROR(__xludf.DUMMYFUNCTION("""COMPUTED_VALUE"""),"VD025")</f>
        <v>VD025</v>
      </c>
      <c r="C338" s="1">
        <f>IFERROR(__xludf.DUMMYFUNCTION("""COMPUTED_VALUE"""),27.0)</f>
        <v>27</v>
      </c>
      <c r="D338" s="1">
        <f>IFERROR(__xludf.DUMMYFUNCTION("""COMPUTED_VALUE"""),3780.0)</f>
        <v>3780</v>
      </c>
    </row>
    <row r="339">
      <c r="A339" s="1" t="str">
        <f>IFERROR(__xludf.DUMMYFUNCTION("""COMPUTED_VALUE"""),"PR020")</f>
        <v>PR020</v>
      </c>
      <c r="B339" s="1" t="str">
        <f>IFERROR(__xludf.DUMMYFUNCTION("""COMPUTED_VALUE"""),"VD016")</f>
        <v>VD016</v>
      </c>
      <c r="C339" s="1">
        <f>IFERROR(__xludf.DUMMYFUNCTION("""COMPUTED_VALUE"""),12.0)</f>
        <v>12</v>
      </c>
      <c r="D339" s="1">
        <f>IFERROR(__xludf.DUMMYFUNCTION("""COMPUTED_VALUE"""),3778.74)</f>
        <v>3778.74</v>
      </c>
    </row>
    <row r="340">
      <c r="A340" s="1" t="str">
        <f>IFERROR(__xludf.DUMMYFUNCTION("""COMPUTED_VALUE"""),"PR049")</f>
        <v>PR049</v>
      </c>
      <c r="B340" s="1" t="str">
        <f>IFERROR(__xludf.DUMMYFUNCTION("""COMPUTED_VALUE"""),"VD017")</f>
        <v>VD017</v>
      </c>
      <c r="C340" s="1">
        <f>IFERROR(__xludf.DUMMYFUNCTION("""COMPUTED_VALUE"""),21.0)</f>
        <v>21</v>
      </c>
      <c r="D340" s="1">
        <f>IFERROR(__xludf.DUMMYFUNCTION("""COMPUTED_VALUE"""),753.08)</f>
        <v>753.08</v>
      </c>
    </row>
    <row r="341">
      <c r="A341" s="1" t="str">
        <f>IFERROR(__xludf.DUMMYFUNCTION("""COMPUTED_VALUE"""),"PR007")</f>
        <v>PR007</v>
      </c>
      <c r="B341" s="1" t="str">
        <f>IFERROR(__xludf.DUMMYFUNCTION("""COMPUTED_VALUE"""),"VD029")</f>
        <v>VD029</v>
      </c>
      <c r="C341" s="1">
        <f>IFERROR(__xludf.DUMMYFUNCTION("""COMPUTED_VALUE"""),18.0)</f>
        <v>18</v>
      </c>
      <c r="D341" s="1">
        <f>IFERROR(__xludf.DUMMYFUNCTION("""COMPUTED_VALUE"""),1561.66)</f>
        <v>1561.66</v>
      </c>
    </row>
    <row r="342">
      <c r="A342" s="1" t="str">
        <f>IFERROR(__xludf.DUMMYFUNCTION("""COMPUTED_VALUE"""),"PR056")</f>
        <v>PR056</v>
      </c>
      <c r="B342" s="1" t="str">
        <f>IFERROR(__xludf.DUMMYFUNCTION("""COMPUTED_VALUE"""),"VD043")</f>
        <v>VD043</v>
      </c>
      <c r="C342" s="1">
        <f>IFERROR(__xludf.DUMMYFUNCTION("""COMPUTED_VALUE"""),3.0)</f>
        <v>3</v>
      </c>
      <c r="D342" s="1">
        <f>IFERROR(__xludf.DUMMYFUNCTION("""COMPUTED_VALUE"""),272.4)</f>
        <v>272.4</v>
      </c>
    </row>
    <row r="343">
      <c r="A343" s="1" t="str">
        <f>IFERROR(__xludf.DUMMYFUNCTION("""COMPUTED_VALUE"""),"PR019")</f>
        <v>PR019</v>
      </c>
      <c r="B343" s="1" t="str">
        <f>IFERROR(__xludf.DUMMYFUNCTION("""COMPUTED_VALUE"""),"VD039")</f>
        <v>VD039</v>
      </c>
      <c r="C343" s="1">
        <f>IFERROR(__xludf.DUMMYFUNCTION("""COMPUTED_VALUE"""),20.0)</f>
        <v>20</v>
      </c>
      <c r="D343" s="1">
        <f>IFERROR(__xludf.DUMMYFUNCTION("""COMPUTED_VALUE"""),1057.88)</f>
        <v>1057.88</v>
      </c>
    </row>
    <row r="344">
      <c r="A344" s="1" t="str">
        <f>IFERROR(__xludf.DUMMYFUNCTION("""COMPUTED_VALUE"""),"PR015")</f>
        <v>PR015</v>
      </c>
      <c r="B344" s="1" t="str">
        <f>IFERROR(__xludf.DUMMYFUNCTION("""COMPUTED_VALUE"""),"VD046")</f>
        <v>VD046</v>
      </c>
      <c r="C344" s="1">
        <f>IFERROR(__xludf.DUMMYFUNCTION("""COMPUTED_VALUE"""),3.0)</f>
        <v>3</v>
      </c>
      <c r="D344" s="1">
        <f>IFERROR(__xludf.DUMMYFUNCTION("""COMPUTED_VALUE"""),135.15)</f>
        <v>135.15</v>
      </c>
    </row>
    <row r="345">
      <c r="A345" s="1" t="str">
        <f>IFERROR(__xludf.DUMMYFUNCTION("""COMPUTED_VALUE"""),"PR019")</f>
        <v>PR019</v>
      </c>
      <c r="B345" s="1" t="str">
        <f>IFERROR(__xludf.DUMMYFUNCTION("""COMPUTED_VALUE"""),"VD043")</f>
        <v>VD043</v>
      </c>
      <c r="C345" s="1">
        <f>IFERROR(__xludf.DUMMYFUNCTION("""COMPUTED_VALUE"""),21.0)</f>
        <v>21</v>
      </c>
      <c r="D345" s="1">
        <f>IFERROR(__xludf.DUMMYFUNCTION("""COMPUTED_VALUE"""),1100.3)</f>
        <v>1100.3</v>
      </c>
    </row>
    <row r="346">
      <c r="A346" s="1" t="str">
        <f>IFERROR(__xludf.DUMMYFUNCTION("""COMPUTED_VALUE"""),"PR043")</f>
        <v>PR043</v>
      </c>
      <c r="B346" s="1" t="str">
        <f>IFERROR(__xludf.DUMMYFUNCTION("""COMPUTED_VALUE"""),"VD031")</f>
        <v>VD031</v>
      </c>
      <c r="C346" s="1">
        <f>IFERROR(__xludf.DUMMYFUNCTION("""COMPUTED_VALUE"""),9.0)</f>
        <v>9</v>
      </c>
      <c r="D346" s="1">
        <f>IFERROR(__xludf.DUMMYFUNCTION("""COMPUTED_VALUE"""),698.18)</f>
        <v>698.18</v>
      </c>
    </row>
    <row r="347">
      <c r="A347" s="1" t="str">
        <f>IFERROR(__xludf.DUMMYFUNCTION("""COMPUTED_VALUE"""),"PR038")</f>
        <v>PR038</v>
      </c>
      <c r="B347" s="1" t="str">
        <f>IFERROR(__xludf.DUMMYFUNCTION("""COMPUTED_VALUE"""),"VD015")</f>
        <v>VD015</v>
      </c>
      <c r="C347" s="1">
        <f>IFERROR(__xludf.DUMMYFUNCTION("""COMPUTED_VALUE"""),12.0)</f>
        <v>12</v>
      </c>
      <c r="D347" s="1">
        <f>IFERROR(__xludf.DUMMYFUNCTION("""COMPUTED_VALUE"""),1869.13)</f>
        <v>1869.13</v>
      </c>
    </row>
    <row r="348">
      <c r="A348" s="1" t="str">
        <f>IFERROR(__xludf.DUMMYFUNCTION("""COMPUTED_VALUE"""),"PR050")</f>
        <v>PR050</v>
      </c>
      <c r="B348" s="1" t="str">
        <f>IFERROR(__xludf.DUMMYFUNCTION("""COMPUTED_VALUE"""),"VD042")</f>
        <v>VD042</v>
      </c>
      <c r="C348" s="1">
        <f>IFERROR(__xludf.DUMMYFUNCTION("""COMPUTED_VALUE"""),1.0)</f>
        <v>1</v>
      </c>
      <c r="D348" s="1">
        <f>IFERROR(__xludf.DUMMYFUNCTION("""COMPUTED_VALUE"""),33.89)</f>
        <v>33.89</v>
      </c>
    </row>
    <row r="349">
      <c r="A349" s="1" t="str">
        <f>IFERROR(__xludf.DUMMYFUNCTION("""COMPUTED_VALUE"""),"PR005")</f>
        <v>PR005</v>
      </c>
      <c r="B349" s="1" t="str">
        <f>IFERROR(__xludf.DUMMYFUNCTION("""COMPUTED_VALUE"""),"VD022")</f>
        <v>VD022</v>
      </c>
      <c r="C349" s="1">
        <f>IFERROR(__xludf.DUMMYFUNCTION("""COMPUTED_VALUE"""),6.0)</f>
        <v>6</v>
      </c>
      <c r="D349" s="1">
        <f>IFERROR(__xludf.DUMMYFUNCTION("""COMPUTED_VALUE"""),1574.99)</f>
        <v>1574.99</v>
      </c>
    </row>
    <row r="350">
      <c r="A350" s="1" t="str">
        <f>IFERROR(__xludf.DUMMYFUNCTION("""COMPUTED_VALUE"""),"PR018")</f>
        <v>PR018</v>
      </c>
      <c r="B350" s="1" t="str">
        <f>IFERROR(__xludf.DUMMYFUNCTION("""COMPUTED_VALUE"""),"VD047")</f>
        <v>VD047</v>
      </c>
      <c r="C350" s="1">
        <f>IFERROR(__xludf.DUMMYFUNCTION("""COMPUTED_VALUE"""),6.0)</f>
        <v>6</v>
      </c>
      <c r="D350" s="1">
        <f>IFERROR(__xludf.DUMMYFUNCTION("""COMPUTED_VALUE"""),197.4)</f>
        <v>197.4</v>
      </c>
    </row>
    <row r="351">
      <c r="A351" s="1" t="str">
        <f>IFERROR(__xludf.DUMMYFUNCTION("""COMPUTED_VALUE"""),"PR057")</f>
        <v>PR057</v>
      </c>
      <c r="B351" s="1" t="str">
        <f>IFERROR(__xludf.DUMMYFUNCTION("""COMPUTED_VALUE"""),"VD043")</f>
        <v>VD043</v>
      </c>
      <c r="C351" s="1">
        <f>IFERROR(__xludf.DUMMYFUNCTION("""COMPUTED_VALUE"""),1.0)</f>
        <v>1</v>
      </c>
      <c r="D351" s="1">
        <f>IFERROR(__xludf.DUMMYFUNCTION("""COMPUTED_VALUE"""),96.19)</f>
        <v>96.19</v>
      </c>
    </row>
    <row r="352">
      <c r="A352" s="1" t="str">
        <f>IFERROR(__xludf.DUMMYFUNCTION("""COMPUTED_VALUE"""),"PR010")</f>
        <v>PR010</v>
      </c>
      <c r="B352" s="1" t="str">
        <f>IFERROR(__xludf.DUMMYFUNCTION("""COMPUTED_VALUE"""),"VD042")</f>
        <v>VD042</v>
      </c>
      <c r="C352" s="1">
        <f>IFERROR(__xludf.DUMMYFUNCTION("""COMPUTED_VALUE"""),16.0)</f>
        <v>16</v>
      </c>
      <c r="D352" s="1">
        <f>IFERROR(__xludf.DUMMYFUNCTION("""COMPUTED_VALUE"""),732.77)</f>
        <v>732.77</v>
      </c>
    </row>
    <row r="353">
      <c r="A353" s="1" t="str">
        <f>IFERROR(__xludf.DUMMYFUNCTION("""COMPUTED_VALUE"""),"PR001")</f>
        <v>PR001</v>
      </c>
      <c r="B353" s="1" t="str">
        <f>IFERROR(__xludf.DUMMYFUNCTION("""COMPUTED_VALUE"""),"VD034")</f>
        <v>VD034</v>
      </c>
      <c r="C353" s="1">
        <f>IFERROR(__xludf.DUMMYFUNCTION("""COMPUTED_VALUE"""),6.0)</f>
        <v>6</v>
      </c>
      <c r="D353" s="1">
        <f>IFERROR(__xludf.DUMMYFUNCTION("""COMPUTED_VALUE"""),419.12)</f>
        <v>419.12</v>
      </c>
    </row>
    <row r="354">
      <c r="A354" s="1" t="str">
        <f>IFERROR(__xludf.DUMMYFUNCTION("""COMPUTED_VALUE"""),"PR036")</f>
        <v>PR036</v>
      </c>
      <c r="B354" s="1" t="str">
        <f>IFERROR(__xludf.DUMMYFUNCTION("""COMPUTED_VALUE"""),"VD046")</f>
        <v>VD046</v>
      </c>
      <c r="C354" s="1">
        <f>IFERROR(__xludf.DUMMYFUNCTION("""COMPUTED_VALUE"""),7.0)</f>
        <v>7</v>
      </c>
      <c r="D354" s="1">
        <f>IFERROR(__xludf.DUMMYFUNCTION("""COMPUTED_VALUE"""),706.86)</f>
        <v>706.86</v>
      </c>
    </row>
    <row r="355">
      <c r="A355" s="1" t="str">
        <f>IFERROR(__xludf.DUMMYFUNCTION("""COMPUTED_VALUE"""),"PR051")</f>
        <v>PR051</v>
      </c>
      <c r="B355" s="1" t="str">
        <f>IFERROR(__xludf.DUMMYFUNCTION("""COMPUTED_VALUE"""),"VD026")</f>
        <v>VD026</v>
      </c>
      <c r="C355" s="1">
        <f>IFERROR(__xludf.DUMMYFUNCTION("""COMPUTED_VALUE"""),20.0)</f>
        <v>20</v>
      </c>
      <c r="D355" s="1">
        <f>IFERROR(__xludf.DUMMYFUNCTION("""COMPUTED_VALUE"""),704.06)</f>
        <v>704.06</v>
      </c>
    </row>
    <row r="356">
      <c r="A356" s="1" t="str">
        <f>IFERROR(__xludf.DUMMYFUNCTION("""COMPUTED_VALUE"""),"PR030")</f>
        <v>PR030</v>
      </c>
      <c r="B356" s="1" t="str">
        <f>IFERROR(__xludf.DUMMYFUNCTION("""COMPUTED_VALUE"""),"VD036")</f>
        <v>VD036</v>
      </c>
      <c r="C356" s="1">
        <f>IFERROR(__xludf.DUMMYFUNCTION("""COMPUTED_VALUE"""),21.0)</f>
        <v>21</v>
      </c>
      <c r="D356" s="1">
        <f>IFERROR(__xludf.DUMMYFUNCTION("""COMPUTED_VALUE"""),5457.9)</f>
        <v>5457.9</v>
      </c>
    </row>
    <row r="357">
      <c r="A357" s="1" t="str">
        <f>IFERROR(__xludf.DUMMYFUNCTION("""COMPUTED_VALUE"""),"PR045")</f>
        <v>PR045</v>
      </c>
      <c r="B357" s="1" t="str">
        <f>IFERROR(__xludf.DUMMYFUNCTION("""COMPUTED_VALUE"""),"VD039")</f>
        <v>VD039</v>
      </c>
      <c r="C357" s="1">
        <f>IFERROR(__xludf.DUMMYFUNCTION("""COMPUTED_VALUE"""),18.0)</f>
        <v>18</v>
      </c>
      <c r="D357" s="1">
        <f>IFERROR(__xludf.DUMMYFUNCTION("""COMPUTED_VALUE"""),1409.4)</f>
        <v>1409.4</v>
      </c>
    </row>
    <row r="358">
      <c r="A358" s="1" t="str">
        <f>IFERROR(__xludf.DUMMYFUNCTION("""COMPUTED_VALUE"""),"PR025")</f>
        <v>PR025</v>
      </c>
      <c r="B358" s="1" t="str">
        <f>IFERROR(__xludf.DUMMYFUNCTION("""COMPUTED_VALUE"""),"VD013")</f>
        <v>VD013</v>
      </c>
      <c r="C358" s="1">
        <f>IFERROR(__xludf.DUMMYFUNCTION("""COMPUTED_VALUE"""),6.0)</f>
        <v>6</v>
      </c>
      <c r="D358" s="1">
        <f>IFERROR(__xludf.DUMMYFUNCTION("""COMPUTED_VALUE"""),1817.39)</f>
        <v>1817.39</v>
      </c>
    </row>
    <row r="359">
      <c r="A359" s="1" t="str">
        <f>IFERROR(__xludf.DUMMYFUNCTION("""COMPUTED_VALUE"""),"PR025")</f>
        <v>PR025</v>
      </c>
      <c r="B359" s="1" t="str">
        <f>IFERROR(__xludf.DUMMYFUNCTION("""COMPUTED_VALUE"""),"VD043")</f>
        <v>VD043</v>
      </c>
      <c r="C359" s="1">
        <f>IFERROR(__xludf.DUMMYFUNCTION("""COMPUTED_VALUE"""),16.0)</f>
        <v>16</v>
      </c>
      <c r="D359" s="1">
        <f>IFERROR(__xludf.DUMMYFUNCTION("""COMPUTED_VALUE"""),4990.34)</f>
        <v>4990.34</v>
      </c>
    </row>
    <row r="360">
      <c r="A360" s="1" t="str">
        <f>IFERROR(__xludf.DUMMYFUNCTION("""COMPUTED_VALUE"""),"PR047")</f>
        <v>PR047</v>
      </c>
      <c r="B360" s="1" t="str">
        <f>IFERROR(__xludf.DUMMYFUNCTION("""COMPUTED_VALUE"""),"VD011")</f>
        <v>VD011</v>
      </c>
      <c r="C360" s="1">
        <f>IFERROR(__xludf.DUMMYFUNCTION("""COMPUTED_VALUE"""),3.0)</f>
        <v>3</v>
      </c>
      <c r="D360" s="1">
        <f>IFERROR(__xludf.DUMMYFUNCTION("""COMPUTED_VALUE"""),913.19)</f>
        <v>913.19</v>
      </c>
    </row>
    <row r="361">
      <c r="A361" s="1" t="str">
        <f>IFERROR(__xludf.DUMMYFUNCTION("""COMPUTED_VALUE"""),"PR060")</f>
        <v>PR060</v>
      </c>
      <c r="B361" s="1" t="str">
        <f>IFERROR(__xludf.DUMMYFUNCTION("""COMPUTED_VALUE"""),"VD044")</f>
        <v>VD044</v>
      </c>
      <c r="C361" s="1">
        <f>IFERROR(__xludf.DUMMYFUNCTION("""COMPUTED_VALUE"""),6.0)</f>
        <v>6</v>
      </c>
      <c r="D361" s="1">
        <f>IFERROR(__xludf.DUMMYFUNCTION("""COMPUTED_VALUE"""),1101.6)</f>
        <v>1101.6</v>
      </c>
    </row>
    <row r="362">
      <c r="A362" s="1" t="str">
        <f>IFERROR(__xludf.DUMMYFUNCTION("""COMPUTED_VALUE"""),"PR012")</f>
        <v>PR012</v>
      </c>
      <c r="B362" s="1" t="str">
        <f>IFERROR(__xludf.DUMMYFUNCTION("""COMPUTED_VALUE"""),"VD022")</f>
        <v>VD022</v>
      </c>
      <c r="C362" s="1">
        <f>IFERROR(__xludf.DUMMYFUNCTION("""COMPUTED_VALUE"""),27.0)</f>
        <v>27</v>
      </c>
      <c r="D362" s="1">
        <f>IFERROR(__xludf.DUMMYFUNCTION("""COMPUTED_VALUE"""),1333.5)</f>
        <v>1333.5</v>
      </c>
    </row>
    <row r="363">
      <c r="A363" s="1" t="str">
        <f>IFERROR(__xludf.DUMMYFUNCTION("""COMPUTED_VALUE"""),"PR009")</f>
        <v>PR009</v>
      </c>
      <c r="B363" s="1" t="str">
        <f>IFERROR(__xludf.DUMMYFUNCTION("""COMPUTED_VALUE"""),"VD019")</f>
        <v>VD019</v>
      </c>
      <c r="C363" s="1">
        <f>IFERROR(__xludf.DUMMYFUNCTION("""COMPUTED_VALUE"""),2.0)</f>
        <v>2</v>
      </c>
      <c r="D363" s="1">
        <f>IFERROR(__xludf.DUMMYFUNCTION("""COMPUTED_VALUE"""),185.8)</f>
        <v>185.8</v>
      </c>
    </row>
    <row r="364">
      <c r="A364" s="1" t="str">
        <f>IFERROR(__xludf.DUMMYFUNCTION("""COMPUTED_VALUE"""),"PR010")</f>
        <v>PR010</v>
      </c>
      <c r="B364" s="1" t="str">
        <f>IFERROR(__xludf.DUMMYFUNCTION("""COMPUTED_VALUE"""),"VD041")</f>
        <v>VD041</v>
      </c>
      <c r="C364" s="1">
        <f>IFERROR(__xludf.DUMMYFUNCTION("""COMPUTED_VALUE"""),5.0)</f>
        <v>5</v>
      </c>
      <c r="D364" s="1">
        <f>IFERROR(__xludf.DUMMYFUNCTION("""COMPUTED_VALUE"""),237.97)</f>
        <v>237.97</v>
      </c>
    </row>
    <row r="365">
      <c r="A365" s="1" t="str">
        <f>IFERROR(__xludf.DUMMYFUNCTION("""COMPUTED_VALUE"""),"PR049")</f>
        <v>PR049</v>
      </c>
      <c r="B365" s="1" t="str">
        <f>IFERROR(__xludf.DUMMYFUNCTION("""COMPUTED_VALUE"""),"VD049")</f>
        <v>VD049</v>
      </c>
      <c r="C365" s="1">
        <f>IFERROR(__xludf.DUMMYFUNCTION("""COMPUTED_VALUE"""),4.0)</f>
        <v>4</v>
      </c>
      <c r="D365" s="1">
        <f>IFERROR(__xludf.DUMMYFUNCTION("""COMPUTED_VALUE"""),143.44)</f>
        <v>143.44</v>
      </c>
    </row>
    <row r="366">
      <c r="A366" s="1" t="str">
        <f>IFERROR(__xludf.DUMMYFUNCTION("""COMPUTED_VALUE"""),"PR016")</f>
        <v>PR016</v>
      </c>
      <c r="B366" s="1" t="str">
        <f>IFERROR(__xludf.DUMMYFUNCTION("""COMPUTED_VALUE"""),"VD044")</f>
        <v>VD044</v>
      </c>
      <c r="C366" s="1">
        <f>IFERROR(__xludf.DUMMYFUNCTION("""COMPUTED_VALUE"""),6.0)</f>
        <v>6</v>
      </c>
      <c r="D366" s="1">
        <f>IFERROR(__xludf.DUMMYFUNCTION("""COMPUTED_VALUE"""),161.62)</f>
        <v>161.62</v>
      </c>
    </row>
    <row r="367">
      <c r="A367" s="1" t="str">
        <f>IFERROR(__xludf.DUMMYFUNCTION("""COMPUTED_VALUE"""),"PR008")</f>
        <v>PR008</v>
      </c>
      <c r="B367" s="1" t="str">
        <f>IFERROR(__xludf.DUMMYFUNCTION("""COMPUTED_VALUE"""),"VD033")</f>
        <v>VD033</v>
      </c>
      <c r="C367" s="1">
        <f>IFERROR(__xludf.DUMMYFUNCTION("""COMPUTED_VALUE"""),27.0)</f>
        <v>27</v>
      </c>
      <c r="D367" s="1">
        <f>IFERROR(__xludf.DUMMYFUNCTION("""COMPUTED_VALUE"""),2548.67)</f>
        <v>2548.67</v>
      </c>
    </row>
    <row r="368">
      <c r="A368" s="1" t="str">
        <f>IFERROR(__xludf.DUMMYFUNCTION("""COMPUTED_VALUE"""),"PR018")</f>
        <v>PR018</v>
      </c>
      <c r="B368" s="1" t="str">
        <f>IFERROR(__xludf.DUMMYFUNCTION("""COMPUTED_VALUE"""),"VD033")</f>
        <v>VD033</v>
      </c>
      <c r="C368" s="1">
        <f>IFERROR(__xludf.DUMMYFUNCTION("""COMPUTED_VALUE"""),1.0)</f>
        <v>1</v>
      </c>
      <c r="D368" s="1">
        <f>IFERROR(__xludf.DUMMYFUNCTION("""COMPUTED_VALUE"""),34.87)</f>
        <v>34.87</v>
      </c>
    </row>
    <row r="369">
      <c r="A369" s="1" t="str">
        <f>IFERROR(__xludf.DUMMYFUNCTION("""COMPUTED_VALUE"""),"PR017")</f>
        <v>PR017</v>
      </c>
      <c r="B369" s="1" t="str">
        <f>IFERROR(__xludf.DUMMYFUNCTION("""COMPUTED_VALUE"""),"VD013")</f>
        <v>VD013</v>
      </c>
      <c r="C369" s="1">
        <f>IFERROR(__xludf.DUMMYFUNCTION("""COMPUTED_VALUE"""),9.0)</f>
        <v>9</v>
      </c>
      <c r="D369" s="1">
        <f>IFERROR(__xludf.DUMMYFUNCTION("""COMPUTED_VALUE"""),293.32)</f>
        <v>293.32</v>
      </c>
    </row>
    <row r="370">
      <c r="A370" s="1" t="str">
        <f>IFERROR(__xludf.DUMMYFUNCTION("""COMPUTED_VALUE"""),"PR050")</f>
        <v>PR050</v>
      </c>
      <c r="B370" s="1" t="str">
        <f>IFERROR(__xludf.DUMMYFUNCTION("""COMPUTED_VALUE"""),"VD030")</f>
        <v>VD030</v>
      </c>
      <c r="C370" s="1">
        <f>IFERROR(__xludf.DUMMYFUNCTION("""COMPUTED_VALUE"""),6.0)</f>
        <v>6</v>
      </c>
      <c r="D370" s="1">
        <f>IFERROR(__xludf.DUMMYFUNCTION("""COMPUTED_VALUE"""),205.3)</f>
        <v>205.3</v>
      </c>
    </row>
    <row r="371">
      <c r="A371" s="1" t="str">
        <f>IFERROR(__xludf.DUMMYFUNCTION("""COMPUTED_VALUE"""),"PR018")</f>
        <v>PR018</v>
      </c>
      <c r="B371" s="1" t="str">
        <f>IFERROR(__xludf.DUMMYFUNCTION("""COMPUTED_VALUE"""),"VD040")</f>
        <v>VD040</v>
      </c>
      <c r="C371" s="1">
        <f>IFERROR(__xludf.DUMMYFUNCTION("""COMPUTED_VALUE"""),20.0)</f>
        <v>20</v>
      </c>
      <c r="D371" s="1">
        <f>IFERROR(__xludf.DUMMYFUNCTION("""COMPUTED_VALUE"""),671.16)</f>
        <v>671.16</v>
      </c>
    </row>
    <row r="372">
      <c r="A372" s="1" t="str">
        <f>IFERROR(__xludf.DUMMYFUNCTION("""COMPUTED_VALUE"""),"PR001")</f>
        <v>PR001</v>
      </c>
      <c r="B372" s="1" t="str">
        <f>IFERROR(__xludf.DUMMYFUNCTION("""COMPUTED_VALUE"""),"VD045")</f>
        <v>VD045</v>
      </c>
      <c r="C372" s="1">
        <f>IFERROR(__xludf.DUMMYFUNCTION("""COMPUTED_VALUE"""),9.0)</f>
        <v>9</v>
      </c>
      <c r="D372" s="1">
        <f>IFERROR(__xludf.DUMMYFUNCTION("""COMPUTED_VALUE"""),634.62)</f>
        <v>634.62</v>
      </c>
    </row>
    <row r="373">
      <c r="A373" s="1" t="str">
        <f>IFERROR(__xludf.DUMMYFUNCTION("""COMPUTED_VALUE"""),"PR053")</f>
        <v>PR053</v>
      </c>
      <c r="B373" s="1" t="str">
        <f>IFERROR(__xludf.DUMMYFUNCTION("""COMPUTED_VALUE"""),"VD033")</f>
        <v>VD033</v>
      </c>
      <c r="C373" s="1">
        <f>IFERROR(__xludf.DUMMYFUNCTION("""COMPUTED_VALUE"""),6.0)</f>
        <v>6</v>
      </c>
      <c r="D373" s="1">
        <f>IFERROR(__xludf.DUMMYFUNCTION("""COMPUTED_VALUE"""),314.37)</f>
        <v>314.37</v>
      </c>
    </row>
    <row r="374">
      <c r="A374" s="1" t="str">
        <f>IFERROR(__xludf.DUMMYFUNCTION("""COMPUTED_VALUE"""),"PR011")</f>
        <v>PR011</v>
      </c>
      <c r="B374" s="1" t="str">
        <f>IFERROR(__xludf.DUMMYFUNCTION("""COMPUTED_VALUE"""),"VD046")</f>
        <v>VD046</v>
      </c>
      <c r="C374" s="1">
        <f>IFERROR(__xludf.DUMMYFUNCTION("""COMPUTED_VALUE"""),8.0)</f>
        <v>8</v>
      </c>
      <c r="D374" s="1">
        <f>IFERROR(__xludf.DUMMYFUNCTION("""COMPUTED_VALUE"""),375.2)</f>
        <v>375.2</v>
      </c>
    </row>
    <row r="375">
      <c r="A375" s="1" t="str">
        <f>IFERROR(__xludf.DUMMYFUNCTION("""COMPUTED_VALUE"""),"PR036")</f>
        <v>PR036</v>
      </c>
      <c r="B375" s="1" t="str">
        <f>IFERROR(__xludf.DUMMYFUNCTION("""COMPUTED_VALUE"""),"VD044")</f>
        <v>VD044</v>
      </c>
      <c r="C375" s="1">
        <f>IFERROR(__xludf.DUMMYFUNCTION("""COMPUTED_VALUE"""),9.0)</f>
        <v>9</v>
      </c>
      <c r="D375" s="1">
        <f>IFERROR(__xludf.DUMMYFUNCTION("""COMPUTED_VALUE"""),849.92)</f>
        <v>849.92</v>
      </c>
    </row>
    <row r="376">
      <c r="A376" s="1" t="str">
        <f>IFERROR(__xludf.DUMMYFUNCTION("""COMPUTED_VALUE"""),"PR007")</f>
        <v>PR007</v>
      </c>
      <c r="B376" s="1" t="str">
        <f>IFERROR(__xludf.DUMMYFUNCTION("""COMPUTED_VALUE"""),"VD035")</f>
        <v>VD035</v>
      </c>
      <c r="C376" s="1">
        <f>IFERROR(__xludf.DUMMYFUNCTION("""COMPUTED_VALUE"""),8.0)</f>
        <v>8</v>
      </c>
      <c r="D376" s="1">
        <f>IFERROR(__xludf.DUMMYFUNCTION("""COMPUTED_VALUE"""),700.94)</f>
        <v>700.94</v>
      </c>
    </row>
    <row r="377">
      <c r="A377" s="1" t="str">
        <f>IFERROR(__xludf.DUMMYFUNCTION("""COMPUTED_VALUE"""),"PR017")</f>
        <v>PR017</v>
      </c>
      <c r="B377" s="1" t="str">
        <f>IFERROR(__xludf.DUMMYFUNCTION("""COMPUTED_VALUE"""),"VD013")</f>
        <v>VD013</v>
      </c>
      <c r="C377" s="1">
        <f>IFERROR(__xludf.DUMMYFUNCTION("""COMPUTED_VALUE"""),2.0)</f>
        <v>2</v>
      </c>
      <c r="D377" s="1">
        <f>IFERROR(__xludf.DUMMYFUNCTION("""COMPUTED_VALUE"""),62.79)</f>
        <v>62.79</v>
      </c>
    </row>
    <row r="378">
      <c r="A378" s="1" t="str">
        <f>IFERROR(__xludf.DUMMYFUNCTION("""COMPUTED_VALUE"""),"PR029")</f>
        <v>PR029</v>
      </c>
      <c r="B378" s="1" t="str">
        <f>IFERROR(__xludf.DUMMYFUNCTION("""COMPUTED_VALUE"""),"VD022")</f>
        <v>VD022</v>
      </c>
      <c r="C378" s="1">
        <f>IFERROR(__xludf.DUMMYFUNCTION("""COMPUTED_VALUE"""),24.0)</f>
        <v>24</v>
      </c>
      <c r="D378" s="1">
        <f>IFERROR(__xludf.DUMMYFUNCTION("""COMPUTED_VALUE"""),6364.8)</f>
        <v>6364.8</v>
      </c>
    </row>
    <row r="379">
      <c r="A379" s="1" t="str">
        <f>IFERROR(__xludf.DUMMYFUNCTION("""COMPUTED_VALUE"""),"PR049")</f>
        <v>PR049</v>
      </c>
      <c r="B379" s="1" t="str">
        <f>IFERROR(__xludf.DUMMYFUNCTION("""COMPUTED_VALUE"""),"VD046")</f>
        <v>VD046</v>
      </c>
      <c r="C379" s="1">
        <f>IFERROR(__xludf.DUMMYFUNCTION("""COMPUTED_VALUE"""),2.0)</f>
        <v>2</v>
      </c>
      <c r="D379" s="1">
        <f>IFERROR(__xludf.DUMMYFUNCTION("""COMPUTED_VALUE"""),71.72)</f>
        <v>71.72</v>
      </c>
    </row>
    <row r="380">
      <c r="A380" s="1" t="str">
        <f>IFERROR(__xludf.DUMMYFUNCTION("""COMPUTED_VALUE"""),"PR036")</f>
        <v>PR036</v>
      </c>
      <c r="B380" s="1" t="str">
        <f>IFERROR(__xludf.DUMMYFUNCTION("""COMPUTED_VALUE"""),"VD035")</f>
        <v>VD035</v>
      </c>
      <c r="C380" s="1">
        <f>IFERROR(__xludf.DUMMYFUNCTION("""COMPUTED_VALUE"""),18.0)</f>
        <v>18</v>
      </c>
      <c r="D380" s="1">
        <f>IFERROR(__xludf.DUMMYFUNCTION("""COMPUTED_VALUE"""),1783.98)</f>
        <v>1783.98</v>
      </c>
    </row>
    <row r="381">
      <c r="A381" s="1" t="str">
        <f>IFERROR(__xludf.DUMMYFUNCTION("""COMPUTED_VALUE"""),"PR039")</f>
        <v>PR039</v>
      </c>
      <c r="B381" s="1" t="str">
        <f>IFERROR(__xludf.DUMMYFUNCTION("""COMPUTED_VALUE"""),"VD047")</f>
        <v>VD047</v>
      </c>
      <c r="C381" s="1">
        <f>IFERROR(__xludf.DUMMYFUNCTION("""COMPUTED_VALUE"""),14.0)</f>
        <v>14</v>
      </c>
      <c r="D381" s="1">
        <f>IFERROR(__xludf.DUMMYFUNCTION("""COMPUTED_VALUE"""),2227.96)</f>
        <v>2227.96</v>
      </c>
    </row>
    <row r="382">
      <c r="A382" s="1" t="str">
        <f>IFERROR(__xludf.DUMMYFUNCTION("""COMPUTED_VALUE"""),"PR043")</f>
        <v>PR043</v>
      </c>
      <c r="B382" s="1" t="str">
        <f>IFERROR(__xludf.DUMMYFUNCTION("""COMPUTED_VALUE"""),"VD049")</f>
        <v>VD049</v>
      </c>
      <c r="C382" s="1">
        <f>IFERROR(__xludf.DUMMYFUNCTION("""COMPUTED_VALUE"""),8.0)</f>
        <v>8</v>
      </c>
      <c r="D382" s="1">
        <f>IFERROR(__xludf.DUMMYFUNCTION("""COMPUTED_VALUE"""),585.8)</f>
        <v>585.8</v>
      </c>
    </row>
    <row r="383">
      <c r="A383" s="1" t="str">
        <f>IFERROR(__xludf.DUMMYFUNCTION("""COMPUTED_VALUE"""),"PR039")</f>
        <v>PR039</v>
      </c>
      <c r="B383" s="1" t="str">
        <f>IFERROR(__xludf.DUMMYFUNCTION("""COMPUTED_VALUE"""),"VD036")</f>
        <v>VD036</v>
      </c>
      <c r="C383" s="1">
        <f>IFERROR(__xludf.DUMMYFUNCTION("""COMPUTED_VALUE"""),7.0)</f>
        <v>7</v>
      </c>
      <c r="D383" s="1">
        <f>IFERROR(__xludf.DUMMYFUNCTION("""COMPUTED_VALUE"""),1124.2)</f>
        <v>1124.2</v>
      </c>
    </row>
    <row r="384">
      <c r="A384" s="1" t="str">
        <f>IFERROR(__xludf.DUMMYFUNCTION("""COMPUTED_VALUE"""),"PR039")</f>
        <v>PR039</v>
      </c>
      <c r="B384" s="1" t="str">
        <f>IFERROR(__xludf.DUMMYFUNCTION("""COMPUTED_VALUE"""),"VD032")</f>
        <v>VD032</v>
      </c>
      <c r="C384" s="1">
        <f>IFERROR(__xludf.DUMMYFUNCTION("""COMPUTED_VALUE"""),2.0)</f>
        <v>2</v>
      </c>
      <c r="D384" s="1">
        <f>IFERROR(__xludf.DUMMYFUNCTION("""COMPUTED_VALUE"""),312.44)</f>
        <v>312.44</v>
      </c>
    </row>
    <row r="385">
      <c r="A385" s="1" t="str">
        <f>IFERROR(__xludf.DUMMYFUNCTION("""COMPUTED_VALUE"""),"PR043")</f>
        <v>PR043</v>
      </c>
      <c r="B385" s="1" t="str">
        <f>IFERROR(__xludf.DUMMYFUNCTION("""COMPUTED_VALUE"""),"VD038")</f>
        <v>VD038</v>
      </c>
      <c r="C385" s="1">
        <f>IFERROR(__xludf.DUMMYFUNCTION("""COMPUTED_VALUE"""),3.0)</f>
        <v>3</v>
      </c>
      <c r="D385" s="1">
        <f>IFERROR(__xludf.DUMMYFUNCTION("""COMPUTED_VALUE"""),221.85)</f>
        <v>221.85</v>
      </c>
    </row>
    <row r="386">
      <c r="A386" s="1" t="str">
        <f>IFERROR(__xludf.DUMMYFUNCTION("""COMPUTED_VALUE"""),"PR005")</f>
        <v>PR005</v>
      </c>
      <c r="B386" s="1" t="str">
        <f>IFERROR(__xludf.DUMMYFUNCTION("""COMPUTED_VALUE"""),"VD021")</f>
        <v>VD021</v>
      </c>
      <c r="C386" s="1">
        <f>IFERROR(__xludf.DUMMYFUNCTION("""COMPUTED_VALUE"""),14.0)</f>
        <v>14</v>
      </c>
      <c r="D386" s="1">
        <f>IFERROR(__xludf.DUMMYFUNCTION("""COMPUTED_VALUE"""),3893.3)</f>
        <v>3893.3</v>
      </c>
    </row>
    <row r="387">
      <c r="A387" s="1" t="str">
        <f>IFERROR(__xludf.DUMMYFUNCTION("""COMPUTED_VALUE"""),"PR012")</f>
        <v>PR012</v>
      </c>
      <c r="B387" s="1" t="str">
        <f>IFERROR(__xludf.DUMMYFUNCTION("""COMPUTED_VALUE"""),"VD047")</f>
        <v>VD047</v>
      </c>
      <c r="C387" s="1">
        <f>IFERROR(__xludf.DUMMYFUNCTION("""COMPUTED_VALUE"""),2.0)</f>
        <v>2</v>
      </c>
      <c r="D387" s="1">
        <f>IFERROR(__xludf.DUMMYFUNCTION("""COMPUTED_VALUE"""),101.71)</f>
        <v>101.71</v>
      </c>
    </row>
    <row r="388">
      <c r="A388" s="1" t="str">
        <f>IFERROR(__xludf.DUMMYFUNCTION("""COMPUTED_VALUE"""),"PR039")</f>
        <v>PR039</v>
      </c>
      <c r="B388" s="1" t="str">
        <f>IFERROR(__xludf.DUMMYFUNCTION("""COMPUTED_VALUE"""),"VD042")</f>
        <v>VD042</v>
      </c>
      <c r="C388" s="1">
        <f>IFERROR(__xludf.DUMMYFUNCTION("""COMPUTED_VALUE"""),2.0)</f>
        <v>2</v>
      </c>
      <c r="D388" s="1">
        <f>IFERROR(__xludf.DUMMYFUNCTION("""COMPUTED_VALUE"""),292.0)</f>
        <v>292</v>
      </c>
    </row>
    <row r="389">
      <c r="A389" s="1" t="str">
        <f>IFERROR(__xludf.DUMMYFUNCTION("""COMPUTED_VALUE"""),"PR040")</f>
        <v>PR040</v>
      </c>
      <c r="B389" s="1" t="str">
        <f>IFERROR(__xludf.DUMMYFUNCTION("""COMPUTED_VALUE"""),"VD038")</f>
        <v>VD038</v>
      </c>
      <c r="C389" s="1">
        <f>IFERROR(__xludf.DUMMYFUNCTION("""COMPUTED_VALUE"""),2.0)</f>
        <v>2</v>
      </c>
      <c r="D389" s="1">
        <f>IFERROR(__xludf.DUMMYFUNCTION("""COMPUTED_VALUE"""),145.6)</f>
        <v>145.6</v>
      </c>
    </row>
    <row r="390">
      <c r="A390" s="1" t="str">
        <f>IFERROR(__xludf.DUMMYFUNCTION("""COMPUTED_VALUE"""),"PR053")</f>
        <v>PR053</v>
      </c>
      <c r="B390" s="1" t="str">
        <f>IFERROR(__xludf.DUMMYFUNCTION("""COMPUTED_VALUE"""),"VD031")</f>
        <v>VD031</v>
      </c>
      <c r="C390" s="1">
        <f>IFERROR(__xludf.DUMMYFUNCTION("""COMPUTED_VALUE"""),10.0)</f>
        <v>10</v>
      </c>
      <c r="D390" s="1">
        <f>IFERROR(__xludf.DUMMYFUNCTION("""COMPUTED_VALUE"""),523.95)</f>
        <v>523.95</v>
      </c>
    </row>
    <row r="391">
      <c r="A391" s="1" t="str">
        <f>IFERROR(__xludf.DUMMYFUNCTION("""COMPUTED_VALUE"""),"PR033")</f>
        <v>PR033</v>
      </c>
      <c r="B391" s="1" t="str">
        <f>IFERROR(__xludf.DUMMYFUNCTION("""COMPUTED_VALUE"""),"VD030")</f>
        <v>VD030</v>
      </c>
      <c r="C391" s="1">
        <f>IFERROR(__xludf.DUMMYFUNCTION("""COMPUTED_VALUE"""),10.0)</f>
        <v>10</v>
      </c>
      <c r="D391" s="1">
        <f>IFERROR(__xludf.DUMMYFUNCTION("""COMPUTED_VALUE"""),2858.9)</f>
        <v>2858.9</v>
      </c>
    </row>
    <row r="392">
      <c r="A392" s="1" t="str">
        <f>IFERROR(__xludf.DUMMYFUNCTION("""COMPUTED_VALUE"""),"PR045")</f>
        <v>PR045</v>
      </c>
      <c r="B392" s="1" t="str">
        <f>IFERROR(__xludf.DUMMYFUNCTION("""COMPUTED_VALUE"""),"VD026")</f>
        <v>VD026</v>
      </c>
      <c r="C392" s="1">
        <f>IFERROR(__xludf.DUMMYFUNCTION("""COMPUTED_VALUE"""),12.0)</f>
        <v>12</v>
      </c>
      <c r="D392" s="1">
        <f>IFERROR(__xludf.DUMMYFUNCTION("""COMPUTED_VALUE"""),913.5)</f>
        <v>913.5</v>
      </c>
    </row>
    <row r="393">
      <c r="A393" s="1" t="str">
        <f>IFERROR(__xludf.DUMMYFUNCTION("""COMPUTED_VALUE"""),"PR012")</f>
        <v>PR012</v>
      </c>
      <c r="B393" s="1" t="str">
        <f>IFERROR(__xludf.DUMMYFUNCTION("""COMPUTED_VALUE"""),"VD042")</f>
        <v>VD042</v>
      </c>
      <c r="C393" s="1">
        <f>IFERROR(__xludf.DUMMYFUNCTION("""COMPUTED_VALUE"""),10.0)</f>
        <v>10</v>
      </c>
      <c r="D393" s="1">
        <f>IFERROR(__xludf.DUMMYFUNCTION("""COMPUTED_VALUE"""),498.78)</f>
        <v>498.78</v>
      </c>
    </row>
    <row r="394">
      <c r="A394" s="1" t="str">
        <f>IFERROR(__xludf.DUMMYFUNCTION("""COMPUTED_VALUE"""),"PR002")</f>
        <v>PR002</v>
      </c>
      <c r="B394" s="1" t="str">
        <f>IFERROR(__xludf.DUMMYFUNCTION("""COMPUTED_VALUE"""),"VD037")</f>
        <v>VD037</v>
      </c>
      <c r="C394" s="1">
        <f>IFERROR(__xludf.DUMMYFUNCTION("""COMPUTED_VALUE"""),3.0)</f>
        <v>3</v>
      </c>
      <c r="D394" s="1">
        <f>IFERROR(__xludf.DUMMYFUNCTION("""COMPUTED_VALUE"""),215.99)</f>
        <v>215.99</v>
      </c>
    </row>
    <row r="395">
      <c r="A395" s="1" t="str">
        <f>IFERROR(__xludf.DUMMYFUNCTION("""COMPUTED_VALUE"""),"PR024")</f>
        <v>PR024</v>
      </c>
      <c r="B395" s="1" t="str">
        <f>IFERROR(__xludf.DUMMYFUNCTION("""COMPUTED_VALUE"""),"VD023")</f>
        <v>VD023</v>
      </c>
      <c r="C395" s="1">
        <f>IFERROR(__xludf.DUMMYFUNCTION("""COMPUTED_VALUE"""),9.0)</f>
        <v>9</v>
      </c>
      <c r="D395" s="1">
        <f>IFERROR(__xludf.DUMMYFUNCTION("""COMPUTED_VALUE"""),2549.62)</f>
        <v>2549.62</v>
      </c>
    </row>
    <row r="396">
      <c r="A396" s="1" t="str">
        <f>IFERROR(__xludf.DUMMYFUNCTION("""COMPUTED_VALUE"""),"PR039")</f>
        <v>PR039</v>
      </c>
      <c r="B396" s="1" t="str">
        <f>IFERROR(__xludf.DUMMYFUNCTION("""COMPUTED_VALUE"""),"VD028")</f>
        <v>VD028</v>
      </c>
      <c r="C396" s="1">
        <f>IFERROR(__xludf.DUMMYFUNCTION("""COMPUTED_VALUE"""),4.0)</f>
        <v>4</v>
      </c>
      <c r="D396" s="1">
        <f>IFERROR(__xludf.DUMMYFUNCTION("""COMPUTED_VALUE"""),601.52)</f>
        <v>601.52</v>
      </c>
    </row>
    <row r="397">
      <c r="A397" s="1" t="str">
        <f>IFERROR(__xludf.DUMMYFUNCTION("""COMPUTED_VALUE"""),"PR058")</f>
        <v>PR058</v>
      </c>
      <c r="B397" s="1" t="str">
        <f>IFERROR(__xludf.DUMMYFUNCTION("""COMPUTED_VALUE"""),"VD028")</f>
        <v>VD028</v>
      </c>
      <c r="C397" s="1">
        <f>IFERROR(__xludf.DUMMYFUNCTION("""COMPUTED_VALUE"""),3.0)</f>
        <v>3</v>
      </c>
      <c r="D397" s="1">
        <f>IFERROR(__xludf.DUMMYFUNCTION("""COMPUTED_VALUE"""),594.0)</f>
        <v>594</v>
      </c>
    </row>
    <row r="398">
      <c r="A398" s="1" t="str">
        <f>IFERROR(__xludf.DUMMYFUNCTION("""COMPUTED_VALUE"""),"PR027")</f>
        <v>PR027</v>
      </c>
      <c r="B398" s="1" t="str">
        <f>IFERROR(__xludf.DUMMYFUNCTION("""COMPUTED_VALUE"""),"VD040")</f>
        <v>VD040</v>
      </c>
      <c r="C398" s="1">
        <f>IFERROR(__xludf.DUMMYFUNCTION("""COMPUTED_VALUE"""),14.0)</f>
        <v>14</v>
      </c>
      <c r="D398" s="1">
        <f>IFERROR(__xludf.DUMMYFUNCTION("""COMPUTED_VALUE"""),1730.4)</f>
        <v>1730.4</v>
      </c>
    </row>
    <row r="399">
      <c r="A399" s="1" t="str">
        <f>IFERROR(__xludf.DUMMYFUNCTION("""COMPUTED_VALUE"""),"PR003")</f>
        <v>PR003</v>
      </c>
      <c r="B399" s="1" t="str">
        <f>IFERROR(__xludf.DUMMYFUNCTION("""COMPUTED_VALUE"""),"VD029")</f>
        <v>VD029</v>
      </c>
      <c r="C399" s="1">
        <f>IFERROR(__xludf.DUMMYFUNCTION("""COMPUTED_VALUE"""),24.0)</f>
        <v>24</v>
      </c>
      <c r="D399" s="1">
        <f>IFERROR(__xludf.DUMMYFUNCTION("""COMPUTED_VALUE"""),1769.66)</f>
        <v>1769.66</v>
      </c>
    </row>
    <row r="400">
      <c r="A400" s="1" t="str">
        <f>IFERROR(__xludf.DUMMYFUNCTION("""COMPUTED_VALUE"""),"PR032")</f>
        <v>PR032</v>
      </c>
      <c r="B400" s="1" t="str">
        <f>IFERROR(__xludf.DUMMYFUNCTION("""COMPUTED_VALUE"""),"VD016")</f>
        <v>VD016</v>
      </c>
      <c r="C400" s="1">
        <f>IFERROR(__xludf.DUMMYFUNCTION("""COMPUTED_VALUE"""),4.0)</f>
        <v>4</v>
      </c>
      <c r="D400" s="1">
        <f>IFERROR(__xludf.DUMMYFUNCTION("""COMPUTED_VALUE"""),1060.0)</f>
        <v>1060</v>
      </c>
    </row>
    <row r="401">
      <c r="A401" s="1" t="str">
        <f>IFERROR(__xludf.DUMMYFUNCTION("""COMPUTED_VALUE"""),"PR049")</f>
        <v>PR049</v>
      </c>
      <c r="B401" s="1" t="str">
        <f>IFERROR(__xludf.DUMMYFUNCTION("""COMPUTED_VALUE"""),"VD015")</f>
        <v>VD015</v>
      </c>
      <c r="C401" s="1">
        <f>IFERROR(__xludf.DUMMYFUNCTION("""COMPUTED_VALUE"""),12.0)</f>
        <v>12</v>
      </c>
      <c r="D401" s="1">
        <f>IFERROR(__xludf.DUMMYFUNCTION("""COMPUTED_VALUE"""),406.64)</f>
        <v>406.64</v>
      </c>
    </row>
    <row r="402">
      <c r="A402" s="1" t="str">
        <f>IFERROR(__xludf.DUMMYFUNCTION("""COMPUTED_VALUE"""),"PR011")</f>
        <v>PR011</v>
      </c>
      <c r="B402" s="1" t="str">
        <f>IFERROR(__xludf.DUMMYFUNCTION("""COMPUTED_VALUE"""),"VD016")</f>
        <v>VD016</v>
      </c>
      <c r="C402" s="1">
        <f>IFERROR(__xludf.DUMMYFUNCTION("""COMPUTED_VALUE"""),18.0)</f>
        <v>18</v>
      </c>
      <c r="D402" s="1">
        <f>IFERROR(__xludf.DUMMYFUNCTION("""COMPUTED_VALUE"""),903.29)</f>
        <v>903.29</v>
      </c>
    </row>
    <row r="403">
      <c r="A403" s="1" t="str">
        <f>IFERROR(__xludf.DUMMYFUNCTION("""COMPUTED_VALUE"""),"PR015")</f>
        <v>PR015</v>
      </c>
      <c r="B403" s="1" t="str">
        <f>IFERROR(__xludf.DUMMYFUNCTION("""COMPUTED_VALUE"""),"VD028")</f>
        <v>VD028</v>
      </c>
      <c r="C403" s="1">
        <f>IFERROR(__xludf.DUMMYFUNCTION("""COMPUTED_VALUE"""),1.0)</f>
        <v>1</v>
      </c>
      <c r="D403" s="1">
        <f>IFERROR(__xludf.DUMMYFUNCTION("""COMPUTED_VALUE"""),42.93)</f>
        <v>42.93</v>
      </c>
    </row>
    <row r="404">
      <c r="A404" s="1" t="str">
        <f>IFERROR(__xludf.DUMMYFUNCTION("""COMPUTED_VALUE"""),"PR025")</f>
        <v>PR025</v>
      </c>
      <c r="B404" s="1" t="str">
        <f>IFERROR(__xludf.DUMMYFUNCTION("""COMPUTED_VALUE"""),"VD025")</f>
        <v>VD025</v>
      </c>
      <c r="C404" s="1">
        <f>IFERROR(__xludf.DUMMYFUNCTION("""COMPUTED_VALUE"""),16.0)</f>
        <v>16</v>
      </c>
      <c r="D404" s="1">
        <f>IFERROR(__xludf.DUMMYFUNCTION("""COMPUTED_VALUE"""),4942.35)</f>
        <v>4942.35</v>
      </c>
    </row>
    <row r="405">
      <c r="A405" s="1" t="str">
        <f>IFERROR(__xludf.DUMMYFUNCTION("""COMPUTED_VALUE"""),"PR023")</f>
        <v>PR023</v>
      </c>
      <c r="B405" s="1" t="str">
        <f>IFERROR(__xludf.DUMMYFUNCTION("""COMPUTED_VALUE"""),"VD047")</f>
        <v>VD047</v>
      </c>
      <c r="C405" s="1">
        <f>IFERROR(__xludf.DUMMYFUNCTION("""COMPUTED_VALUE"""),2.0)</f>
        <v>2</v>
      </c>
      <c r="D405" s="1">
        <f>IFERROR(__xludf.DUMMYFUNCTION("""COMPUTED_VALUE"""),539.78)</f>
        <v>539.78</v>
      </c>
    </row>
    <row r="406">
      <c r="A406" s="1" t="str">
        <f>IFERROR(__xludf.DUMMYFUNCTION("""COMPUTED_VALUE"""),"PR031")</f>
        <v>PR031</v>
      </c>
      <c r="B406" s="1" t="str">
        <f>IFERROR(__xludf.DUMMYFUNCTION("""COMPUTED_VALUE"""),"VD035")</f>
        <v>VD035</v>
      </c>
      <c r="C406" s="1">
        <f>IFERROR(__xludf.DUMMYFUNCTION("""COMPUTED_VALUE"""),9.0)</f>
        <v>9</v>
      </c>
      <c r="D406" s="1">
        <f>IFERROR(__xludf.DUMMYFUNCTION("""COMPUTED_VALUE"""),2337.3)</f>
        <v>2337.3</v>
      </c>
    </row>
    <row r="407">
      <c r="A407" s="1" t="str">
        <f>IFERROR(__xludf.DUMMYFUNCTION("""COMPUTED_VALUE"""),"PR004")</f>
        <v>PR004</v>
      </c>
      <c r="B407" s="1" t="str">
        <f>IFERROR(__xludf.DUMMYFUNCTION("""COMPUTED_VALUE"""),"VD030")</f>
        <v>VD030</v>
      </c>
      <c r="C407" s="1">
        <f>IFERROR(__xludf.DUMMYFUNCTION("""COMPUTED_VALUE"""),5.0)</f>
        <v>5</v>
      </c>
      <c r="D407" s="1">
        <f>IFERROR(__xludf.DUMMYFUNCTION("""COMPUTED_VALUE"""),768.5)</f>
        <v>768.5</v>
      </c>
    </row>
    <row r="408">
      <c r="A408" s="1" t="str">
        <f>IFERROR(__xludf.DUMMYFUNCTION("""COMPUTED_VALUE"""),"PR001")</f>
        <v>PR001</v>
      </c>
      <c r="B408" s="1" t="str">
        <f>IFERROR(__xludf.DUMMYFUNCTION("""COMPUTED_VALUE"""),"VD037")</f>
        <v>VD037</v>
      </c>
      <c r="C408" s="1">
        <f>IFERROR(__xludf.DUMMYFUNCTION("""COMPUTED_VALUE"""),4.0)</f>
        <v>4</v>
      </c>
      <c r="D408" s="1">
        <f>IFERROR(__xludf.DUMMYFUNCTION("""COMPUTED_VALUE"""),263.6)</f>
        <v>263.6</v>
      </c>
    </row>
    <row r="409">
      <c r="A409" s="1" t="str">
        <f>IFERROR(__xludf.DUMMYFUNCTION("""COMPUTED_VALUE"""),"PR006")</f>
        <v>PR006</v>
      </c>
      <c r="B409" s="1" t="str">
        <f>IFERROR(__xludf.DUMMYFUNCTION("""COMPUTED_VALUE"""),"VD025")</f>
        <v>VD025</v>
      </c>
      <c r="C409" s="1">
        <f>IFERROR(__xludf.DUMMYFUNCTION("""COMPUTED_VALUE"""),8.0)</f>
        <v>8</v>
      </c>
      <c r="D409" s="1">
        <f>IFERROR(__xludf.DUMMYFUNCTION("""COMPUTED_VALUE"""),328.78)</f>
        <v>328.78</v>
      </c>
    </row>
    <row r="410">
      <c r="A410" s="1" t="str">
        <f>IFERROR(__xludf.DUMMYFUNCTION("""COMPUTED_VALUE"""),"PR019")</f>
        <v>PR019</v>
      </c>
      <c r="B410" s="1" t="str">
        <f>IFERROR(__xludf.DUMMYFUNCTION("""COMPUTED_VALUE"""),"VD030")</f>
        <v>VD030</v>
      </c>
      <c r="C410" s="1">
        <f>IFERROR(__xludf.DUMMYFUNCTION("""COMPUTED_VALUE"""),6.0)</f>
        <v>6</v>
      </c>
      <c r="D410" s="1">
        <f>IFERROR(__xludf.DUMMYFUNCTION("""COMPUTED_VALUE"""),299.4)</f>
        <v>299.4</v>
      </c>
    </row>
    <row r="411">
      <c r="A411" s="1" t="str">
        <f>IFERROR(__xludf.DUMMYFUNCTION("""COMPUTED_VALUE"""),"PR048")</f>
        <v>PR048</v>
      </c>
      <c r="B411" s="1" t="str">
        <f>IFERROR(__xludf.DUMMYFUNCTION("""COMPUTED_VALUE"""),"VD037")</f>
        <v>VD037</v>
      </c>
      <c r="C411" s="1">
        <f>IFERROR(__xludf.DUMMYFUNCTION("""COMPUTED_VALUE"""),6.0)</f>
        <v>6</v>
      </c>
      <c r="D411" s="1">
        <f>IFERROR(__xludf.DUMMYFUNCTION("""COMPUTED_VALUE"""),1861.16)</f>
        <v>1861.16</v>
      </c>
    </row>
    <row r="412">
      <c r="A412" s="1" t="str">
        <f>IFERROR(__xludf.DUMMYFUNCTION("""COMPUTED_VALUE"""),"PR060")</f>
        <v>PR060</v>
      </c>
      <c r="B412" s="1" t="str">
        <f>IFERROR(__xludf.DUMMYFUNCTION("""COMPUTED_VALUE"""),"VD032")</f>
        <v>VD032</v>
      </c>
      <c r="C412" s="1">
        <f>IFERROR(__xludf.DUMMYFUNCTION("""COMPUTED_VALUE"""),30.0)</f>
        <v>30</v>
      </c>
      <c r="D412" s="1">
        <f>IFERROR(__xludf.DUMMYFUNCTION("""COMPUTED_VALUE"""),5832.0)</f>
        <v>5832</v>
      </c>
    </row>
    <row r="413">
      <c r="A413" s="1" t="str">
        <f>IFERROR(__xludf.DUMMYFUNCTION("""COMPUTED_VALUE"""),"PR045")</f>
        <v>PR045</v>
      </c>
      <c r="B413" s="1" t="str">
        <f>IFERROR(__xludf.DUMMYFUNCTION("""COMPUTED_VALUE"""),"VD041")</f>
        <v>VD041</v>
      </c>
      <c r="C413" s="1">
        <f>IFERROR(__xludf.DUMMYFUNCTION("""COMPUTED_VALUE"""),7.0)</f>
        <v>7</v>
      </c>
      <c r="D413" s="1">
        <f>IFERROR(__xludf.DUMMYFUNCTION("""COMPUTED_VALUE"""),553.18)</f>
        <v>553.18</v>
      </c>
    </row>
    <row r="414">
      <c r="A414" s="1" t="str">
        <f>IFERROR(__xludf.DUMMYFUNCTION("""COMPUTED_VALUE"""),"PR003")</f>
        <v>PR003</v>
      </c>
      <c r="B414" s="1" t="str">
        <f>IFERROR(__xludf.DUMMYFUNCTION("""COMPUTED_VALUE"""),"VD012")</f>
        <v>VD012</v>
      </c>
      <c r="C414" s="1">
        <f>IFERROR(__xludf.DUMMYFUNCTION("""COMPUTED_VALUE"""),27.0)</f>
        <v>27</v>
      </c>
      <c r="D414" s="1">
        <f>IFERROR(__xludf.DUMMYFUNCTION("""COMPUTED_VALUE"""),1914.3)</f>
        <v>1914.3</v>
      </c>
    </row>
    <row r="415">
      <c r="A415" s="1" t="str">
        <f>IFERROR(__xludf.DUMMYFUNCTION("""COMPUTED_VALUE"""),"PR056")</f>
        <v>PR056</v>
      </c>
      <c r="B415" s="1" t="str">
        <f>IFERROR(__xludf.DUMMYFUNCTION("""COMPUTED_VALUE"""),"VD030")</f>
        <v>VD030</v>
      </c>
      <c r="C415" s="1">
        <f>IFERROR(__xludf.DUMMYFUNCTION("""COMPUTED_VALUE"""),12.0)</f>
        <v>12</v>
      </c>
      <c r="D415" s="1">
        <f>IFERROR(__xludf.DUMMYFUNCTION("""COMPUTED_VALUE"""),1089.59)</f>
        <v>1089.59</v>
      </c>
    </row>
    <row r="416">
      <c r="A416" s="1" t="str">
        <f>IFERROR(__xludf.DUMMYFUNCTION("""COMPUTED_VALUE"""),"PR033")</f>
        <v>PR033</v>
      </c>
      <c r="B416" s="1" t="str">
        <f>IFERROR(__xludf.DUMMYFUNCTION("""COMPUTED_VALUE"""),"VD014")</f>
        <v>VD014</v>
      </c>
      <c r="C416" s="1">
        <f>IFERROR(__xludf.DUMMYFUNCTION("""COMPUTED_VALUE"""),10.0)</f>
        <v>10</v>
      </c>
      <c r="D416" s="1">
        <f>IFERROR(__xludf.DUMMYFUNCTION("""COMPUTED_VALUE"""),2702.96)</f>
        <v>2702.96</v>
      </c>
    </row>
    <row r="417">
      <c r="A417" s="1" t="str">
        <f>IFERROR(__xludf.DUMMYFUNCTION("""COMPUTED_VALUE"""),"PR041")</f>
        <v>PR041</v>
      </c>
      <c r="B417" s="1" t="str">
        <f>IFERROR(__xludf.DUMMYFUNCTION("""COMPUTED_VALUE"""),"VD014")</f>
        <v>VD014</v>
      </c>
      <c r="C417" s="1">
        <f>IFERROR(__xludf.DUMMYFUNCTION("""COMPUTED_VALUE"""),20.0)</f>
        <v>20</v>
      </c>
      <c r="D417" s="1">
        <f>IFERROR(__xludf.DUMMYFUNCTION("""COMPUTED_VALUE"""),1108.98)</f>
        <v>1108.98</v>
      </c>
    </row>
    <row r="418">
      <c r="A418" s="1" t="str">
        <f>IFERROR(__xludf.DUMMYFUNCTION("""COMPUTED_VALUE"""),"PR004")</f>
        <v>PR004</v>
      </c>
      <c r="B418" s="1" t="str">
        <f>IFERROR(__xludf.DUMMYFUNCTION("""COMPUTED_VALUE"""),"VD011")</f>
        <v>VD011</v>
      </c>
      <c r="C418" s="1">
        <f>IFERROR(__xludf.DUMMYFUNCTION("""COMPUTED_VALUE"""),10.0)</f>
        <v>10</v>
      </c>
      <c r="D418" s="1">
        <f>IFERROR(__xludf.DUMMYFUNCTION("""COMPUTED_VALUE"""),1464.5)</f>
        <v>1464.5</v>
      </c>
    </row>
    <row r="419">
      <c r="A419" s="1" t="str">
        <f>IFERROR(__xludf.DUMMYFUNCTION("""COMPUTED_VALUE"""),"PR007")</f>
        <v>PR007</v>
      </c>
      <c r="B419" s="1" t="str">
        <f>IFERROR(__xludf.DUMMYFUNCTION("""COMPUTED_VALUE"""),"VD020")</f>
        <v>VD020</v>
      </c>
      <c r="C419" s="1">
        <f>IFERROR(__xludf.DUMMYFUNCTION("""COMPUTED_VALUE"""),9.0)</f>
        <v>9</v>
      </c>
      <c r="D419" s="1">
        <f>IFERROR(__xludf.DUMMYFUNCTION("""COMPUTED_VALUE"""),850.41)</f>
        <v>850.41</v>
      </c>
    </row>
    <row r="420">
      <c r="A420" s="1" t="str">
        <f>IFERROR(__xludf.DUMMYFUNCTION("""COMPUTED_VALUE"""),"PR046")</f>
        <v>PR046</v>
      </c>
      <c r="B420" s="1" t="str">
        <f>IFERROR(__xludf.DUMMYFUNCTION("""COMPUTED_VALUE"""),"VD015")</f>
        <v>VD015</v>
      </c>
      <c r="C420" s="1">
        <f>IFERROR(__xludf.DUMMYFUNCTION("""COMPUTED_VALUE"""),9.0)</f>
        <v>9</v>
      </c>
      <c r="D420" s="1">
        <f>IFERROR(__xludf.DUMMYFUNCTION("""COMPUTED_VALUE"""),2713.46)</f>
        <v>2713.46</v>
      </c>
    </row>
    <row r="421">
      <c r="A421" s="1" t="str">
        <f>IFERROR(__xludf.DUMMYFUNCTION("""COMPUTED_VALUE"""),"PR024")</f>
        <v>PR024</v>
      </c>
      <c r="B421" s="1" t="str">
        <f>IFERROR(__xludf.DUMMYFUNCTION("""COMPUTED_VALUE"""),"VD011")</f>
        <v>VD011</v>
      </c>
      <c r="C421" s="1">
        <f>IFERROR(__xludf.DUMMYFUNCTION("""COMPUTED_VALUE"""),3.0)</f>
        <v>3</v>
      </c>
      <c r="D421" s="1">
        <f>IFERROR(__xludf.DUMMYFUNCTION("""COMPUTED_VALUE"""),834.28)</f>
        <v>834.28</v>
      </c>
    </row>
    <row r="422">
      <c r="A422" s="1" t="str">
        <f>IFERROR(__xludf.DUMMYFUNCTION("""COMPUTED_VALUE"""),"PR047")</f>
        <v>PR047</v>
      </c>
      <c r="B422" s="1" t="str">
        <f>IFERROR(__xludf.DUMMYFUNCTION("""COMPUTED_VALUE"""),"VD033")</f>
        <v>VD033</v>
      </c>
      <c r="C422" s="1">
        <f>IFERROR(__xludf.DUMMYFUNCTION("""COMPUTED_VALUE"""),1.0)</f>
        <v>1</v>
      </c>
      <c r="D422" s="1">
        <f>IFERROR(__xludf.DUMMYFUNCTION("""COMPUTED_VALUE"""),307.29)</f>
        <v>307.29</v>
      </c>
    </row>
    <row r="423">
      <c r="A423" s="1" t="str">
        <f>IFERROR(__xludf.DUMMYFUNCTION("""COMPUTED_VALUE"""),"PR032")</f>
        <v>PR032</v>
      </c>
      <c r="B423" s="1" t="str">
        <f>IFERROR(__xludf.DUMMYFUNCTION("""COMPUTED_VALUE"""),"VD025")</f>
        <v>VD025</v>
      </c>
      <c r="C423" s="1">
        <f>IFERROR(__xludf.DUMMYFUNCTION("""COMPUTED_VALUE"""),16.0)</f>
        <v>16</v>
      </c>
      <c r="D423" s="1">
        <f>IFERROR(__xludf.DUMMYFUNCTION("""COMPUTED_VALUE"""),4080.0)</f>
        <v>4080</v>
      </c>
    </row>
    <row r="424">
      <c r="A424" s="1" t="str">
        <f>IFERROR(__xludf.DUMMYFUNCTION("""COMPUTED_VALUE"""),"PR020")</f>
        <v>PR020</v>
      </c>
      <c r="B424" s="1" t="str">
        <f>IFERROR(__xludf.DUMMYFUNCTION("""COMPUTED_VALUE"""),"VD015")</f>
        <v>VD015</v>
      </c>
      <c r="C424" s="1">
        <f>IFERROR(__xludf.DUMMYFUNCTION("""COMPUTED_VALUE"""),10.0)</f>
        <v>10</v>
      </c>
      <c r="D424" s="1">
        <f>IFERROR(__xludf.DUMMYFUNCTION("""COMPUTED_VALUE"""),3088.97)</f>
        <v>3088.97</v>
      </c>
    </row>
    <row r="425">
      <c r="A425" s="1" t="str">
        <f>IFERROR(__xludf.DUMMYFUNCTION("""COMPUTED_VALUE"""),"PR006")</f>
        <v>PR006</v>
      </c>
      <c r="B425" s="1" t="str">
        <f>IFERROR(__xludf.DUMMYFUNCTION("""COMPUTED_VALUE"""),"VD012")</f>
        <v>VD012</v>
      </c>
      <c r="C425" s="1">
        <f>IFERROR(__xludf.DUMMYFUNCTION("""COMPUTED_VALUE"""),15.0)</f>
        <v>15</v>
      </c>
      <c r="D425" s="1">
        <f>IFERROR(__xludf.DUMMYFUNCTION("""COMPUTED_VALUE"""),634.41)</f>
        <v>634.41</v>
      </c>
    </row>
    <row r="426">
      <c r="A426" s="1" t="str">
        <f>IFERROR(__xludf.DUMMYFUNCTION("""COMPUTED_VALUE"""),"PR031")</f>
        <v>PR031</v>
      </c>
      <c r="B426" s="1" t="str">
        <f>IFERROR(__xludf.DUMMYFUNCTION("""COMPUTED_VALUE"""),"VD034")</f>
        <v>VD034</v>
      </c>
      <c r="C426" s="1">
        <f>IFERROR(__xludf.DUMMYFUNCTION("""COMPUTED_VALUE"""),9.0)</f>
        <v>9</v>
      </c>
      <c r="D426" s="1">
        <f>IFERROR(__xludf.DUMMYFUNCTION("""COMPUTED_VALUE"""),2227.05)</f>
        <v>2227.05</v>
      </c>
    </row>
    <row r="427">
      <c r="A427" s="1" t="str">
        <f>IFERROR(__xludf.DUMMYFUNCTION("""COMPUTED_VALUE"""),"PR052")</f>
        <v>PR052</v>
      </c>
      <c r="B427" s="1" t="str">
        <f>IFERROR(__xludf.DUMMYFUNCTION("""COMPUTED_VALUE"""),"VD044")</f>
        <v>VD044</v>
      </c>
      <c r="C427" s="1">
        <f>IFERROR(__xludf.DUMMYFUNCTION("""COMPUTED_VALUE"""),12.0)</f>
        <v>12</v>
      </c>
      <c r="D427" s="1">
        <f>IFERROR(__xludf.DUMMYFUNCTION("""COMPUTED_VALUE"""),658.68)</f>
        <v>658.68</v>
      </c>
    </row>
    <row r="428">
      <c r="A428" s="1" t="str">
        <f>IFERROR(__xludf.DUMMYFUNCTION("""COMPUTED_VALUE"""),"PR050")</f>
        <v>PR050</v>
      </c>
      <c r="B428" s="1" t="str">
        <f>IFERROR(__xludf.DUMMYFUNCTION("""COMPUTED_VALUE"""),"VD018")</f>
        <v>VD018</v>
      </c>
      <c r="C428" s="1">
        <f>IFERROR(__xludf.DUMMYFUNCTION("""COMPUTED_VALUE"""),14.0)</f>
        <v>14</v>
      </c>
      <c r="D428" s="1">
        <f>IFERROR(__xludf.DUMMYFUNCTION("""COMPUTED_VALUE"""),502.05)</f>
        <v>502.05</v>
      </c>
    </row>
    <row r="429">
      <c r="A429" s="1" t="str">
        <f>IFERROR(__xludf.DUMMYFUNCTION("""COMPUTED_VALUE"""),"PR042")</f>
        <v>PR042</v>
      </c>
      <c r="B429" s="1" t="str">
        <f>IFERROR(__xludf.DUMMYFUNCTION("""COMPUTED_VALUE"""),"VD018")</f>
        <v>VD018</v>
      </c>
      <c r="C429" s="1">
        <f>IFERROR(__xludf.DUMMYFUNCTION("""COMPUTED_VALUE"""),4.0)</f>
        <v>4</v>
      </c>
      <c r="D429" s="1">
        <f>IFERROR(__xludf.DUMMYFUNCTION("""COMPUTED_VALUE"""),228.38)</f>
        <v>228.38</v>
      </c>
    </row>
    <row r="430">
      <c r="A430" s="1" t="str">
        <f>IFERROR(__xludf.DUMMYFUNCTION("""COMPUTED_VALUE"""),"PR006")</f>
        <v>PR006</v>
      </c>
      <c r="B430" s="1" t="str">
        <f>IFERROR(__xludf.DUMMYFUNCTION("""COMPUTED_VALUE"""),"VD021")</f>
        <v>VD021</v>
      </c>
      <c r="C430" s="1">
        <f>IFERROR(__xludf.DUMMYFUNCTION("""COMPUTED_VALUE"""),8.0)</f>
        <v>8</v>
      </c>
      <c r="D430" s="1">
        <f>IFERROR(__xludf.DUMMYFUNCTION("""COMPUTED_VALUE"""),347.93)</f>
        <v>347.93</v>
      </c>
    </row>
    <row r="431">
      <c r="A431" s="1" t="str">
        <f>IFERROR(__xludf.DUMMYFUNCTION("""COMPUTED_VALUE"""),"PR016")</f>
        <v>PR016</v>
      </c>
      <c r="B431" s="1" t="str">
        <f>IFERROR(__xludf.DUMMYFUNCTION("""COMPUTED_VALUE"""),"VD017")</f>
        <v>VD017</v>
      </c>
      <c r="C431" s="1">
        <f>IFERROR(__xludf.DUMMYFUNCTION("""COMPUTED_VALUE"""),12.0)</f>
        <v>12</v>
      </c>
      <c r="D431" s="1">
        <f>IFERROR(__xludf.DUMMYFUNCTION("""COMPUTED_VALUE"""),341.88)</f>
        <v>341.88</v>
      </c>
    </row>
    <row r="432">
      <c r="A432" s="1" t="str">
        <f>IFERROR(__xludf.DUMMYFUNCTION("""COMPUTED_VALUE"""),"PR015")</f>
        <v>PR015</v>
      </c>
      <c r="B432" s="1" t="str">
        <f>IFERROR(__xludf.DUMMYFUNCTION("""COMPUTED_VALUE"""),"VD034")</f>
        <v>VD034</v>
      </c>
      <c r="C432" s="1">
        <f>IFERROR(__xludf.DUMMYFUNCTION("""COMPUTED_VALUE"""),5.0)</f>
        <v>5</v>
      </c>
      <c r="D432" s="1">
        <f>IFERROR(__xludf.DUMMYFUNCTION("""COMPUTED_VALUE"""),233.75)</f>
        <v>233.75</v>
      </c>
    </row>
    <row r="433">
      <c r="A433" s="1" t="str">
        <f>IFERROR(__xludf.DUMMYFUNCTION("""COMPUTED_VALUE"""),"PR003")</f>
        <v>PR003</v>
      </c>
      <c r="B433" s="1" t="str">
        <f>IFERROR(__xludf.DUMMYFUNCTION("""COMPUTED_VALUE"""),"VD041")</f>
        <v>VD041</v>
      </c>
      <c r="C433" s="1">
        <f>IFERROR(__xludf.DUMMYFUNCTION("""COMPUTED_VALUE"""),5.0)</f>
        <v>5</v>
      </c>
      <c r="D433" s="1">
        <f>IFERROR(__xludf.DUMMYFUNCTION("""COMPUTED_VALUE"""),361.59)</f>
        <v>361.59</v>
      </c>
    </row>
    <row r="434">
      <c r="A434" s="1" t="str">
        <f>IFERROR(__xludf.DUMMYFUNCTION("""COMPUTED_VALUE"""),"PR007")</f>
        <v>PR007</v>
      </c>
      <c r="B434" s="1" t="str">
        <f>IFERROR(__xludf.DUMMYFUNCTION("""COMPUTED_VALUE"""),"VD025")</f>
        <v>VD025</v>
      </c>
      <c r="C434" s="1">
        <f>IFERROR(__xludf.DUMMYFUNCTION("""COMPUTED_VALUE"""),1.0)</f>
        <v>1</v>
      </c>
      <c r="D434" s="1">
        <f>IFERROR(__xludf.DUMMYFUNCTION("""COMPUTED_VALUE"""),88.48)</f>
        <v>88.48</v>
      </c>
    </row>
    <row r="435">
      <c r="A435" s="1" t="str">
        <f>IFERROR(__xludf.DUMMYFUNCTION("""COMPUTED_VALUE"""),"PR031")</f>
        <v>PR031</v>
      </c>
      <c r="B435" s="1" t="str">
        <f>IFERROR(__xludf.DUMMYFUNCTION("""COMPUTED_VALUE"""),"VD046")</f>
        <v>VD046</v>
      </c>
      <c r="C435" s="1">
        <f>IFERROR(__xludf.DUMMYFUNCTION("""COMPUTED_VALUE"""),4.0)</f>
        <v>4</v>
      </c>
      <c r="D435" s="1">
        <f>IFERROR(__xludf.DUMMYFUNCTION("""COMPUTED_VALUE"""),1078.0)</f>
        <v>1078</v>
      </c>
    </row>
    <row r="436">
      <c r="A436" s="1" t="str">
        <f>IFERROR(__xludf.DUMMYFUNCTION("""COMPUTED_VALUE"""),"PR037")</f>
        <v>PR037</v>
      </c>
      <c r="B436" s="1" t="str">
        <f>IFERROR(__xludf.DUMMYFUNCTION("""COMPUTED_VALUE"""),"VD021")</f>
        <v>VD021</v>
      </c>
      <c r="C436" s="1">
        <f>IFERROR(__xludf.DUMMYFUNCTION("""COMPUTED_VALUE"""),4.0)</f>
        <v>4</v>
      </c>
      <c r="D436" s="1">
        <f>IFERROR(__xludf.DUMMYFUNCTION("""COMPUTED_VALUE"""),604.8)</f>
        <v>604.8</v>
      </c>
    </row>
    <row r="437">
      <c r="A437" s="1" t="str">
        <f>IFERROR(__xludf.DUMMYFUNCTION("""COMPUTED_VALUE"""),"PR043")</f>
        <v>PR043</v>
      </c>
      <c r="B437" s="1" t="str">
        <f>IFERROR(__xludf.DUMMYFUNCTION("""COMPUTED_VALUE"""),"VD036")</f>
        <v>VD036</v>
      </c>
      <c r="C437" s="1">
        <f>IFERROR(__xludf.DUMMYFUNCTION("""COMPUTED_VALUE"""),27.0)</f>
        <v>27</v>
      </c>
      <c r="D437" s="1">
        <f>IFERROR(__xludf.DUMMYFUNCTION("""COMPUTED_VALUE"""),2074.95)</f>
        <v>2074.95</v>
      </c>
    </row>
    <row r="438">
      <c r="A438" s="1" t="str">
        <f>IFERROR(__xludf.DUMMYFUNCTION("""COMPUTED_VALUE"""),"PR038")</f>
        <v>PR038</v>
      </c>
      <c r="B438" s="1" t="str">
        <f>IFERROR(__xludf.DUMMYFUNCTION("""COMPUTED_VALUE"""),"VD036")</f>
        <v>VD036</v>
      </c>
      <c r="C438" s="1">
        <f>IFERROR(__xludf.DUMMYFUNCTION("""COMPUTED_VALUE"""),12.0)</f>
        <v>12</v>
      </c>
      <c r="D438" s="1">
        <f>IFERROR(__xludf.DUMMYFUNCTION("""COMPUTED_VALUE"""),1817.69)</f>
        <v>1817.69</v>
      </c>
    </row>
    <row r="439">
      <c r="A439" s="1" t="str">
        <f>IFERROR(__xludf.DUMMYFUNCTION("""COMPUTED_VALUE"""),"PR048")</f>
        <v>PR048</v>
      </c>
      <c r="B439" s="1" t="str">
        <f>IFERROR(__xludf.DUMMYFUNCTION("""COMPUTED_VALUE"""),"VD032")</f>
        <v>VD032</v>
      </c>
      <c r="C439" s="1">
        <f>IFERROR(__xludf.DUMMYFUNCTION("""COMPUTED_VALUE"""),9.0)</f>
        <v>9</v>
      </c>
      <c r="D439" s="1">
        <f>IFERROR(__xludf.DUMMYFUNCTION("""COMPUTED_VALUE"""),2817.83)</f>
        <v>2817.83</v>
      </c>
    </row>
    <row r="440">
      <c r="A440" s="1" t="str">
        <f>IFERROR(__xludf.DUMMYFUNCTION("""COMPUTED_VALUE"""),"PR051")</f>
        <v>PR051</v>
      </c>
      <c r="B440" s="1" t="str">
        <f>IFERROR(__xludf.DUMMYFUNCTION("""COMPUTED_VALUE"""),"VD039")</f>
        <v>VD039</v>
      </c>
      <c r="C440" s="1">
        <f>IFERROR(__xludf.DUMMYFUNCTION("""COMPUTED_VALUE"""),15.0)</f>
        <v>15</v>
      </c>
      <c r="D440" s="1">
        <f>IFERROR(__xludf.DUMMYFUNCTION("""COMPUTED_VALUE"""),537.92)</f>
        <v>537.92</v>
      </c>
    </row>
    <row r="441">
      <c r="A441" s="1" t="str">
        <f>IFERROR(__xludf.DUMMYFUNCTION("""COMPUTED_VALUE"""),"PR047")</f>
        <v>PR047</v>
      </c>
      <c r="B441" s="1" t="str">
        <f>IFERROR(__xludf.DUMMYFUNCTION("""COMPUTED_VALUE"""),"VD039")</f>
        <v>VD039</v>
      </c>
      <c r="C441" s="1">
        <f>IFERROR(__xludf.DUMMYFUNCTION("""COMPUTED_VALUE"""),8.0)</f>
        <v>8</v>
      </c>
      <c r="D441" s="1">
        <f>IFERROR(__xludf.DUMMYFUNCTION("""COMPUTED_VALUE"""),2504.74)</f>
        <v>2504.74</v>
      </c>
    </row>
    <row r="442">
      <c r="A442" s="1" t="str">
        <f>IFERROR(__xludf.DUMMYFUNCTION("""COMPUTED_VALUE"""),"PR014")</f>
        <v>PR014</v>
      </c>
      <c r="B442" s="1" t="str">
        <f>IFERROR(__xludf.DUMMYFUNCTION("""COMPUTED_VALUE"""),"VD017")</f>
        <v>VD017</v>
      </c>
      <c r="C442" s="1">
        <f>IFERROR(__xludf.DUMMYFUNCTION("""COMPUTED_VALUE"""),5.0)</f>
        <v>5</v>
      </c>
      <c r="D442" s="1">
        <f>IFERROR(__xludf.DUMMYFUNCTION("""COMPUTED_VALUE"""),217.46)</f>
        <v>217.46</v>
      </c>
    </row>
    <row r="443">
      <c r="A443" s="1" t="str">
        <f>IFERROR(__xludf.DUMMYFUNCTION("""COMPUTED_VALUE"""),"PR009")</f>
        <v>PR009</v>
      </c>
      <c r="B443" s="1" t="str">
        <f>IFERROR(__xludf.DUMMYFUNCTION("""COMPUTED_VALUE"""),"VD010")</f>
        <v>VD010</v>
      </c>
      <c r="C443" s="1">
        <f>IFERROR(__xludf.DUMMYFUNCTION("""COMPUTED_VALUE"""),5.0)</f>
        <v>5</v>
      </c>
      <c r="D443" s="1">
        <f>IFERROR(__xludf.DUMMYFUNCTION("""COMPUTED_VALUE"""),478.44)</f>
        <v>478.44</v>
      </c>
    </row>
    <row r="444">
      <c r="A444" s="1" t="str">
        <f>IFERROR(__xludf.DUMMYFUNCTION("""COMPUTED_VALUE"""),"PR029")</f>
        <v>PR029</v>
      </c>
      <c r="B444" s="1" t="str">
        <f>IFERROR(__xludf.DUMMYFUNCTION("""COMPUTED_VALUE"""),"VD014")</f>
        <v>VD014</v>
      </c>
      <c r="C444" s="1">
        <f>IFERROR(__xludf.DUMMYFUNCTION("""COMPUTED_VALUE"""),6.0)</f>
        <v>6</v>
      </c>
      <c r="D444" s="1">
        <f>IFERROR(__xludf.DUMMYFUNCTION("""COMPUTED_VALUE"""),1575.9)</f>
        <v>1575.9</v>
      </c>
    </row>
    <row r="445">
      <c r="A445" s="1" t="str">
        <f>IFERROR(__xludf.DUMMYFUNCTION("""COMPUTED_VALUE"""),"PR019")</f>
        <v>PR019</v>
      </c>
      <c r="B445" s="1" t="str">
        <f>IFERROR(__xludf.DUMMYFUNCTION("""COMPUTED_VALUE"""),"VD020")</f>
        <v>VD020</v>
      </c>
      <c r="C445" s="1">
        <f>IFERROR(__xludf.DUMMYFUNCTION("""COMPUTED_VALUE"""),6.0)</f>
        <v>6</v>
      </c>
      <c r="D445" s="1">
        <f>IFERROR(__xludf.DUMMYFUNCTION("""COMPUTED_VALUE"""),317.36)</f>
        <v>317.36</v>
      </c>
    </row>
    <row r="446">
      <c r="A446" s="1" t="str">
        <f>IFERROR(__xludf.DUMMYFUNCTION("""COMPUTED_VALUE"""),"PR007")</f>
        <v>PR007</v>
      </c>
      <c r="B446" s="1" t="str">
        <f>IFERROR(__xludf.DUMMYFUNCTION("""COMPUTED_VALUE"""),"VD028")</f>
        <v>VD028</v>
      </c>
      <c r="C446" s="1">
        <f>IFERROR(__xludf.DUMMYFUNCTION("""COMPUTED_VALUE"""),14.0)</f>
        <v>14</v>
      </c>
      <c r="D446" s="1">
        <f>IFERROR(__xludf.DUMMYFUNCTION("""COMPUTED_VALUE"""),1226.65)</f>
        <v>1226.65</v>
      </c>
    </row>
    <row r="447">
      <c r="A447" s="1" t="str">
        <f>IFERROR(__xludf.DUMMYFUNCTION("""COMPUTED_VALUE"""),"PR032")</f>
        <v>PR032</v>
      </c>
      <c r="B447" s="1" t="str">
        <f>IFERROR(__xludf.DUMMYFUNCTION("""COMPUTED_VALUE"""),"VD033")</f>
        <v>VD033</v>
      </c>
      <c r="C447" s="1">
        <f>IFERROR(__xludf.DUMMYFUNCTION("""COMPUTED_VALUE"""),30.0)</f>
        <v>30</v>
      </c>
      <c r="D447" s="1">
        <f>IFERROR(__xludf.DUMMYFUNCTION("""COMPUTED_VALUE"""),7950.0)</f>
        <v>7950</v>
      </c>
    </row>
    <row r="448">
      <c r="A448" s="1" t="str">
        <f>IFERROR(__xludf.DUMMYFUNCTION("""COMPUTED_VALUE"""),"PR052")</f>
        <v>PR052</v>
      </c>
      <c r="B448" s="1" t="str">
        <f>IFERROR(__xludf.DUMMYFUNCTION("""COMPUTED_VALUE"""),"VD037")</f>
        <v>VD037</v>
      </c>
      <c r="C448" s="1">
        <f>IFERROR(__xludf.DUMMYFUNCTION("""COMPUTED_VALUE"""),16.0)</f>
        <v>16</v>
      </c>
      <c r="D448" s="1">
        <f>IFERROR(__xludf.DUMMYFUNCTION("""COMPUTED_VALUE"""),870.26)</f>
        <v>870.26</v>
      </c>
    </row>
    <row r="449">
      <c r="A449" s="1" t="str">
        <f>IFERROR(__xludf.DUMMYFUNCTION("""COMPUTED_VALUE"""),"PR055")</f>
        <v>PR055</v>
      </c>
      <c r="B449" s="1" t="str">
        <f>IFERROR(__xludf.DUMMYFUNCTION("""COMPUTED_VALUE"""),"VD036")</f>
        <v>VD036</v>
      </c>
      <c r="C449" s="1">
        <f>IFERROR(__xludf.DUMMYFUNCTION("""COMPUTED_VALUE"""),1.0)</f>
        <v>1</v>
      </c>
      <c r="D449" s="1">
        <f>IFERROR(__xludf.DUMMYFUNCTION("""COMPUTED_VALUE"""),89.9)</f>
        <v>89.9</v>
      </c>
    </row>
    <row r="450">
      <c r="A450" s="1" t="str">
        <f>IFERROR(__xludf.DUMMYFUNCTION("""COMPUTED_VALUE"""),"PR027")</f>
        <v>PR027</v>
      </c>
      <c r="B450" s="1" t="str">
        <f>IFERROR(__xludf.DUMMYFUNCTION("""COMPUTED_VALUE"""),"VD019")</f>
        <v>VD019</v>
      </c>
      <c r="C450" s="1">
        <f>IFERROR(__xludf.DUMMYFUNCTION("""COMPUTED_VALUE"""),8.0)</f>
        <v>8</v>
      </c>
      <c r="D450" s="1">
        <f>IFERROR(__xludf.DUMMYFUNCTION("""COMPUTED_VALUE"""),988.8)</f>
        <v>988.8</v>
      </c>
    </row>
    <row r="451">
      <c r="A451" s="1" t="str">
        <f>IFERROR(__xludf.DUMMYFUNCTION("""COMPUTED_VALUE"""),"PR034")</f>
        <v>PR034</v>
      </c>
      <c r="B451" s="1" t="str">
        <f>IFERROR(__xludf.DUMMYFUNCTION("""COMPUTED_VALUE"""),"VD048")</f>
        <v>VD048</v>
      </c>
      <c r="C451" s="1">
        <f>IFERROR(__xludf.DUMMYFUNCTION("""COMPUTED_VALUE"""),30.0)</f>
        <v>30</v>
      </c>
      <c r="D451" s="1">
        <f>IFERROR(__xludf.DUMMYFUNCTION("""COMPUTED_VALUE"""),2777.91)</f>
        <v>2777.91</v>
      </c>
    </row>
    <row r="452">
      <c r="A452" s="1" t="str">
        <f>IFERROR(__xludf.DUMMYFUNCTION("""COMPUTED_VALUE"""),"PR028")</f>
        <v>PR028</v>
      </c>
      <c r="B452" s="1" t="str">
        <f>IFERROR(__xludf.DUMMYFUNCTION("""COMPUTED_VALUE"""),"VD042")</f>
        <v>VD042</v>
      </c>
      <c r="C452" s="1">
        <f>IFERROR(__xludf.DUMMYFUNCTION("""COMPUTED_VALUE"""),3.0)</f>
        <v>3</v>
      </c>
      <c r="D452" s="1">
        <f>IFERROR(__xludf.DUMMYFUNCTION("""COMPUTED_VALUE"""),749.7)</f>
        <v>749.7</v>
      </c>
    </row>
    <row r="453">
      <c r="A453" s="1" t="str">
        <f>IFERROR(__xludf.DUMMYFUNCTION("""COMPUTED_VALUE"""),"PR039")</f>
        <v>PR039</v>
      </c>
      <c r="B453" s="1" t="str">
        <f>IFERROR(__xludf.DUMMYFUNCTION("""COMPUTED_VALUE"""),"VD023")</f>
        <v>VD023</v>
      </c>
      <c r="C453" s="1">
        <f>IFERROR(__xludf.DUMMYFUNCTION("""COMPUTED_VALUE"""),9.0)</f>
        <v>9</v>
      </c>
      <c r="D453" s="1">
        <f>IFERROR(__xludf.DUMMYFUNCTION("""COMPUTED_VALUE"""),1445.4)</f>
        <v>1445.4</v>
      </c>
    </row>
    <row r="454">
      <c r="A454" s="1" t="str">
        <f>IFERROR(__xludf.DUMMYFUNCTION("""COMPUTED_VALUE"""),"PR053")</f>
        <v>PR053</v>
      </c>
      <c r="B454" s="1" t="str">
        <f>IFERROR(__xludf.DUMMYFUNCTION("""COMPUTED_VALUE"""),"VD024")</f>
        <v>VD024</v>
      </c>
      <c r="C454" s="1">
        <f>IFERROR(__xludf.DUMMYFUNCTION("""COMPUTED_VALUE"""),6.0)</f>
        <v>6</v>
      </c>
      <c r="D454" s="1">
        <f>IFERROR(__xludf.DUMMYFUNCTION("""COMPUTED_VALUE"""),308.38)</f>
        <v>308.38</v>
      </c>
    </row>
    <row r="455">
      <c r="A455" s="1" t="str">
        <f>IFERROR(__xludf.DUMMYFUNCTION("""COMPUTED_VALUE"""),"PR032")</f>
        <v>PR032</v>
      </c>
      <c r="B455" s="1" t="str">
        <f>IFERROR(__xludf.DUMMYFUNCTION("""COMPUTED_VALUE"""),"VD011")</f>
        <v>VD011</v>
      </c>
      <c r="C455" s="1">
        <f>IFERROR(__xludf.DUMMYFUNCTION("""COMPUTED_VALUE"""),27.0)</f>
        <v>27</v>
      </c>
      <c r="D455" s="1">
        <f>IFERROR(__xludf.DUMMYFUNCTION("""COMPUTED_VALUE"""),7020.0)</f>
        <v>7020</v>
      </c>
    </row>
    <row r="456">
      <c r="A456" s="1" t="str">
        <f>IFERROR(__xludf.DUMMYFUNCTION("""COMPUTED_VALUE"""),"PR027")</f>
        <v>PR027</v>
      </c>
      <c r="B456" s="1" t="str">
        <f>IFERROR(__xludf.DUMMYFUNCTION("""COMPUTED_VALUE"""),"VD030")</f>
        <v>VD030</v>
      </c>
      <c r="C456" s="1">
        <f>IFERROR(__xludf.DUMMYFUNCTION("""COMPUTED_VALUE"""),3.0)</f>
        <v>3</v>
      </c>
      <c r="D456" s="1">
        <f>IFERROR(__xludf.DUMMYFUNCTION("""COMPUTED_VALUE"""),381.6)</f>
        <v>381.6</v>
      </c>
    </row>
    <row r="457">
      <c r="A457" s="1" t="str">
        <f>IFERROR(__xludf.DUMMYFUNCTION("""COMPUTED_VALUE"""),"PR049")</f>
        <v>PR049</v>
      </c>
      <c r="B457" s="1" t="str">
        <f>IFERROR(__xludf.DUMMYFUNCTION("""COMPUTED_VALUE"""),"VD017")</f>
        <v>VD017</v>
      </c>
      <c r="C457" s="1">
        <f>IFERROR(__xludf.DUMMYFUNCTION("""COMPUTED_VALUE"""),24.0)</f>
        <v>24</v>
      </c>
      <c r="D457" s="1">
        <f>IFERROR(__xludf.DUMMYFUNCTION("""COMPUTED_VALUE"""),868.56)</f>
        <v>868.56</v>
      </c>
    </row>
    <row r="458">
      <c r="A458" s="1" t="str">
        <f>IFERROR(__xludf.DUMMYFUNCTION("""COMPUTED_VALUE"""),"PR050")</f>
        <v>PR050</v>
      </c>
      <c r="B458" s="1" t="str">
        <f>IFERROR(__xludf.DUMMYFUNCTION("""COMPUTED_VALUE"""),"VD018")</f>
        <v>VD018</v>
      </c>
      <c r="C458" s="1">
        <f>IFERROR(__xludf.DUMMYFUNCTION("""COMPUTED_VALUE"""),30.0)</f>
        <v>30</v>
      </c>
      <c r="D458" s="1">
        <f>IFERROR(__xludf.DUMMYFUNCTION("""COMPUTED_VALUE"""),987.0)</f>
        <v>987</v>
      </c>
    </row>
    <row r="459">
      <c r="A459" s="1" t="str">
        <f>IFERROR(__xludf.DUMMYFUNCTION("""COMPUTED_VALUE"""),"PR051")</f>
        <v>PR051</v>
      </c>
      <c r="B459" s="1" t="str">
        <f>IFERROR(__xludf.DUMMYFUNCTION("""COMPUTED_VALUE"""),"VD021")</f>
        <v>VD021</v>
      </c>
      <c r="C459" s="1">
        <f>IFERROR(__xludf.DUMMYFUNCTION("""COMPUTED_VALUE"""),9.0)</f>
        <v>9</v>
      </c>
      <c r="D459" s="1">
        <f>IFERROR(__xludf.DUMMYFUNCTION("""COMPUTED_VALUE"""),302.02)</f>
        <v>302.02</v>
      </c>
    </row>
    <row r="460">
      <c r="A460" s="1" t="str">
        <f>IFERROR(__xludf.DUMMYFUNCTION("""COMPUTED_VALUE"""),"PR031")</f>
        <v>PR031</v>
      </c>
      <c r="B460" s="1" t="str">
        <f>IFERROR(__xludf.DUMMYFUNCTION("""COMPUTED_VALUE"""),"VD018")</f>
        <v>VD018</v>
      </c>
      <c r="C460" s="1">
        <f>IFERROR(__xludf.DUMMYFUNCTION("""COMPUTED_VALUE"""),12.0)</f>
        <v>12</v>
      </c>
      <c r="D460" s="1">
        <f>IFERROR(__xludf.DUMMYFUNCTION("""COMPUTED_VALUE"""),3175.2)</f>
        <v>3175.2</v>
      </c>
    </row>
    <row r="461">
      <c r="A461" s="1" t="str">
        <f>IFERROR(__xludf.DUMMYFUNCTION("""COMPUTED_VALUE"""),"PR017")</f>
        <v>PR017</v>
      </c>
      <c r="B461" s="1" t="str">
        <f>IFERROR(__xludf.DUMMYFUNCTION("""COMPUTED_VALUE"""),"VD014")</f>
        <v>VD014</v>
      </c>
      <c r="C461" s="1">
        <f>IFERROR(__xludf.DUMMYFUNCTION("""COMPUTED_VALUE"""),6.0)</f>
        <v>6</v>
      </c>
      <c r="D461" s="1">
        <f>IFERROR(__xludf.DUMMYFUNCTION("""COMPUTED_VALUE"""),197.34)</f>
        <v>197.34</v>
      </c>
    </row>
    <row r="462">
      <c r="A462" s="1" t="str">
        <f>IFERROR(__xludf.DUMMYFUNCTION("""COMPUTED_VALUE"""),"PR044")</f>
        <v>PR044</v>
      </c>
      <c r="B462" s="1" t="str">
        <f>IFERROR(__xludf.DUMMYFUNCTION("""COMPUTED_VALUE"""),"VD025")</f>
        <v>VD025</v>
      </c>
      <c r="C462" s="1">
        <f>IFERROR(__xludf.DUMMYFUNCTION("""COMPUTED_VALUE"""),1.0)</f>
        <v>1</v>
      </c>
      <c r="D462" s="1">
        <f>IFERROR(__xludf.DUMMYFUNCTION("""COMPUTED_VALUE"""),76.13)</f>
        <v>76.13</v>
      </c>
    </row>
    <row r="463">
      <c r="A463" s="1" t="str">
        <f>IFERROR(__xludf.DUMMYFUNCTION("""COMPUTED_VALUE"""),"PR018")</f>
        <v>PR018</v>
      </c>
      <c r="B463" s="1" t="str">
        <f>IFERROR(__xludf.DUMMYFUNCTION("""COMPUTED_VALUE"""),"VD019")</f>
        <v>VD019</v>
      </c>
      <c r="C463" s="1">
        <f>IFERROR(__xludf.DUMMYFUNCTION("""COMPUTED_VALUE"""),3.0)</f>
        <v>3</v>
      </c>
      <c r="D463" s="1">
        <f>IFERROR(__xludf.DUMMYFUNCTION("""COMPUTED_VALUE"""),98.7)</f>
        <v>98.7</v>
      </c>
    </row>
    <row r="464">
      <c r="A464" s="1" t="str">
        <f>IFERROR(__xludf.DUMMYFUNCTION("""COMPUTED_VALUE"""),"PR010")</f>
        <v>PR010</v>
      </c>
      <c r="B464" s="1" t="str">
        <f>IFERROR(__xludf.DUMMYFUNCTION("""COMPUTED_VALUE"""),"VD042")</f>
        <v>VD042</v>
      </c>
      <c r="C464" s="1">
        <f>IFERROR(__xludf.DUMMYFUNCTION("""COMPUTED_VALUE"""),10.0)</f>
        <v>10</v>
      </c>
      <c r="D464" s="1">
        <f>IFERROR(__xludf.DUMMYFUNCTION("""COMPUTED_VALUE"""),489.41)</f>
        <v>489.41</v>
      </c>
    </row>
    <row r="465">
      <c r="A465" s="1" t="str">
        <f>IFERROR(__xludf.DUMMYFUNCTION("""COMPUTED_VALUE"""),"PR041")</f>
        <v>PR041</v>
      </c>
      <c r="B465" s="1" t="str">
        <f>IFERROR(__xludf.DUMMYFUNCTION("""COMPUTED_VALUE"""),"VD032")</f>
        <v>VD032</v>
      </c>
      <c r="C465" s="1">
        <f>IFERROR(__xludf.DUMMYFUNCTION("""COMPUTED_VALUE"""),10.0)</f>
        <v>10</v>
      </c>
      <c r="D465" s="1">
        <f>IFERROR(__xludf.DUMMYFUNCTION("""COMPUTED_VALUE"""),554.49)</f>
        <v>554.49</v>
      </c>
    </row>
    <row r="466">
      <c r="A466" s="1" t="str">
        <f>IFERROR(__xludf.DUMMYFUNCTION("""COMPUTED_VALUE"""),"PR050")</f>
        <v>PR050</v>
      </c>
      <c r="B466" s="1" t="str">
        <f>IFERROR(__xludf.DUMMYFUNCTION("""COMPUTED_VALUE"""),"VD042")</f>
        <v>VD042</v>
      </c>
      <c r="C466" s="1">
        <f>IFERROR(__xludf.DUMMYFUNCTION("""COMPUTED_VALUE"""),2.0)</f>
        <v>2</v>
      </c>
      <c r="D466" s="1">
        <f>IFERROR(__xludf.DUMMYFUNCTION("""COMPUTED_VALUE"""),68.43)</f>
        <v>68.43</v>
      </c>
    </row>
    <row r="467">
      <c r="A467" s="1" t="str">
        <f>IFERROR(__xludf.DUMMYFUNCTION("""COMPUTED_VALUE"""),"PR022")</f>
        <v>PR022</v>
      </c>
      <c r="B467" s="1" t="str">
        <f>IFERROR(__xludf.DUMMYFUNCTION("""COMPUTED_VALUE"""),"VD031")</f>
        <v>VD031</v>
      </c>
      <c r="C467" s="1">
        <f>IFERROR(__xludf.DUMMYFUNCTION("""COMPUTED_VALUE"""),10.0)</f>
        <v>10</v>
      </c>
      <c r="D467" s="1">
        <f>IFERROR(__xludf.DUMMYFUNCTION("""COMPUTED_VALUE"""),3270.0)</f>
        <v>3270</v>
      </c>
    </row>
    <row r="468">
      <c r="A468" s="1" t="str">
        <f>IFERROR(__xludf.DUMMYFUNCTION("""COMPUTED_VALUE"""),"PR048")</f>
        <v>PR048</v>
      </c>
      <c r="B468" s="1" t="str">
        <f>IFERROR(__xludf.DUMMYFUNCTION("""COMPUTED_VALUE"""),"VD016")</f>
        <v>VD016</v>
      </c>
      <c r="C468" s="1">
        <f>IFERROR(__xludf.DUMMYFUNCTION("""COMPUTED_VALUE"""),16.0)</f>
        <v>16</v>
      </c>
      <c r="D468" s="1">
        <f>IFERROR(__xludf.DUMMYFUNCTION("""COMPUTED_VALUE"""),5009.47)</f>
        <v>5009.47</v>
      </c>
    </row>
    <row r="469">
      <c r="A469" s="1" t="str">
        <f>IFERROR(__xludf.DUMMYFUNCTION("""COMPUTED_VALUE"""),"PR028")</f>
        <v>PR028</v>
      </c>
      <c r="B469" s="1" t="str">
        <f>IFERROR(__xludf.DUMMYFUNCTION("""COMPUTED_VALUE"""),"VD041")</f>
        <v>VD041</v>
      </c>
      <c r="C469" s="1">
        <f>IFERROR(__xludf.DUMMYFUNCTION("""COMPUTED_VALUE"""),16.0)</f>
        <v>16</v>
      </c>
      <c r="D469" s="1">
        <f>IFERROR(__xludf.DUMMYFUNCTION("""COMPUTED_VALUE"""),4038.38)</f>
        <v>4038.38</v>
      </c>
    </row>
    <row r="470">
      <c r="A470" s="1" t="str">
        <f>IFERROR(__xludf.DUMMYFUNCTION("""COMPUTED_VALUE"""),"PR002")</f>
        <v>PR002</v>
      </c>
      <c r="B470" s="1" t="str">
        <f>IFERROR(__xludf.DUMMYFUNCTION("""COMPUTED_VALUE"""),"VD027")</f>
        <v>VD027</v>
      </c>
      <c r="C470" s="1">
        <f>IFERROR(__xludf.DUMMYFUNCTION("""COMPUTED_VALUE"""),2.0)</f>
        <v>2</v>
      </c>
      <c r="D470" s="1">
        <f>IFERROR(__xludf.DUMMYFUNCTION("""COMPUTED_VALUE"""),153.78)</f>
        <v>153.78</v>
      </c>
    </row>
    <row r="471">
      <c r="A471" s="1" t="str">
        <f>IFERROR(__xludf.DUMMYFUNCTION("""COMPUTED_VALUE"""),"PR043")</f>
        <v>PR043</v>
      </c>
      <c r="B471" s="1" t="str">
        <f>IFERROR(__xludf.DUMMYFUNCTION("""COMPUTED_VALUE"""),"VD046")</f>
        <v>VD046</v>
      </c>
      <c r="C471" s="1">
        <f>IFERROR(__xludf.DUMMYFUNCTION("""COMPUTED_VALUE"""),2.0)</f>
        <v>2</v>
      </c>
      <c r="D471" s="1">
        <f>IFERROR(__xludf.DUMMYFUNCTION("""COMPUTED_VALUE"""),146.45)</f>
        <v>146.45</v>
      </c>
    </row>
    <row r="472">
      <c r="A472" s="1" t="str">
        <f>IFERROR(__xludf.DUMMYFUNCTION("""COMPUTED_VALUE"""),"PR033")</f>
        <v>PR033</v>
      </c>
      <c r="B472" s="1" t="str">
        <f>IFERROR(__xludf.DUMMYFUNCTION("""COMPUTED_VALUE"""),"VD042")</f>
        <v>VD042</v>
      </c>
      <c r="C472" s="1">
        <f>IFERROR(__xludf.DUMMYFUNCTION("""COMPUTED_VALUE"""),10.0)</f>
        <v>10</v>
      </c>
      <c r="D472" s="1">
        <f>IFERROR(__xludf.DUMMYFUNCTION("""COMPUTED_VALUE"""),2832.91)</f>
        <v>2832.91</v>
      </c>
    </row>
    <row r="473">
      <c r="A473" s="1" t="str">
        <f>IFERROR(__xludf.DUMMYFUNCTION("""COMPUTED_VALUE"""),"PR041")</f>
        <v>PR041</v>
      </c>
      <c r="B473" s="1" t="str">
        <f>IFERROR(__xludf.DUMMYFUNCTION("""COMPUTED_VALUE"""),"VD020")</f>
        <v>VD020</v>
      </c>
      <c r="C473" s="1">
        <f>IFERROR(__xludf.DUMMYFUNCTION("""COMPUTED_VALUE"""),7.0)</f>
        <v>7</v>
      </c>
      <c r="D473" s="1">
        <f>IFERROR(__xludf.DUMMYFUNCTION("""COMPUTED_VALUE"""),388.14)</f>
        <v>388.14</v>
      </c>
    </row>
    <row r="474">
      <c r="A474" s="1" t="str">
        <f>IFERROR(__xludf.DUMMYFUNCTION("""COMPUTED_VALUE"""),"PR030")</f>
        <v>PR030</v>
      </c>
      <c r="B474" s="1" t="str">
        <f>IFERROR(__xludf.DUMMYFUNCTION("""COMPUTED_VALUE"""),"VD045")</f>
        <v>VD045</v>
      </c>
      <c r="C474" s="1">
        <f>IFERROR(__xludf.DUMMYFUNCTION("""COMPUTED_VALUE"""),5.0)</f>
        <v>5</v>
      </c>
      <c r="D474" s="1">
        <f>IFERROR(__xludf.DUMMYFUNCTION("""COMPUTED_VALUE"""),1312.5)</f>
        <v>1312.5</v>
      </c>
    </row>
    <row r="475">
      <c r="A475" s="1" t="str">
        <f>IFERROR(__xludf.DUMMYFUNCTION("""COMPUTED_VALUE"""),"PR060")</f>
        <v>PR060</v>
      </c>
      <c r="B475" s="1" t="str">
        <f>IFERROR(__xludf.DUMMYFUNCTION("""COMPUTED_VALUE"""),"VD032")</f>
        <v>VD032</v>
      </c>
      <c r="C475" s="1">
        <f>IFERROR(__xludf.DUMMYFUNCTION("""COMPUTED_VALUE"""),6.0)</f>
        <v>6</v>
      </c>
      <c r="D475" s="1">
        <f>IFERROR(__xludf.DUMMYFUNCTION("""COMPUTED_VALUE"""),1090.8)</f>
        <v>1090.8</v>
      </c>
    </row>
    <row r="476">
      <c r="A476" s="1" t="str">
        <f>IFERROR(__xludf.DUMMYFUNCTION("""COMPUTED_VALUE"""),"PR051")</f>
        <v>PR051</v>
      </c>
      <c r="B476" s="1" t="str">
        <f>IFERROR(__xludf.DUMMYFUNCTION("""COMPUTED_VALUE"""),"VD034")</f>
        <v>VD034</v>
      </c>
      <c r="C476" s="1">
        <f>IFERROR(__xludf.DUMMYFUNCTION("""COMPUTED_VALUE"""),20.0)</f>
        <v>20</v>
      </c>
      <c r="D476" s="1">
        <f>IFERROR(__xludf.DUMMYFUNCTION("""COMPUTED_VALUE"""),658.0)</f>
        <v>658</v>
      </c>
    </row>
    <row r="477">
      <c r="A477" s="1" t="str">
        <f>IFERROR(__xludf.DUMMYFUNCTION("""COMPUTED_VALUE"""),"PR005")</f>
        <v>PR005</v>
      </c>
      <c r="B477" s="1" t="str">
        <f>IFERROR(__xludf.DUMMYFUNCTION("""COMPUTED_VALUE"""),"VD011")</f>
        <v>VD011</v>
      </c>
      <c r="C477" s="1">
        <f>IFERROR(__xludf.DUMMYFUNCTION("""COMPUTED_VALUE"""),10.0)</f>
        <v>10</v>
      </c>
      <c r="D477" s="1">
        <f>IFERROR(__xludf.DUMMYFUNCTION("""COMPUTED_VALUE"""),2676.97)</f>
        <v>2676.97</v>
      </c>
    </row>
    <row r="478">
      <c r="A478" s="1" t="str">
        <f>IFERROR(__xludf.DUMMYFUNCTION("""COMPUTED_VALUE"""),"PR013")</f>
        <v>PR013</v>
      </c>
      <c r="B478" s="1" t="str">
        <f>IFERROR(__xludf.DUMMYFUNCTION("""COMPUTED_VALUE"""),"VD012")</f>
        <v>VD012</v>
      </c>
      <c r="C478" s="1">
        <f>IFERROR(__xludf.DUMMYFUNCTION("""COMPUTED_VALUE"""),20.0)</f>
        <v>20</v>
      </c>
      <c r="D478" s="1">
        <f>IFERROR(__xludf.DUMMYFUNCTION("""COMPUTED_VALUE"""),845.88)</f>
        <v>845.88</v>
      </c>
    </row>
    <row r="479">
      <c r="A479" s="1" t="str">
        <f>IFERROR(__xludf.DUMMYFUNCTION("""COMPUTED_VALUE"""),"PR037")</f>
        <v>PR037</v>
      </c>
      <c r="B479" s="1" t="str">
        <f>IFERROR(__xludf.DUMMYFUNCTION("""COMPUTED_VALUE"""),"VD039")</f>
        <v>VD039</v>
      </c>
      <c r="C479" s="1">
        <f>IFERROR(__xludf.DUMMYFUNCTION("""COMPUTED_VALUE"""),14.0)</f>
        <v>14</v>
      </c>
      <c r="D479" s="1">
        <f>IFERROR(__xludf.DUMMYFUNCTION("""COMPUTED_VALUE"""),1979.6)</f>
        <v>1979.6</v>
      </c>
    </row>
    <row r="480">
      <c r="A480" s="1" t="str">
        <f>IFERROR(__xludf.DUMMYFUNCTION("""COMPUTED_VALUE"""),"PR032")</f>
        <v>PR032</v>
      </c>
      <c r="B480" s="1" t="str">
        <f>IFERROR(__xludf.DUMMYFUNCTION("""COMPUTED_VALUE"""),"VD022")</f>
        <v>VD022</v>
      </c>
      <c r="C480" s="1">
        <f>IFERROR(__xludf.DUMMYFUNCTION("""COMPUTED_VALUE"""),16.0)</f>
        <v>16</v>
      </c>
      <c r="D480" s="1">
        <f>IFERROR(__xludf.DUMMYFUNCTION("""COMPUTED_VALUE"""),4160.0)</f>
        <v>4160</v>
      </c>
    </row>
    <row r="481">
      <c r="A481" s="1" t="str">
        <f>IFERROR(__xludf.DUMMYFUNCTION("""COMPUTED_VALUE"""),"PR052")</f>
        <v>PR052</v>
      </c>
      <c r="B481" s="1" t="str">
        <f>IFERROR(__xludf.DUMMYFUNCTION("""COMPUTED_VALUE"""),"VD045")</f>
        <v>VD045</v>
      </c>
      <c r="C481" s="1">
        <f>IFERROR(__xludf.DUMMYFUNCTION("""COMPUTED_VALUE"""),5.0)</f>
        <v>5</v>
      </c>
      <c r="D481" s="1">
        <f>IFERROR(__xludf.DUMMYFUNCTION("""COMPUTED_VALUE"""),269.46)</f>
        <v>269.46</v>
      </c>
    </row>
    <row r="482">
      <c r="A482" s="1" t="str">
        <f>IFERROR(__xludf.DUMMYFUNCTION("""COMPUTED_VALUE"""),"PR038")</f>
        <v>PR038</v>
      </c>
      <c r="B482" s="1" t="str">
        <f>IFERROR(__xludf.DUMMYFUNCTION("""COMPUTED_VALUE"""),"VD020")</f>
        <v>VD020</v>
      </c>
      <c r="C482" s="1">
        <f>IFERROR(__xludf.DUMMYFUNCTION("""COMPUTED_VALUE"""),2.0)</f>
        <v>2</v>
      </c>
      <c r="D482" s="1">
        <f>IFERROR(__xludf.DUMMYFUNCTION("""COMPUTED_VALUE"""),305.81)</f>
        <v>305.81</v>
      </c>
    </row>
    <row r="483">
      <c r="A483" s="1" t="str">
        <f>IFERROR(__xludf.DUMMYFUNCTION("""COMPUTED_VALUE"""),"PR049")</f>
        <v>PR049</v>
      </c>
      <c r="B483" s="1" t="str">
        <f>IFERROR(__xludf.DUMMYFUNCTION("""COMPUTED_VALUE"""),"VD029")</f>
        <v>VD029</v>
      </c>
      <c r="C483" s="1">
        <f>IFERROR(__xludf.DUMMYFUNCTION("""COMPUTED_VALUE"""),9.0)</f>
        <v>9</v>
      </c>
      <c r="D483" s="1">
        <f>IFERROR(__xludf.DUMMYFUNCTION("""COMPUTED_VALUE"""),310.91)</f>
        <v>310.91</v>
      </c>
    </row>
    <row r="484">
      <c r="A484" s="1" t="str">
        <f>IFERROR(__xludf.DUMMYFUNCTION("""COMPUTED_VALUE"""),"PR022")</f>
        <v>PR022</v>
      </c>
      <c r="B484" s="1" t="str">
        <f>IFERROR(__xludf.DUMMYFUNCTION("""COMPUTED_VALUE"""),"VD015")</f>
        <v>VD015</v>
      </c>
      <c r="C484" s="1">
        <f>IFERROR(__xludf.DUMMYFUNCTION("""COMPUTED_VALUE"""),12.0)</f>
        <v>12</v>
      </c>
      <c r="D484" s="1">
        <f>IFERROR(__xludf.DUMMYFUNCTION("""COMPUTED_VALUE"""),3672.0)</f>
        <v>3672</v>
      </c>
    </row>
    <row r="485">
      <c r="A485" s="1" t="str">
        <f>IFERROR(__xludf.DUMMYFUNCTION("""COMPUTED_VALUE"""),"PR015")</f>
        <v>PR015</v>
      </c>
      <c r="B485" s="1" t="str">
        <f>IFERROR(__xludf.DUMMYFUNCTION("""COMPUTED_VALUE"""),"VD020")</f>
        <v>VD020</v>
      </c>
      <c r="C485" s="1">
        <f>IFERROR(__xludf.DUMMYFUNCTION("""COMPUTED_VALUE"""),10.0)</f>
        <v>10</v>
      </c>
      <c r="D485" s="1">
        <f>IFERROR(__xludf.DUMMYFUNCTION("""COMPUTED_VALUE"""),442.0)</f>
        <v>442</v>
      </c>
    </row>
    <row r="486">
      <c r="A486" s="1" t="str">
        <f>IFERROR(__xludf.DUMMYFUNCTION("""COMPUTED_VALUE"""),"PR039")</f>
        <v>PR039</v>
      </c>
      <c r="B486" s="1" t="str">
        <f>IFERROR(__xludf.DUMMYFUNCTION("""COMPUTED_VALUE"""),"VD020")</f>
        <v>VD020</v>
      </c>
      <c r="C486" s="1">
        <f>IFERROR(__xludf.DUMMYFUNCTION("""COMPUTED_VALUE"""),9.0)</f>
        <v>9</v>
      </c>
      <c r="D486" s="1">
        <f>IFERROR(__xludf.DUMMYFUNCTION("""COMPUTED_VALUE"""),1445.4)</f>
        <v>1445.4</v>
      </c>
    </row>
    <row r="487">
      <c r="A487" s="1" t="str">
        <f>IFERROR(__xludf.DUMMYFUNCTION("""COMPUTED_VALUE"""),"PR035")</f>
        <v>PR035</v>
      </c>
      <c r="B487" s="1" t="str">
        <f>IFERROR(__xludf.DUMMYFUNCTION("""COMPUTED_VALUE"""),"VD017")</f>
        <v>VD017</v>
      </c>
      <c r="C487" s="1">
        <f>IFERROR(__xludf.DUMMYFUNCTION("""COMPUTED_VALUE"""),14.0)</f>
        <v>14</v>
      </c>
      <c r="D487" s="1">
        <f>IFERROR(__xludf.DUMMYFUNCTION("""COMPUTED_VALUE"""),1343.58)</f>
        <v>1343.58</v>
      </c>
    </row>
    <row r="488">
      <c r="A488" s="1" t="str">
        <f>IFERROR(__xludf.DUMMYFUNCTION("""COMPUTED_VALUE"""),"PR025")</f>
        <v>PR025</v>
      </c>
      <c r="B488" s="1" t="str">
        <f>IFERROR(__xludf.DUMMYFUNCTION("""COMPUTED_VALUE"""),"VD012")</f>
        <v>VD012</v>
      </c>
      <c r="C488" s="1">
        <f>IFERROR(__xludf.DUMMYFUNCTION("""COMPUTED_VALUE"""),3.0)</f>
        <v>3</v>
      </c>
      <c r="D488" s="1">
        <f>IFERROR(__xludf.DUMMYFUNCTION("""COMPUTED_VALUE"""),962.68)</f>
        <v>962.68</v>
      </c>
    </row>
    <row r="489">
      <c r="A489" s="1" t="str">
        <f>IFERROR(__xludf.DUMMYFUNCTION("""COMPUTED_VALUE"""),"PR027")</f>
        <v>PR027</v>
      </c>
      <c r="B489" s="1" t="str">
        <f>IFERROR(__xludf.DUMMYFUNCTION("""COMPUTED_VALUE"""),"VD031")</f>
        <v>VD031</v>
      </c>
      <c r="C489" s="1">
        <f>IFERROR(__xludf.DUMMYFUNCTION("""COMPUTED_VALUE"""),8.0)</f>
        <v>8</v>
      </c>
      <c r="D489" s="1">
        <f>IFERROR(__xludf.DUMMYFUNCTION("""COMPUTED_VALUE"""),969.6)</f>
        <v>969.6</v>
      </c>
    </row>
    <row r="490">
      <c r="A490" s="1" t="str">
        <f>IFERROR(__xludf.DUMMYFUNCTION("""COMPUTED_VALUE"""),"PR020")</f>
        <v>PR020</v>
      </c>
      <c r="B490" s="1" t="str">
        <f>IFERROR(__xludf.DUMMYFUNCTION("""COMPUTED_VALUE"""),"VD022")</f>
        <v>VD022</v>
      </c>
      <c r="C490" s="1">
        <f>IFERROR(__xludf.DUMMYFUNCTION("""COMPUTED_VALUE"""),6.0)</f>
        <v>6</v>
      </c>
      <c r="D490" s="1">
        <f>IFERROR(__xludf.DUMMYFUNCTION("""COMPUTED_VALUE"""),1853.38)</f>
        <v>1853.38</v>
      </c>
    </row>
    <row r="491">
      <c r="A491" s="1" t="str">
        <f>IFERROR(__xludf.DUMMYFUNCTION("""COMPUTED_VALUE"""),"PR050")</f>
        <v>PR050</v>
      </c>
      <c r="B491" s="1" t="str">
        <f>IFERROR(__xludf.DUMMYFUNCTION("""COMPUTED_VALUE"""),"VD047")</f>
        <v>VD047</v>
      </c>
      <c r="C491" s="1">
        <f>IFERROR(__xludf.DUMMYFUNCTION("""COMPUTED_VALUE"""),8.0)</f>
        <v>8</v>
      </c>
      <c r="D491" s="1">
        <f>IFERROR(__xludf.DUMMYFUNCTION("""COMPUTED_VALUE"""),289.52)</f>
        <v>289.52</v>
      </c>
    </row>
    <row r="492">
      <c r="A492" s="1" t="str">
        <f>IFERROR(__xludf.DUMMYFUNCTION("""COMPUTED_VALUE"""),"PR053")</f>
        <v>PR053</v>
      </c>
      <c r="B492" s="1" t="str">
        <f>IFERROR(__xludf.DUMMYFUNCTION("""COMPUTED_VALUE"""),"VD041")</f>
        <v>VD041</v>
      </c>
      <c r="C492" s="1">
        <f>IFERROR(__xludf.DUMMYFUNCTION("""COMPUTED_VALUE"""),5.0)</f>
        <v>5</v>
      </c>
      <c r="D492" s="1">
        <f>IFERROR(__xludf.DUMMYFUNCTION("""COMPUTED_VALUE"""),274.45)</f>
        <v>274.45</v>
      </c>
    </row>
    <row r="493">
      <c r="A493" s="1" t="str">
        <f>IFERROR(__xludf.DUMMYFUNCTION("""COMPUTED_VALUE"""),"PR042")</f>
        <v>PR042</v>
      </c>
      <c r="B493" s="1" t="str">
        <f>IFERROR(__xludf.DUMMYFUNCTION("""COMPUTED_VALUE"""),"VD018")</f>
        <v>VD018</v>
      </c>
      <c r="C493" s="1">
        <f>IFERROR(__xludf.DUMMYFUNCTION("""COMPUTED_VALUE"""),14.0)</f>
        <v>14</v>
      </c>
      <c r="D493" s="1">
        <f>IFERROR(__xludf.DUMMYFUNCTION("""COMPUTED_VALUE"""),822.4)</f>
        <v>822.4</v>
      </c>
    </row>
    <row r="494">
      <c r="A494" s="1" t="str">
        <f>IFERROR(__xludf.DUMMYFUNCTION("""COMPUTED_VALUE"""),"PR041")</f>
        <v>PR041</v>
      </c>
      <c r="B494" s="1" t="str">
        <f>IFERROR(__xludf.DUMMYFUNCTION("""COMPUTED_VALUE"""),"VD049")</f>
        <v>VD049</v>
      </c>
      <c r="C494" s="1">
        <f>IFERROR(__xludf.DUMMYFUNCTION("""COMPUTED_VALUE"""),6.0)</f>
        <v>6</v>
      </c>
      <c r="D494" s="1">
        <f>IFERROR(__xludf.DUMMYFUNCTION("""COMPUTED_VALUE"""),352.46)</f>
        <v>352.46</v>
      </c>
    </row>
    <row r="495">
      <c r="A495" s="1" t="str">
        <f>IFERROR(__xludf.DUMMYFUNCTION("""COMPUTED_VALUE"""),"PR043")</f>
        <v>PR043</v>
      </c>
      <c r="B495" s="1" t="str">
        <f>IFERROR(__xludf.DUMMYFUNCTION("""COMPUTED_VALUE"""),"VD032")</f>
        <v>VD032</v>
      </c>
      <c r="C495" s="1">
        <f>IFERROR(__xludf.DUMMYFUNCTION("""COMPUTED_VALUE"""),2.0)</f>
        <v>2</v>
      </c>
      <c r="D495" s="1">
        <f>IFERROR(__xludf.DUMMYFUNCTION("""COMPUTED_VALUE"""),155.15)</f>
        <v>155.15</v>
      </c>
    </row>
    <row r="496">
      <c r="A496" s="1" t="str">
        <f>IFERROR(__xludf.DUMMYFUNCTION("""COMPUTED_VALUE"""),"PR006")</f>
        <v>PR006</v>
      </c>
      <c r="B496" s="1" t="str">
        <f>IFERROR(__xludf.DUMMYFUNCTION("""COMPUTED_VALUE"""),"VD044")</f>
        <v>VD044</v>
      </c>
      <c r="C496" s="1">
        <f>IFERROR(__xludf.DUMMYFUNCTION("""COMPUTED_VALUE"""),8.0)</f>
        <v>8</v>
      </c>
      <c r="D496" s="1">
        <f>IFERROR(__xludf.DUMMYFUNCTION("""COMPUTED_VALUE"""),341.54)</f>
        <v>341.54</v>
      </c>
    </row>
    <row r="497">
      <c r="A497" s="1" t="str">
        <f>IFERROR(__xludf.DUMMYFUNCTION("""COMPUTED_VALUE"""),"PR058")</f>
        <v>PR058</v>
      </c>
      <c r="B497" s="1" t="str">
        <f>IFERROR(__xludf.DUMMYFUNCTION("""COMPUTED_VALUE"""),"VD018")</f>
        <v>VD018</v>
      </c>
      <c r="C497" s="1">
        <f>IFERROR(__xludf.DUMMYFUNCTION("""COMPUTED_VALUE"""),4.0)</f>
        <v>4</v>
      </c>
      <c r="D497" s="1">
        <f>IFERROR(__xludf.DUMMYFUNCTION("""COMPUTED_VALUE"""),792.0)</f>
        <v>792</v>
      </c>
    </row>
    <row r="498">
      <c r="A498" s="1" t="str">
        <f>IFERROR(__xludf.DUMMYFUNCTION("""COMPUTED_VALUE"""),"PR038")</f>
        <v>PR038</v>
      </c>
      <c r="B498" s="1" t="str">
        <f>IFERROR(__xludf.DUMMYFUNCTION("""COMPUTED_VALUE"""),"VD032")</f>
        <v>VD032</v>
      </c>
      <c r="C498" s="1">
        <f>IFERROR(__xludf.DUMMYFUNCTION("""COMPUTED_VALUE"""),4.0)</f>
        <v>4</v>
      </c>
      <c r="D498" s="1">
        <f>IFERROR(__xludf.DUMMYFUNCTION("""COMPUTED_VALUE"""),600.18)</f>
        <v>600.18</v>
      </c>
    </row>
    <row r="499">
      <c r="A499" s="1" t="str">
        <f>IFERROR(__xludf.DUMMYFUNCTION("""COMPUTED_VALUE"""),"PR022")</f>
        <v>PR022</v>
      </c>
      <c r="B499" s="1" t="str">
        <f>IFERROR(__xludf.DUMMYFUNCTION("""COMPUTED_VALUE"""),"VD026")</f>
        <v>VD026</v>
      </c>
      <c r="C499" s="1">
        <f>IFERROR(__xludf.DUMMYFUNCTION("""COMPUTED_VALUE"""),9.0)</f>
        <v>9</v>
      </c>
      <c r="D499" s="1">
        <f>IFERROR(__xludf.DUMMYFUNCTION("""COMPUTED_VALUE"""),2916.0)</f>
        <v>2916</v>
      </c>
    </row>
    <row r="500">
      <c r="A500" s="1" t="str">
        <f>IFERROR(__xludf.DUMMYFUNCTION("""COMPUTED_VALUE"""),"PR035")</f>
        <v>PR035</v>
      </c>
      <c r="B500" s="1" t="str">
        <f>IFERROR(__xludf.DUMMYFUNCTION("""COMPUTED_VALUE"""),"VD046")</f>
        <v>VD046</v>
      </c>
      <c r="C500" s="1">
        <f>IFERROR(__xludf.DUMMYFUNCTION("""COMPUTED_VALUE"""),5.0)</f>
        <v>5</v>
      </c>
      <c r="D500" s="1">
        <f>IFERROR(__xludf.DUMMYFUNCTION("""COMPUTED_VALUE"""),479.85)</f>
        <v>479.85</v>
      </c>
    </row>
    <row r="501">
      <c r="A501" s="1" t="str">
        <f>IFERROR(__xludf.DUMMYFUNCTION("""COMPUTED_VALUE"""),"PR015")</f>
        <v>PR015</v>
      </c>
      <c r="B501" s="1" t="str">
        <f>IFERROR(__xludf.DUMMYFUNCTION("""COMPUTED_VALUE"""),"VD032")</f>
        <v>VD032</v>
      </c>
      <c r="C501" s="1">
        <f>IFERROR(__xludf.DUMMYFUNCTION("""COMPUTED_VALUE"""),5.0)</f>
        <v>5</v>
      </c>
      <c r="D501" s="1">
        <f>IFERROR(__xludf.DUMMYFUNCTION("""COMPUTED_VALUE"""),223.13)</f>
        <v>223.13</v>
      </c>
    </row>
    <row r="502">
      <c r="A502" s="1" t="str">
        <f>IFERROR(__xludf.DUMMYFUNCTION("""COMPUTED_VALUE"""),"PR020")</f>
        <v>PR020</v>
      </c>
      <c r="B502" s="1" t="str">
        <f>IFERROR(__xludf.DUMMYFUNCTION("""COMPUTED_VALUE"""),"VD021")</f>
        <v>VD021</v>
      </c>
      <c r="C502" s="1">
        <f>IFERROR(__xludf.DUMMYFUNCTION("""COMPUTED_VALUE"""),9.0)</f>
        <v>9</v>
      </c>
      <c r="D502" s="1">
        <f>IFERROR(__xludf.DUMMYFUNCTION("""COMPUTED_VALUE"""),2753.08)</f>
        <v>2753.08</v>
      </c>
    </row>
    <row r="503">
      <c r="A503" s="1" t="str">
        <f>IFERROR(__xludf.DUMMYFUNCTION("""COMPUTED_VALUE"""),"PR011")</f>
        <v>PR011</v>
      </c>
      <c r="B503" s="1" t="str">
        <f>IFERROR(__xludf.DUMMYFUNCTION("""COMPUTED_VALUE"""),"VD014")</f>
        <v>VD014</v>
      </c>
      <c r="C503" s="1">
        <f>IFERROR(__xludf.DUMMYFUNCTION("""COMPUTED_VALUE"""),9.0)</f>
        <v>9</v>
      </c>
      <c r="D503" s="1">
        <f>IFERROR(__xludf.DUMMYFUNCTION("""COMPUTED_VALUE"""),455.87)</f>
        <v>455.87</v>
      </c>
    </row>
    <row r="504">
      <c r="A504" s="1" t="str">
        <f>IFERROR(__xludf.DUMMYFUNCTION("""COMPUTED_VALUE"""),"PR050")</f>
        <v>PR050</v>
      </c>
      <c r="B504" s="1" t="str">
        <f>IFERROR(__xludf.DUMMYFUNCTION("""COMPUTED_VALUE"""),"VD040")</f>
        <v>VD040</v>
      </c>
      <c r="C504" s="1">
        <f>IFERROR(__xludf.DUMMYFUNCTION("""COMPUTED_VALUE"""),1.0)</f>
        <v>1</v>
      </c>
      <c r="D504" s="1">
        <f>IFERROR(__xludf.DUMMYFUNCTION("""COMPUTED_VALUE"""),33.56)</f>
        <v>33.56</v>
      </c>
    </row>
    <row r="505">
      <c r="A505" s="1" t="str">
        <f>IFERROR(__xludf.DUMMYFUNCTION("""COMPUTED_VALUE"""),"PR046")</f>
        <v>PR046</v>
      </c>
      <c r="B505" s="1" t="str">
        <f>IFERROR(__xludf.DUMMYFUNCTION("""COMPUTED_VALUE"""),"VD019")</f>
        <v>VD019</v>
      </c>
      <c r="C505" s="1">
        <f>IFERROR(__xludf.DUMMYFUNCTION("""COMPUTED_VALUE"""),4.0)</f>
        <v>4</v>
      </c>
      <c r="D505" s="1">
        <f>IFERROR(__xludf.DUMMYFUNCTION("""COMPUTED_VALUE"""),1263.96)</f>
        <v>1263.96</v>
      </c>
    </row>
    <row r="506">
      <c r="A506" s="1" t="str">
        <f>IFERROR(__xludf.DUMMYFUNCTION("""COMPUTED_VALUE"""),"PR016")</f>
        <v>PR016</v>
      </c>
      <c r="B506" s="1" t="str">
        <f>IFERROR(__xludf.DUMMYFUNCTION("""COMPUTED_VALUE"""),"VD012")</f>
        <v>VD012</v>
      </c>
      <c r="C506" s="1">
        <f>IFERROR(__xludf.DUMMYFUNCTION("""COMPUTED_VALUE"""),2.0)</f>
        <v>2</v>
      </c>
      <c r="D506" s="1">
        <f>IFERROR(__xludf.DUMMYFUNCTION("""COMPUTED_VALUE"""),53.35)</f>
        <v>53.35</v>
      </c>
    </row>
    <row r="507">
      <c r="A507" s="1" t="str">
        <f>IFERROR(__xludf.DUMMYFUNCTION("""COMPUTED_VALUE"""),"PR041")</f>
        <v>PR041</v>
      </c>
      <c r="B507" s="1" t="str">
        <f>IFERROR(__xludf.DUMMYFUNCTION("""COMPUTED_VALUE"""),"VD049")</f>
        <v>VD049</v>
      </c>
      <c r="C507" s="1">
        <f>IFERROR(__xludf.DUMMYFUNCTION("""COMPUTED_VALUE"""),1.0)</f>
        <v>1</v>
      </c>
      <c r="D507" s="1">
        <f>IFERROR(__xludf.DUMMYFUNCTION("""COMPUTED_VALUE"""),59.84)</f>
        <v>59.84</v>
      </c>
    </row>
    <row r="508">
      <c r="A508" s="1" t="str">
        <f>IFERROR(__xludf.DUMMYFUNCTION("""COMPUTED_VALUE"""),"PR037")</f>
        <v>PR037</v>
      </c>
      <c r="B508" s="1" t="str">
        <f>IFERROR(__xludf.DUMMYFUNCTION("""COMPUTED_VALUE"""),"VD038")</f>
        <v>VD038</v>
      </c>
      <c r="C508" s="1">
        <f>IFERROR(__xludf.DUMMYFUNCTION("""COMPUTED_VALUE"""),14.0)</f>
        <v>14</v>
      </c>
      <c r="D508" s="1">
        <f>IFERROR(__xludf.DUMMYFUNCTION("""COMPUTED_VALUE"""),1960.0)</f>
        <v>1960</v>
      </c>
    </row>
    <row r="509">
      <c r="A509" s="1" t="str">
        <f>IFERROR(__xludf.DUMMYFUNCTION("""COMPUTED_VALUE"""),"PR019")</f>
        <v>PR019</v>
      </c>
      <c r="B509" s="1" t="str">
        <f>IFERROR(__xludf.DUMMYFUNCTION("""COMPUTED_VALUE"""),"VD018")</f>
        <v>VD018</v>
      </c>
      <c r="C509" s="1">
        <f>IFERROR(__xludf.DUMMYFUNCTION("""COMPUTED_VALUE"""),4.0)</f>
        <v>4</v>
      </c>
      <c r="D509" s="1">
        <f>IFERROR(__xludf.DUMMYFUNCTION("""COMPUTED_VALUE"""),213.57)</f>
        <v>213.57</v>
      </c>
    </row>
    <row r="510">
      <c r="A510" s="1" t="str">
        <f>IFERROR(__xludf.DUMMYFUNCTION("""COMPUTED_VALUE"""),"PR052")</f>
        <v>PR052</v>
      </c>
      <c r="B510" s="1" t="str">
        <f>IFERROR(__xludf.DUMMYFUNCTION("""COMPUTED_VALUE"""),"VD043")</f>
        <v>VD043</v>
      </c>
      <c r="C510" s="1">
        <f>IFERROR(__xludf.DUMMYFUNCTION("""COMPUTED_VALUE"""),7.0)</f>
        <v>7</v>
      </c>
      <c r="D510" s="1">
        <f>IFERROR(__xludf.DUMMYFUNCTION("""COMPUTED_VALUE"""),356.29)</f>
        <v>356.29</v>
      </c>
    </row>
    <row r="511">
      <c r="A511" s="1" t="str">
        <f>IFERROR(__xludf.DUMMYFUNCTION("""COMPUTED_VALUE"""),"PR011")</f>
        <v>PR011</v>
      </c>
      <c r="B511" s="1" t="str">
        <f>IFERROR(__xludf.DUMMYFUNCTION("""COMPUTED_VALUE"""),"VD042")</f>
        <v>VD042</v>
      </c>
      <c r="C511" s="1">
        <f>IFERROR(__xludf.DUMMYFUNCTION("""COMPUTED_VALUE"""),1.0)</f>
        <v>1</v>
      </c>
      <c r="D511" s="1">
        <f>IFERROR(__xludf.DUMMYFUNCTION("""COMPUTED_VALUE"""),50.65)</f>
        <v>50.65</v>
      </c>
    </row>
    <row r="512">
      <c r="A512" s="1" t="str">
        <f>IFERROR(__xludf.DUMMYFUNCTION("""COMPUTED_VALUE"""),"PR058")</f>
        <v>PR058</v>
      </c>
      <c r="B512" s="1" t="str">
        <f>IFERROR(__xludf.DUMMYFUNCTION("""COMPUTED_VALUE"""),"VD048")</f>
        <v>VD048</v>
      </c>
      <c r="C512" s="1">
        <f>IFERROR(__xludf.DUMMYFUNCTION("""COMPUTED_VALUE"""),8.0)</f>
        <v>8</v>
      </c>
      <c r="D512" s="1">
        <f>IFERROR(__xludf.DUMMYFUNCTION("""COMPUTED_VALUE"""),1526.4)</f>
        <v>1526.4</v>
      </c>
    </row>
    <row r="513">
      <c r="A513" s="1" t="str">
        <f>IFERROR(__xludf.DUMMYFUNCTION("""COMPUTED_VALUE"""),"PR042")</f>
        <v>PR042</v>
      </c>
      <c r="B513" s="1" t="str">
        <f>IFERROR(__xludf.DUMMYFUNCTION("""COMPUTED_VALUE"""),"VD024")</f>
        <v>VD024</v>
      </c>
      <c r="C513" s="1">
        <f>IFERROR(__xludf.DUMMYFUNCTION("""COMPUTED_VALUE"""),3.0)</f>
        <v>3</v>
      </c>
      <c r="D513" s="1">
        <f>IFERROR(__xludf.DUMMYFUNCTION("""COMPUTED_VALUE"""),169.64)</f>
        <v>169.64</v>
      </c>
    </row>
    <row r="514">
      <c r="A514" s="1" t="str">
        <f>IFERROR(__xludf.DUMMYFUNCTION("""COMPUTED_VALUE"""),"PR009")</f>
        <v>PR009</v>
      </c>
      <c r="B514" s="1" t="str">
        <f>IFERROR(__xludf.DUMMYFUNCTION("""COMPUTED_VALUE"""),"VD037")</f>
        <v>VD037</v>
      </c>
      <c r="C514" s="1">
        <f>IFERROR(__xludf.DUMMYFUNCTION("""COMPUTED_VALUE"""),6.0)</f>
        <v>6</v>
      </c>
      <c r="D514" s="1">
        <f>IFERROR(__xludf.DUMMYFUNCTION("""COMPUTED_VALUE"""),568.55)</f>
        <v>568.55</v>
      </c>
    </row>
    <row r="515">
      <c r="A515" s="1" t="str">
        <f>IFERROR(__xludf.DUMMYFUNCTION("""COMPUTED_VALUE"""),"PR017")</f>
        <v>PR017</v>
      </c>
      <c r="B515" s="1" t="str">
        <f>IFERROR(__xludf.DUMMYFUNCTION("""COMPUTED_VALUE"""),"VD043")</f>
        <v>VD043</v>
      </c>
      <c r="C515" s="1">
        <f>IFERROR(__xludf.DUMMYFUNCTION("""COMPUTED_VALUE"""),2.0)</f>
        <v>2</v>
      </c>
      <c r="D515" s="1">
        <f>IFERROR(__xludf.DUMMYFUNCTION("""COMPUTED_VALUE"""),65.18)</f>
        <v>65.18</v>
      </c>
    </row>
    <row r="516">
      <c r="A516" s="1" t="str">
        <f>IFERROR(__xludf.DUMMYFUNCTION("""COMPUTED_VALUE"""),"PR009")</f>
        <v>PR009</v>
      </c>
      <c r="B516" s="1" t="str">
        <f>IFERROR(__xludf.DUMMYFUNCTION("""COMPUTED_VALUE"""),"VD025")</f>
        <v>VD025</v>
      </c>
      <c r="C516" s="1">
        <f>IFERROR(__xludf.DUMMYFUNCTION("""COMPUTED_VALUE"""),5.0)</f>
        <v>5</v>
      </c>
      <c r="D516" s="1">
        <f>IFERROR(__xludf.DUMMYFUNCTION("""COMPUTED_VALUE"""),478.44)</f>
        <v>478.44</v>
      </c>
    </row>
    <row r="517">
      <c r="A517" s="1" t="str">
        <f>IFERROR(__xludf.DUMMYFUNCTION("""COMPUTED_VALUE"""),"PR026")</f>
        <v>PR026</v>
      </c>
      <c r="B517" s="1" t="str">
        <f>IFERROR(__xludf.DUMMYFUNCTION("""COMPUTED_VALUE"""),"VD033")</f>
        <v>VD033</v>
      </c>
      <c r="C517" s="1">
        <f>IFERROR(__xludf.DUMMYFUNCTION("""COMPUTED_VALUE"""),12.0)</f>
        <v>12</v>
      </c>
      <c r="D517" s="1">
        <f>IFERROR(__xludf.DUMMYFUNCTION("""COMPUTED_VALUE"""),4324.76)</f>
        <v>4324.76</v>
      </c>
    </row>
    <row r="518">
      <c r="A518" s="1" t="str">
        <f>IFERROR(__xludf.DUMMYFUNCTION("""COMPUTED_VALUE"""),"PR058")</f>
        <v>PR058</v>
      </c>
      <c r="B518" s="1" t="str">
        <f>IFERROR(__xludf.DUMMYFUNCTION("""COMPUTED_VALUE"""),"VD046")</f>
        <v>VD046</v>
      </c>
      <c r="C518" s="1">
        <f>IFERROR(__xludf.DUMMYFUNCTION("""COMPUTED_VALUE"""),3.0)</f>
        <v>3</v>
      </c>
      <c r="D518" s="1">
        <f>IFERROR(__xludf.DUMMYFUNCTION("""COMPUTED_VALUE"""),577.8)</f>
        <v>577.8</v>
      </c>
    </row>
    <row r="519">
      <c r="A519" s="1" t="str">
        <f>IFERROR(__xludf.DUMMYFUNCTION("""COMPUTED_VALUE"""),"PR011")</f>
        <v>PR011</v>
      </c>
      <c r="B519" s="1" t="str">
        <f>IFERROR(__xludf.DUMMYFUNCTION("""COMPUTED_VALUE"""),"VD039")</f>
        <v>VD039</v>
      </c>
      <c r="C519" s="1">
        <f>IFERROR(__xludf.DUMMYFUNCTION("""COMPUTED_VALUE"""),2.0)</f>
        <v>2</v>
      </c>
      <c r="D519" s="1">
        <f>IFERROR(__xludf.DUMMYFUNCTION("""COMPUTED_VALUE"""),99.43)</f>
        <v>99.43</v>
      </c>
    </row>
    <row r="520">
      <c r="A520" s="1" t="str">
        <f>IFERROR(__xludf.DUMMYFUNCTION("""COMPUTED_VALUE"""),"PR030")</f>
        <v>PR030</v>
      </c>
      <c r="B520" s="1" t="str">
        <f>IFERROR(__xludf.DUMMYFUNCTION("""COMPUTED_VALUE"""),"VD027")</f>
        <v>VD027</v>
      </c>
      <c r="C520" s="1">
        <f>IFERROR(__xludf.DUMMYFUNCTION("""COMPUTED_VALUE"""),8.0)</f>
        <v>8</v>
      </c>
      <c r="D520" s="1">
        <f>IFERROR(__xludf.DUMMYFUNCTION("""COMPUTED_VALUE"""),2079.2)</f>
        <v>2079.2</v>
      </c>
    </row>
    <row r="521">
      <c r="A521" s="1" t="str">
        <f>IFERROR(__xludf.DUMMYFUNCTION("""COMPUTED_VALUE"""),"PR032")</f>
        <v>PR032</v>
      </c>
      <c r="B521" s="1" t="str">
        <f>IFERROR(__xludf.DUMMYFUNCTION("""COMPUTED_VALUE"""),"VD031")</f>
        <v>VD031</v>
      </c>
      <c r="C521" s="1">
        <f>IFERROR(__xludf.DUMMYFUNCTION("""COMPUTED_VALUE"""),20.0)</f>
        <v>20</v>
      </c>
      <c r="D521" s="1">
        <f>IFERROR(__xludf.DUMMYFUNCTION("""COMPUTED_VALUE"""),5300.0)</f>
        <v>5300</v>
      </c>
    </row>
    <row r="522">
      <c r="A522" s="1" t="str">
        <f>IFERROR(__xludf.DUMMYFUNCTION("""COMPUTED_VALUE"""),"PR039")</f>
        <v>PR039</v>
      </c>
      <c r="B522" s="1" t="str">
        <f>IFERROR(__xludf.DUMMYFUNCTION("""COMPUTED_VALUE"""),"VD021")</f>
        <v>VD021</v>
      </c>
      <c r="C522" s="1">
        <f>IFERROR(__xludf.DUMMYFUNCTION("""COMPUTED_VALUE"""),2.0)</f>
        <v>2</v>
      </c>
      <c r="D522" s="1">
        <f>IFERROR(__xludf.DUMMYFUNCTION("""COMPUTED_VALUE"""),292.0)</f>
        <v>292</v>
      </c>
    </row>
    <row r="523">
      <c r="A523" s="1" t="str">
        <f>IFERROR(__xludf.DUMMYFUNCTION("""COMPUTED_VALUE"""),"PR045")</f>
        <v>PR045</v>
      </c>
      <c r="B523" s="1" t="str">
        <f>IFERROR(__xludf.DUMMYFUNCTION("""COMPUTED_VALUE"""),"VD017")</f>
        <v>VD017</v>
      </c>
      <c r="C523" s="1">
        <f>IFERROR(__xludf.DUMMYFUNCTION("""COMPUTED_VALUE"""),20.0)</f>
        <v>20</v>
      </c>
      <c r="D523" s="1">
        <f>IFERROR(__xludf.DUMMYFUNCTION("""COMPUTED_VALUE"""),1537.0)</f>
        <v>1537</v>
      </c>
    </row>
    <row r="524">
      <c r="A524" s="1" t="str">
        <f>IFERROR(__xludf.DUMMYFUNCTION("""COMPUTED_VALUE"""),"PR035")</f>
        <v>PR035</v>
      </c>
      <c r="B524" s="1" t="str">
        <f>IFERROR(__xludf.DUMMYFUNCTION("""COMPUTED_VALUE"""),"VD045")</f>
        <v>VD045</v>
      </c>
      <c r="C524" s="1">
        <f>IFERROR(__xludf.DUMMYFUNCTION("""COMPUTED_VALUE"""),6.0)</f>
        <v>6</v>
      </c>
      <c r="D524" s="1">
        <f>IFERROR(__xludf.DUMMYFUNCTION("""COMPUTED_VALUE"""),586.79)</f>
        <v>586.79</v>
      </c>
    </row>
    <row r="525">
      <c r="A525" s="1" t="str">
        <f>IFERROR(__xludf.DUMMYFUNCTION("""COMPUTED_VALUE"""),"PR008")</f>
        <v>PR008</v>
      </c>
      <c r="B525" s="1" t="str">
        <f>IFERROR(__xludf.DUMMYFUNCTION("""COMPUTED_VALUE"""),"VD015")</f>
        <v>VD015</v>
      </c>
      <c r="C525" s="1">
        <f>IFERROR(__xludf.DUMMYFUNCTION("""COMPUTED_VALUE"""),9.0)</f>
        <v>9</v>
      </c>
      <c r="D525" s="1">
        <f>IFERROR(__xludf.DUMMYFUNCTION("""COMPUTED_VALUE"""),809.1)</f>
        <v>809.1</v>
      </c>
    </row>
    <row r="526">
      <c r="A526" s="1" t="str">
        <f>IFERROR(__xludf.DUMMYFUNCTION("""COMPUTED_VALUE"""),"PR037")</f>
        <v>PR037</v>
      </c>
      <c r="B526" s="1" t="str">
        <f>IFERROR(__xludf.DUMMYFUNCTION("""COMPUTED_VALUE"""),"VD045")</f>
        <v>VD045</v>
      </c>
      <c r="C526" s="1">
        <f>IFERROR(__xludf.DUMMYFUNCTION("""COMPUTED_VALUE"""),4.0)</f>
        <v>4</v>
      </c>
      <c r="D526" s="1">
        <f>IFERROR(__xludf.DUMMYFUNCTION("""COMPUTED_VALUE"""),571.2)</f>
        <v>571.2</v>
      </c>
    </row>
    <row r="527">
      <c r="A527" s="1" t="str">
        <f>IFERROR(__xludf.DUMMYFUNCTION("""COMPUTED_VALUE"""),"PR055")</f>
        <v>PR055</v>
      </c>
      <c r="B527" s="1" t="str">
        <f>IFERROR(__xludf.DUMMYFUNCTION("""COMPUTED_VALUE"""),"VD047")</f>
        <v>VD047</v>
      </c>
      <c r="C527" s="1">
        <f>IFERROR(__xludf.DUMMYFUNCTION("""COMPUTED_VALUE"""),9.0)</f>
        <v>9</v>
      </c>
      <c r="D527" s="1">
        <f>IFERROR(__xludf.DUMMYFUNCTION("""COMPUTED_VALUE"""),841.46)</f>
        <v>841.46</v>
      </c>
    </row>
    <row r="528">
      <c r="A528" s="1" t="str">
        <f>IFERROR(__xludf.DUMMYFUNCTION("""COMPUTED_VALUE"""),"PR022")</f>
        <v>PR022</v>
      </c>
      <c r="B528" s="1" t="str">
        <f>IFERROR(__xludf.DUMMYFUNCTION("""COMPUTED_VALUE"""),"VD034")</f>
        <v>VD034</v>
      </c>
      <c r="C528" s="1">
        <f>IFERROR(__xludf.DUMMYFUNCTION("""COMPUTED_VALUE"""),10.0)</f>
        <v>10</v>
      </c>
      <c r="D528" s="1">
        <f>IFERROR(__xludf.DUMMYFUNCTION("""COMPUTED_VALUE"""),3120.0)</f>
        <v>3120</v>
      </c>
    </row>
    <row r="529">
      <c r="A529" s="1" t="str">
        <f>IFERROR(__xludf.DUMMYFUNCTION("""COMPUTED_VALUE"""),"PR029")</f>
        <v>PR029</v>
      </c>
      <c r="B529" s="1" t="str">
        <f>IFERROR(__xludf.DUMMYFUNCTION("""COMPUTED_VALUE"""),"VD047")</f>
        <v>VD047</v>
      </c>
      <c r="C529" s="1">
        <f>IFERROR(__xludf.DUMMYFUNCTION("""COMPUTED_VALUE"""),4.0)</f>
        <v>4</v>
      </c>
      <c r="D529" s="1">
        <f>IFERROR(__xludf.DUMMYFUNCTION("""COMPUTED_VALUE"""),1030.2)</f>
        <v>1030.2</v>
      </c>
    </row>
    <row r="530">
      <c r="A530" s="1" t="str">
        <f>IFERROR(__xludf.DUMMYFUNCTION("""COMPUTED_VALUE"""),"PR006")</f>
        <v>PR006</v>
      </c>
      <c r="B530" s="1" t="str">
        <f>IFERROR(__xludf.DUMMYFUNCTION("""COMPUTED_VALUE"""),"VD010")</f>
        <v>VD010</v>
      </c>
      <c r="C530" s="1">
        <f>IFERROR(__xludf.DUMMYFUNCTION("""COMPUTED_VALUE"""),10.0)</f>
        <v>10</v>
      </c>
      <c r="D530" s="1">
        <f>IFERROR(__xludf.DUMMYFUNCTION("""COMPUTED_VALUE"""),430.92)</f>
        <v>430.92</v>
      </c>
    </row>
    <row r="531">
      <c r="A531" s="1" t="str">
        <f>IFERROR(__xludf.DUMMYFUNCTION("""COMPUTED_VALUE"""),"PR003")</f>
        <v>PR003</v>
      </c>
      <c r="B531" s="1" t="str">
        <f>IFERROR(__xludf.DUMMYFUNCTION("""COMPUTED_VALUE"""),"VD017")</f>
        <v>VD017</v>
      </c>
      <c r="C531" s="1">
        <f>IFERROR(__xludf.DUMMYFUNCTION("""COMPUTED_VALUE"""),12.0)</f>
        <v>12</v>
      </c>
      <c r="D531" s="1">
        <f>IFERROR(__xludf.DUMMYFUNCTION("""COMPUTED_VALUE"""),935.88)</f>
        <v>935.88</v>
      </c>
    </row>
    <row r="532">
      <c r="A532" s="1" t="str">
        <f>IFERROR(__xludf.DUMMYFUNCTION("""COMPUTED_VALUE"""),"PR017")</f>
        <v>PR017</v>
      </c>
      <c r="B532" s="1" t="str">
        <f>IFERROR(__xludf.DUMMYFUNCTION("""COMPUTED_VALUE"""),"VD025")</f>
        <v>VD025</v>
      </c>
      <c r="C532" s="1">
        <f>IFERROR(__xludf.DUMMYFUNCTION("""COMPUTED_VALUE"""),1.0)</f>
        <v>1</v>
      </c>
      <c r="D532" s="1">
        <f>IFERROR(__xludf.DUMMYFUNCTION("""COMPUTED_VALUE"""),29.9)</f>
        <v>29.9</v>
      </c>
    </row>
    <row r="533">
      <c r="A533" s="1" t="str">
        <f>IFERROR(__xludf.DUMMYFUNCTION("""COMPUTED_VALUE"""),"PR037")</f>
        <v>PR037</v>
      </c>
      <c r="B533" s="1" t="str">
        <f>IFERROR(__xludf.DUMMYFUNCTION("""COMPUTED_VALUE"""),"VD027")</f>
        <v>VD027</v>
      </c>
      <c r="C533" s="1">
        <f>IFERROR(__xludf.DUMMYFUNCTION("""COMPUTED_VALUE"""),20.0)</f>
        <v>20</v>
      </c>
      <c r="D533" s="1">
        <f>IFERROR(__xludf.DUMMYFUNCTION("""COMPUTED_VALUE"""),2912.0)</f>
        <v>2912</v>
      </c>
    </row>
    <row r="534">
      <c r="A534" s="1" t="str">
        <f>IFERROR(__xludf.DUMMYFUNCTION("""COMPUTED_VALUE"""),"PR024")</f>
        <v>PR024</v>
      </c>
      <c r="B534" s="1" t="str">
        <f>IFERROR(__xludf.DUMMYFUNCTION("""COMPUTED_VALUE"""),"VD035")</f>
        <v>VD035</v>
      </c>
      <c r="C534" s="1">
        <f>IFERROR(__xludf.DUMMYFUNCTION("""COMPUTED_VALUE"""),8.0)</f>
        <v>8</v>
      </c>
      <c r="D534" s="1">
        <f>IFERROR(__xludf.DUMMYFUNCTION("""COMPUTED_VALUE"""),2183.16)</f>
        <v>2183.16</v>
      </c>
    </row>
    <row r="535">
      <c r="A535" s="1" t="str">
        <f>IFERROR(__xludf.DUMMYFUNCTION("""COMPUTED_VALUE"""),"PR006")</f>
        <v>PR006</v>
      </c>
      <c r="B535" s="1" t="str">
        <f>IFERROR(__xludf.DUMMYFUNCTION("""COMPUTED_VALUE"""),"VD022")</f>
        <v>VD022</v>
      </c>
      <c r="C535" s="1">
        <f>IFERROR(__xludf.DUMMYFUNCTION("""COMPUTED_VALUE"""),18.0)</f>
        <v>18</v>
      </c>
      <c r="D535" s="1">
        <f>IFERROR(__xludf.DUMMYFUNCTION("""COMPUTED_VALUE"""),725.38)</f>
        <v>725.38</v>
      </c>
    </row>
    <row r="536">
      <c r="A536" s="1" t="str">
        <f>IFERROR(__xludf.DUMMYFUNCTION("""COMPUTED_VALUE"""),"PR051")</f>
        <v>PR051</v>
      </c>
      <c r="B536" s="1" t="str">
        <f>IFERROR(__xludf.DUMMYFUNCTION("""COMPUTED_VALUE"""),"VD027")</f>
        <v>VD027</v>
      </c>
      <c r="C536" s="1">
        <f>IFERROR(__xludf.DUMMYFUNCTION("""COMPUTED_VALUE"""),18.0)</f>
        <v>18</v>
      </c>
      <c r="D536" s="1">
        <f>IFERROR(__xludf.DUMMYFUNCTION("""COMPUTED_VALUE"""),633.65)</f>
        <v>633.65</v>
      </c>
    </row>
    <row r="537">
      <c r="A537" s="1" t="str">
        <f>IFERROR(__xludf.DUMMYFUNCTION("""COMPUTED_VALUE"""),"PR057")</f>
        <v>PR057</v>
      </c>
      <c r="B537" s="1" t="str">
        <f>IFERROR(__xludf.DUMMYFUNCTION("""COMPUTED_VALUE"""),"VD019")</f>
        <v>VD019</v>
      </c>
      <c r="C537" s="1">
        <f>IFERROR(__xludf.DUMMYFUNCTION("""COMPUTED_VALUE"""),16.0)</f>
        <v>16</v>
      </c>
      <c r="D537" s="1">
        <f>IFERROR(__xludf.DUMMYFUNCTION("""COMPUTED_VALUE"""),1539.09)</f>
        <v>1539.09</v>
      </c>
    </row>
    <row r="538">
      <c r="A538" s="1" t="str">
        <f>IFERROR(__xludf.DUMMYFUNCTION("""COMPUTED_VALUE"""),"PR004")</f>
        <v>PR004</v>
      </c>
      <c r="B538" s="1" t="str">
        <f>IFERROR(__xludf.DUMMYFUNCTION("""COMPUTED_VALUE"""),"VD037")</f>
        <v>VD037</v>
      </c>
      <c r="C538" s="1">
        <f>IFERROR(__xludf.DUMMYFUNCTION("""COMPUTED_VALUE"""),16.0)</f>
        <v>16</v>
      </c>
      <c r="D538" s="1">
        <f>IFERROR(__xludf.DUMMYFUNCTION("""COMPUTED_VALUE"""),2343.2)</f>
        <v>2343.2</v>
      </c>
    </row>
    <row r="539">
      <c r="A539" s="1" t="str">
        <f>IFERROR(__xludf.DUMMYFUNCTION("""COMPUTED_VALUE"""),"PR046")</f>
        <v>PR046</v>
      </c>
      <c r="B539" s="1" t="str">
        <f>IFERROR(__xludf.DUMMYFUNCTION("""COMPUTED_VALUE"""),"VD041")</f>
        <v>VD041</v>
      </c>
      <c r="C539" s="1">
        <f>IFERROR(__xludf.DUMMYFUNCTION("""COMPUTED_VALUE"""),2.0)</f>
        <v>2</v>
      </c>
      <c r="D539" s="1">
        <f>IFERROR(__xludf.DUMMYFUNCTION("""COMPUTED_VALUE"""),614.59)</f>
        <v>614.59</v>
      </c>
    </row>
    <row r="540">
      <c r="A540" s="1" t="str">
        <f>IFERROR(__xludf.DUMMYFUNCTION("""COMPUTED_VALUE"""),"PR030")</f>
        <v>PR030</v>
      </c>
      <c r="B540" s="1" t="str">
        <f>IFERROR(__xludf.DUMMYFUNCTION("""COMPUTED_VALUE"""),"VD015")</f>
        <v>VD015</v>
      </c>
      <c r="C540" s="1">
        <f>IFERROR(__xludf.DUMMYFUNCTION("""COMPUTED_VALUE"""),1.0)</f>
        <v>1</v>
      </c>
      <c r="D540" s="1">
        <f>IFERROR(__xludf.DUMMYFUNCTION("""COMPUTED_VALUE"""),265.1)</f>
        <v>265.1</v>
      </c>
    </row>
    <row r="541">
      <c r="A541" s="1" t="str">
        <f>IFERROR(__xludf.DUMMYFUNCTION("""COMPUTED_VALUE"""),"PR010")</f>
        <v>PR010</v>
      </c>
      <c r="B541" s="1" t="str">
        <f>IFERROR(__xludf.DUMMYFUNCTION("""COMPUTED_VALUE"""),"VD029")</f>
        <v>VD029</v>
      </c>
      <c r="C541" s="1">
        <f>IFERROR(__xludf.DUMMYFUNCTION("""COMPUTED_VALUE"""),5.0)</f>
        <v>5</v>
      </c>
      <c r="D541" s="1">
        <f>IFERROR(__xludf.DUMMYFUNCTION("""COMPUTED_VALUE"""),240.22)</f>
        <v>240.22</v>
      </c>
    </row>
    <row r="542">
      <c r="A542" s="1" t="str">
        <f>IFERROR(__xludf.DUMMYFUNCTION("""COMPUTED_VALUE"""),"PR028")</f>
        <v>PR028</v>
      </c>
      <c r="B542" s="1" t="str">
        <f>IFERROR(__xludf.DUMMYFUNCTION("""COMPUTED_VALUE"""),"VD034")</f>
        <v>VD034</v>
      </c>
      <c r="C542" s="1">
        <f>IFERROR(__xludf.DUMMYFUNCTION("""COMPUTED_VALUE"""),8.0)</f>
        <v>8</v>
      </c>
      <c r="D542" s="1">
        <f>IFERROR(__xludf.DUMMYFUNCTION("""COMPUTED_VALUE"""),2179.13)</f>
        <v>2179.13</v>
      </c>
    </row>
    <row r="543">
      <c r="A543" s="1" t="str">
        <f>IFERROR(__xludf.DUMMYFUNCTION("""COMPUTED_VALUE"""),"PR059")</f>
        <v>PR059</v>
      </c>
      <c r="B543" s="1" t="str">
        <f>IFERROR(__xludf.DUMMYFUNCTION("""COMPUTED_VALUE"""),"VD042")</f>
        <v>VD042</v>
      </c>
      <c r="C543" s="1">
        <f>IFERROR(__xludf.DUMMYFUNCTION("""COMPUTED_VALUE"""),14.0)</f>
        <v>14</v>
      </c>
      <c r="D543" s="1">
        <f>IFERROR(__xludf.DUMMYFUNCTION("""COMPUTED_VALUE"""),2671.2)</f>
        <v>2671.2</v>
      </c>
    </row>
    <row r="544">
      <c r="A544" s="1" t="str">
        <f>IFERROR(__xludf.DUMMYFUNCTION("""COMPUTED_VALUE"""),"PR033")</f>
        <v>PR033</v>
      </c>
      <c r="B544" s="1" t="str">
        <f>IFERROR(__xludf.DUMMYFUNCTION("""COMPUTED_VALUE"""),"VD019")</f>
        <v>VD019</v>
      </c>
      <c r="C544" s="1">
        <f>IFERROR(__xludf.DUMMYFUNCTION("""COMPUTED_VALUE"""),8.0)</f>
        <v>8</v>
      </c>
      <c r="D544" s="1">
        <f>IFERROR(__xludf.DUMMYFUNCTION("""COMPUTED_VALUE"""),2224.74)</f>
        <v>2224.74</v>
      </c>
    </row>
    <row r="545">
      <c r="A545" s="1" t="str">
        <f>IFERROR(__xludf.DUMMYFUNCTION("""COMPUTED_VALUE"""),"PR054")</f>
        <v>PR054</v>
      </c>
      <c r="B545" s="1" t="str">
        <f>IFERROR(__xludf.DUMMYFUNCTION("""COMPUTED_VALUE"""),"VD018")</f>
        <v>VD018</v>
      </c>
      <c r="C545" s="1">
        <f>IFERROR(__xludf.DUMMYFUNCTION("""COMPUTED_VALUE"""),16.0)</f>
        <v>16</v>
      </c>
      <c r="D545" s="1">
        <f>IFERROR(__xludf.DUMMYFUNCTION("""COMPUTED_VALUE"""),870.26)</f>
        <v>870.26</v>
      </c>
    </row>
    <row r="546">
      <c r="A546" s="1" t="str">
        <f>IFERROR(__xludf.DUMMYFUNCTION("""COMPUTED_VALUE"""),"PR023")</f>
        <v>PR023</v>
      </c>
      <c r="B546" s="1" t="str">
        <f>IFERROR(__xludf.DUMMYFUNCTION("""COMPUTED_VALUE"""),"VD017")</f>
        <v>VD017</v>
      </c>
      <c r="C546" s="1">
        <f>IFERROR(__xludf.DUMMYFUNCTION("""COMPUTED_VALUE"""),4.0)</f>
        <v>4</v>
      </c>
      <c r="D546" s="1">
        <f>IFERROR(__xludf.DUMMYFUNCTION("""COMPUTED_VALUE"""),1089.56)</f>
        <v>1089.56</v>
      </c>
    </row>
    <row r="547">
      <c r="A547" s="1" t="str">
        <f>IFERROR(__xludf.DUMMYFUNCTION("""COMPUTED_VALUE"""),"PR031")</f>
        <v>PR031</v>
      </c>
      <c r="B547" s="1" t="str">
        <f>IFERROR(__xludf.DUMMYFUNCTION("""COMPUTED_VALUE"""),"VD040")</f>
        <v>VD040</v>
      </c>
      <c r="C547" s="1">
        <f>IFERROR(__xludf.DUMMYFUNCTION("""COMPUTED_VALUE"""),3.0)</f>
        <v>3</v>
      </c>
      <c r="D547" s="1">
        <f>IFERROR(__xludf.DUMMYFUNCTION("""COMPUTED_VALUE"""),757.05)</f>
        <v>757.05</v>
      </c>
    </row>
    <row r="548">
      <c r="A548" s="1" t="str">
        <f>IFERROR(__xludf.DUMMYFUNCTION("""COMPUTED_VALUE"""),"PR004")</f>
        <v>PR004</v>
      </c>
      <c r="B548" s="1" t="str">
        <f>IFERROR(__xludf.DUMMYFUNCTION("""COMPUTED_VALUE"""),"VD039")</f>
        <v>VD039</v>
      </c>
      <c r="C548" s="1">
        <f>IFERROR(__xludf.DUMMYFUNCTION("""COMPUTED_VALUE"""),16.0)</f>
        <v>16</v>
      </c>
      <c r="D548" s="1">
        <f>IFERROR(__xludf.DUMMYFUNCTION("""COMPUTED_VALUE"""),2528.8)</f>
        <v>2528.8</v>
      </c>
    </row>
    <row r="549">
      <c r="A549" s="1" t="str">
        <f>IFERROR(__xludf.DUMMYFUNCTION("""COMPUTED_VALUE"""),"PR029")</f>
        <v>PR029</v>
      </c>
      <c r="B549" s="1" t="str">
        <f>IFERROR(__xludf.DUMMYFUNCTION("""COMPUTED_VALUE"""),"VD048")</f>
        <v>VD048</v>
      </c>
      <c r="C549" s="1">
        <f>IFERROR(__xludf.DUMMYFUNCTION("""COMPUTED_VALUE"""),7.0)</f>
        <v>7</v>
      </c>
      <c r="D549" s="1">
        <f>IFERROR(__xludf.DUMMYFUNCTION("""COMPUTED_VALUE"""),1874.25)</f>
        <v>1874.25</v>
      </c>
    </row>
    <row r="550">
      <c r="A550" s="1" t="str">
        <f>IFERROR(__xludf.DUMMYFUNCTION("""COMPUTED_VALUE"""),"PR031")</f>
        <v>PR031</v>
      </c>
      <c r="B550" s="1" t="str">
        <f>IFERROR(__xludf.DUMMYFUNCTION("""COMPUTED_VALUE"""),"VD024")</f>
        <v>VD024</v>
      </c>
      <c r="C550" s="1">
        <f>IFERROR(__xludf.DUMMYFUNCTION("""COMPUTED_VALUE"""),5.0)</f>
        <v>5</v>
      </c>
      <c r="D550" s="1">
        <f>IFERROR(__xludf.DUMMYFUNCTION("""COMPUTED_VALUE"""),1286.25)</f>
        <v>1286.25</v>
      </c>
    </row>
    <row r="551">
      <c r="A551" s="1" t="str">
        <f>IFERROR(__xludf.DUMMYFUNCTION("""COMPUTED_VALUE"""),"PR020")</f>
        <v>PR020</v>
      </c>
      <c r="B551" s="1" t="str">
        <f>IFERROR(__xludf.DUMMYFUNCTION("""COMPUTED_VALUE"""),"VD014")</f>
        <v>VD014</v>
      </c>
      <c r="C551" s="1">
        <f>IFERROR(__xludf.DUMMYFUNCTION("""COMPUTED_VALUE"""),12.0)</f>
        <v>12</v>
      </c>
      <c r="D551" s="1">
        <f>IFERROR(__xludf.DUMMYFUNCTION("""COMPUTED_VALUE"""),3850.72)</f>
        <v>3850.72</v>
      </c>
    </row>
    <row r="552">
      <c r="A552" s="1" t="str">
        <f>IFERROR(__xludf.DUMMYFUNCTION("""COMPUTED_VALUE"""),"PR006")</f>
        <v>PR006</v>
      </c>
      <c r="B552" s="1" t="str">
        <f>IFERROR(__xludf.DUMMYFUNCTION("""COMPUTED_VALUE"""),"VD011")</f>
        <v>VD011</v>
      </c>
      <c r="C552" s="1">
        <f>IFERROR(__xludf.DUMMYFUNCTION("""COMPUTED_VALUE"""),7.0)</f>
        <v>7</v>
      </c>
      <c r="D552" s="1">
        <f>IFERROR(__xludf.DUMMYFUNCTION("""COMPUTED_VALUE"""),293.27)</f>
        <v>293.27</v>
      </c>
    </row>
    <row r="553">
      <c r="A553" s="1" t="str">
        <f>IFERROR(__xludf.DUMMYFUNCTION("""COMPUTED_VALUE"""),"PR060")</f>
        <v>PR060</v>
      </c>
      <c r="B553" s="1" t="str">
        <f>IFERROR(__xludf.DUMMYFUNCTION("""COMPUTED_VALUE"""),"VD021")</f>
        <v>VD021</v>
      </c>
      <c r="C553" s="1">
        <f>IFERROR(__xludf.DUMMYFUNCTION("""COMPUTED_VALUE"""),12.0)</f>
        <v>12</v>
      </c>
      <c r="D553" s="1">
        <f>IFERROR(__xludf.DUMMYFUNCTION("""COMPUTED_VALUE"""),2160.0)</f>
        <v>2160</v>
      </c>
    </row>
    <row r="554">
      <c r="A554" s="1" t="str">
        <f>IFERROR(__xludf.DUMMYFUNCTION("""COMPUTED_VALUE"""),"PR052")</f>
        <v>PR052</v>
      </c>
      <c r="B554" s="1" t="str">
        <f>IFERROR(__xludf.DUMMYFUNCTION("""COMPUTED_VALUE"""),"VD039")</f>
        <v>VD039</v>
      </c>
      <c r="C554" s="1">
        <f>IFERROR(__xludf.DUMMYFUNCTION("""COMPUTED_VALUE"""),6.0)</f>
        <v>6</v>
      </c>
      <c r="D554" s="1">
        <f>IFERROR(__xludf.DUMMYFUNCTION("""COMPUTED_VALUE"""),311.38)</f>
        <v>311.38</v>
      </c>
    </row>
    <row r="555">
      <c r="A555" s="1" t="str">
        <f>IFERROR(__xludf.DUMMYFUNCTION("""COMPUTED_VALUE"""),"PR008")</f>
        <v>PR008</v>
      </c>
      <c r="B555" s="1" t="str">
        <f>IFERROR(__xludf.DUMMYFUNCTION("""COMPUTED_VALUE"""),"VD027")</f>
        <v>VD027</v>
      </c>
      <c r="C555" s="1">
        <f>IFERROR(__xludf.DUMMYFUNCTION("""COMPUTED_VALUE"""),3.0)</f>
        <v>3</v>
      </c>
      <c r="D555" s="1">
        <f>IFERROR(__xludf.DUMMYFUNCTION("""COMPUTED_VALUE"""),277.79)</f>
        <v>277.79</v>
      </c>
    </row>
    <row r="556">
      <c r="A556" s="1" t="str">
        <f>IFERROR(__xludf.DUMMYFUNCTION("""COMPUTED_VALUE"""),"PR004")</f>
        <v>PR004</v>
      </c>
      <c r="B556" s="1" t="str">
        <f>IFERROR(__xludf.DUMMYFUNCTION("""COMPUTED_VALUE"""),"VD032")</f>
        <v>VD032</v>
      </c>
      <c r="C556" s="1">
        <f>IFERROR(__xludf.DUMMYFUNCTION("""COMPUTED_VALUE"""),1.0)</f>
        <v>1</v>
      </c>
      <c r="D556" s="1">
        <f>IFERROR(__xludf.DUMMYFUNCTION("""COMPUTED_VALUE"""),147.9)</f>
        <v>147.9</v>
      </c>
    </row>
    <row r="557">
      <c r="A557" s="1" t="str">
        <f>IFERROR(__xludf.DUMMYFUNCTION("""COMPUTED_VALUE"""),"PR057")</f>
        <v>PR057</v>
      </c>
      <c r="B557" s="1" t="str">
        <f>IFERROR(__xludf.DUMMYFUNCTION("""COMPUTED_VALUE"""),"VD049")</f>
        <v>VD049</v>
      </c>
      <c r="C557" s="1">
        <f>IFERROR(__xludf.DUMMYFUNCTION("""COMPUTED_VALUE"""),4.0)</f>
        <v>4</v>
      </c>
      <c r="D557" s="1">
        <f>IFERROR(__xludf.DUMMYFUNCTION("""COMPUTED_VALUE"""),370.39)</f>
        <v>370.39</v>
      </c>
    </row>
    <row r="558">
      <c r="A558" s="1" t="str">
        <f>IFERROR(__xludf.DUMMYFUNCTION("""COMPUTED_VALUE"""),"PR016")</f>
        <v>PR016</v>
      </c>
      <c r="B558" s="1" t="str">
        <f>IFERROR(__xludf.DUMMYFUNCTION("""COMPUTED_VALUE"""),"VD044")</f>
        <v>VD044</v>
      </c>
      <c r="C558" s="1">
        <f>IFERROR(__xludf.DUMMYFUNCTION("""COMPUTED_VALUE"""),4.0)</f>
        <v>4</v>
      </c>
      <c r="D558" s="1">
        <f>IFERROR(__xludf.DUMMYFUNCTION("""COMPUTED_VALUE"""),112.92)</f>
        <v>112.92</v>
      </c>
    </row>
    <row r="559">
      <c r="A559" s="1" t="str">
        <f>IFERROR(__xludf.DUMMYFUNCTION("""COMPUTED_VALUE"""),"PR025")</f>
        <v>PR025</v>
      </c>
      <c r="B559" s="1" t="str">
        <f>IFERROR(__xludf.DUMMYFUNCTION("""COMPUTED_VALUE"""),"VD012")</f>
        <v>VD012</v>
      </c>
      <c r="C559" s="1">
        <f>IFERROR(__xludf.DUMMYFUNCTION("""COMPUTED_VALUE"""),7.0)</f>
        <v>7</v>
      </c>
      <c r="D559" s="1">
        <f>IFERROR(__xludf.DUMMYFUNCTION("""COMPUTED_VALUE"""),2162.28)</f>
        <v>2162.28</v>
      </c>
    </row>
    <row r="560">
      <c r="A560" s="1" t="str">
        <f>IFERROR(__xludf.DUMMYFUNCTION("""COMPUTED_VALUE"""),"PR028")</f>
        <v>PR028</v>
      </c>
      <c r="B560" s="1" t="str">
        <f>IFERROR(__xludf.DUMMYFUNCTION("""COMPUTED_VALUE"""),"VD032")</f>
        <v>VD032</v>
      </c>
      <c r="C560" s="1">
        <f>IFERROR(__xludf.DUMMYFUNCTION("""COMPUTED_VALUE"""),18.0)</f>
        <v>18</v>
      </c>
      <c r="D560" s="1">
        <f>IFERROR(__xludf.DUMMYFUNCTION("""COMPUTED_VALUE"""),4813.07)</f>
        <v>4813.07</v>
      </c>
    </row>
    <row r="561">
      <c r="A561" s="1" t="str">
        <f>IFERROR(__xludf.DUMMYFUNCTION("""COMPUTED_VALUE"""),"PR014")</f>
        <v>PR014</v>
      </c>
      <c r="B561" s="1" t="str">
        <f>IFERROR(__xludf.DUMMYFUNCTION("""COMPUTED_VALUE"""),"VD020")</f>
        <v>VD020</v>
      </c>
      <c r="C561" s="1">
        <f>IFERROR(__xludf.DUMMYFUNCTION("""COMPUTED_VALUE"""),4.0)</f>
        <v>4</v>
      </c>
      <c r="D561" s="1">
        <f>IFERROR(__xludf.DUMMYFUNCTION("""COMPUTED_VALUE"""),164.39)</f>
        <v>164.39</v>
      </c>
    </row>
    <row r="562">
      <c r="A562" s="1" t="str">
        <f>IFERROR(__xludf.DUMMYFUNCTION("""COMPUTED_VALUE"""),"PR006")</f>
        <v>PR006</v>
      </c>
      <c r="B562" s="1" t="str">
        <f>IFERROR(__xludf.DUMMYFUNCTION("""COMPUTED_VALUE"""),"VD026")</f>
        <v>VD026</v>
      </c>
      <c r="C562" s="1">
        <f>IFERROR(__xludf.DUMMYFUNCTION("""COMPUTED_VALUE"""),5.0)</f>
        <v>5</v>
      </c>
      <c r="D562" s="1">
        <f>IFERROR(__xludf.DUMMYFUNCTION("""COMPUTED_VALUE"""),215.46)</f>
        <v>215.46</v>
      </c>
    </row>
    <row r="563">
      <c r="A563" s="1" t="str">
        <f>IFERROR(__xludf.DUMMYFUNCTION("""COMPUTED_VALUE"""),"PR004")</f>
        <v>PR004</v>
      </c>
      <c r="B563" s="1" t="str">
        <f>IFERROR(__xludf.DUMMYFUNCTION("""COMPUTED_VALUE"""),"VD015")</f>
        <v>VD015</v>
      </c>
      <c r="C563" s="1">
        <f>IFERROR(__xludf.DUMMYFUNCTION("""COMPUTED_VALUE"""),16.0)</f>
        <v>16</v>
      </c>
      <c r="D563" s="1">
        <f>IFERROR(__xludf.DUMMYFUNCTION("""COMPUTED_VALUE"""),2320.0)</f>
        <v>2320</v>
      </c>
    </row>
    <row r="564">
      <c r="A564" s="1" t="str">
        <f>IFERROR(__xludf.DUMMYFUNCTION("""COMPUTED_VALUE"""),"PR033")</f>
        <v>PR033</v>
      </c>
      <c r="B564" s="1" t="str">
        <f>IFERROR(__xludf.DUMMYFUNCTION("""COMPUTED_VALUE"""),"VD043")</f>
        <v>VD043</v>
      </c>
      <c r="C564" s="1">
        <f>IFERROR(__xludf.DUMMYFUNCTION("""COMPUTED_VALUE"""),5.0)</f>
        <v>5</v>
      </c>
      <c r="D564" s="1">
        <f>IFERROR(__xludf.DUMMYFUNCTION("""COMPUTED_VALUE"""),1338.49)</f>
        <v>1338.49</v>
      </c>
    </row>
    <row r="565">
      <c r="A565" s="1" t="str">
        <f>IFERROR(__xludf.DUMMYFUNCTION("""COMPUTED_VALUE"""),"PR027")</f>
        <v>PR027</v>
      </c>
      <c r="B565" s="1" t="str">
        <f>IFERROR(__xludf.DUMMYFUNCTION("""COMPUTED_VALUE"""),"VD037")</f>
        <v>VD037</v>
      </c>
      <c r="C565" s="1">
        <f>IFERROR(__xludf.DUMMYFUNCTION("""COMPUTED_VALUE"""),10.0)</f>
        <v>10</v>
      </c>
      <c r="D565" s="1">
        <f>IFERROR(__xludf.DUMMYFUNCTION("""COMPUTED_VALUE"""),1236.0)</f>
        <v>1236</v>
      </c>
    </row>
    <row r="566">
      <c r="A566" s="1" t="str">
        <f>IFERROR(__xludf.DUMMYFUNCTION("""COMPUTED_VALUE"""),"PR053")</f>
        <v>PR053</v>
      </c>
      <c r="B566" s="1" t="str">
        <f>IFERROR(__xludf.DUMMYFUNCTION("""COMPUTED_VALUE"""),"VD047")</f>
        <v>VD047</v>
      </c>
      <c r="C566" s="1">
        <f>IFERROR(__xludf.DUMMYFUNCTION("""COMPUTED_VALUE"""),6.0)</f>
        <v>6</v>
      </c>
      <c r="D566" s="1">
        <f>IFERROR(__xludf.DUMMYFUNCTION("""COMPUTED_VALUE"""),314.37)</f>
        <v>314.37</v>
      </c>
    </row>
    <row r="567">
      <c r="A567" s="1" t="str">
        <f>IFERROR(__xludf.DUMMYFUNCTION("""COMPUTED_VALUE"""),"PR025")</f>
        <v>PR025</v>
      </c>
      <c r="B567" s="1" t="str">
        <f>IFERROR(__xludf.DUMMYFUNCTION("""COMPUTED_VALUE"""),"VD037")</f>
        <v>VD037</v>
      </c>
      <c r="C567" s="1">
        <f>IFERROR(__xludf.DUMMYFUNCTION("""COMPUTED_VALUE"""),20.0)</f>
        <v>20</v>
      </c>
      <c r="D567" s="1">
        <f>IFERROR(__xludf.DUMMYFUNCTION("""COMPUTED_VALUE"""),6057.98)</f>
        <v>6057.98</v>
      </c>
    </row>
    <row r="568">
      <c r="A568" s="1" t="str">
        <f>IFERROR(__xludf.DUMMYFUNCTION("""COMPUTED_VALUE"""),"PR036")</f>
        <v>PR036</v>
      </c>
      <c r="B568" s="1" t="str">
        <f>IFERROR(__xludf.DUMMYFUNCTION("""COMPUTED_VALUE"""),"VD019")</f>
        <v>VD019</v>
      </c>
      <c r="C568" s="1">
        <f>IFERROR(__xludf.DUMMYFUNCTION("""COMPUTED_VALUE"""),2.0)</f>
        <v>2</v>
      </c>
      <c r="D568" s="1">
        <f>IFERROR(__xludf.DUMMYFUNCTION("""COMPUTED_VALUE"""),203.83)</f>
        <v>203.83</v>
      </c>
    </row>
    <row r="569">
      <c r="A569" s="1" t="str">
        <f>IFERROR(__xludf.DUMMYFUNCTION("""COMPUTED_VALUE"""),"PR054")</f>
        <v>PR054</v>
      </c>
      <c r="B569" s="1" t="str">
        <f>IFERROR(__xludf.DUMMYFUNCTION("""COMPUTED_VALUE"""),"VD049")</f>
        <v>VD049</v>
      </c>
      <c r="C569" s="1">
        <f>IFERROR(__xludf.DUMMYFUNCTION("""COMPUTED_VALUE"""),6.0)</f>
        <v>6</v>
      </c>
      <c r="D569" s="1">
        <f>IFERROR(__xludf.DUMMYFUNCTION("""COMPUTED_VALUE"""),320.36)</f>
        <v>320.36</v>
      </c>
    </row>
    <row r="570">
      <c r="A570" s="1" t="str">
        <f>IFERROR(__xludf.DUMMYFUNCTION("""COMPUTED_VALUE"""),"PR057")</f>
        <v>PR057</v>
      </c>
      <c r="B570" s="1" t="str">
        <f>IFERROR(__xludf.DUMMYFUNCTION("""COMPUTED_VALUE"""),"VD043")</f>
        <v>VD043</v>
      </c>
      <c r="C570" s="1">
        <f>IFERROR(__xludf.DUMMYFUNCTION("""COMPUTED_VALUE"""),6.0)</f>
        <v>6</v>
      </c>
      <c r="D570" s="1">
        <f>IFERROR(__xludf.DUMMYFUNCTION("""COMPUTED_VALUE"""),560.98)</f>
        <v>560.98</v>
      </c>
    </row>
    <row r="571">
      <c r="A571" s="1" t="str">
        <f>IFERROR(__xludf.DUMMYFUNCTION("""COMPUTED_VALUE"""),"PR026")</f>
        <v>PR026</v>
      </c>
      <c r="B571" s="1" t="str">
        <f>IFERROR(__xludf.DUMMYFUNCTION("""COMPUTED_VALUE"""),"VD046")</f>
        <v>VD046</v>
      </c>
      <c r="C571" s="1">
        <f>IFERROR(__xludf.DUMMYFUNCTION("""COMPUTED_VALUE"""),10.0)</f>
        <v>10</v>
      </c>
      <c r="D571" s="1">
        <f>IFERROR(__xludf.DUMMYFUNCTION("""COMPUTED_VALUE"""),3743.93)</f>
        <v>3743.93</v>
      </c>
    </row>
    <row r="572">
      <c r="A572" s="1" t="str">
        <f>IFERROR(__xludf.DUMMYFUNCTION("""COMPUTED_VALUE"""),"PR031")</f>
        <v>PR031</v>
      </c>
      <c r="B572" s="1" t="str">
        <f>IFERROR(__xludf.DUMMYFUNCTION("""COMPUTED_VALUE"""),"VD029")</f>
        <v>VD029</v>
      </c>
      <c r="C572" s="1">
        <f>IFERROR(__xludf.DUMMYFUNCTION("""COMPUTED_VALUE"""),6.0)</f>
        <v>6</v>
      </c>
      <c r="D572" s="1">
        <f>IFERROR(__xludf.DUMMYFUNCTION("""COMPUTED_VALUE"""),1587.6)</f>
        <v>1587.6</v>
      </c>
    </row>
    <row r="573">
      <c r="A573" s="1" t="str">
        <f>IFERROR(__xludf.DUMMYFUNCTION("""COMPUTED_VALUE"""),"PR028")</f>
        <v>PR028</v>
      </c>
      <c r="B573" s="1" t="str">
        <f>IFERROR(__xludf.DUMMYFUNCTION("""COMPUTED_VALUE"""),"VD029")</f>
        <v>VD029</v>
      </c>
      <c r="C573" s="1">
        <f>IFERROR(__xludf.DUMMYFUNCTION("""COMPUTED_VALUE"""),2.0)</f>
        <v>2</v>
      </c>
      <c r="D573" s="1">
        <f>IFERROR(__xludf.DUMMYFUNCTION("""COMPUTED_VALUE"""),539.78)</f>
        <v>539.78</v>
      </c>
    </row>
    <row r="574">
      <c r="A574" s="1" t="str">
        <f>IFERROR(__xludf.DUMMYFUNCTION("""COMPUTED_VALUE"""),"PR019")</f>
        <v>PR019</v>
      </c>
      <c r="B574" s="1" t="str">
        <f>IFERROR(__xludf.DUMMYFUNCTION("""COMPUTED_VALUE"""),"VD046")</f>
        <v>VD046</v>
      </c>
      <c r="C574" s="1">
        <f>IFERROR(__xludf.DUMMYFUNCTION("""COMPUTED_VALUE"""),2.0)</f>
        <v>2</v>
      </c>
      <c r="D574" s="1">
        <f>IFERROR(__xludf.DUMMYFUNCTION("""COMPUTED_VALUE"""),109.78)</f>
        <v>109.78</v>
      </c>
    </row>
    <row r="575">
      <c r="A575" s="1" t="str">
        <f>IFERROR(__xludf.DUMMYFUNCTION("""COMPUTED_VALUE"""),"PR056")</f>
        <v>PR056</v>
      </c>
      <c r="B575" s="1" t="str">
        <f>IFERROR(__xludf.DUMMYFUNCTION("""COMPUTED_VALUE"""),"VD028")</f>
        <v>VD028</v>
      </c>
      <c r="C575" s="1">
        <f>IFERROR(__xludf.DUMMYFUNCTION("""COMPUTED_VALUE"""),3.0)</f>
        <v>3</v>
      </c>
      <c r="D575" s="1">
        <f>IFERROR(__xludf.DUMMYFUNCTION("""COMPUTED_VALUE"""),275.09)</f>
        <v>275.09</v>
      </c>
    </row>
    <row r="576">
      <c r="A576" s="1" t="str">
        <f>IFERROR(__xludf.DUMMYFUNCTION("""COMPUTED_VALUE"""),"PR006")</f>
        <v>PR006</v>
      </c>
      <c r="B576" s="1" t="str">
        <f>IFERROR(__xludf.DUMMYFUNCTION("""COMPUTED_VALUE"""),"VD029")</f>
        <v>VD029</v>
      </c>
      <c r="C576" s="1">
        <f>IFERROR(__xludf.DUMMYFUNCTION("""COMPUTED_VALUE"""),8.0)</f>
        <v>8</v>
      </c>
      <c r="D576" s="1">
        <f>IFERROR(__xludf.DUMMYFUNCTION("""COMPUTED_VALUE"""),335.16)</f>
        <v>335.16</v>
      </c>
    </row>
    <row r="577">
      <c r="A577" s="1" t="str">
        <f>IFERROR(__xludf.DUMMYFUNCTION("""COMPUTED_VALUE"""),"PR010")</f>
        <v>PR010</v>
      </c>
      <c r="B577" s="1" t="str">
        <f>IFERROR(__xludf.DUMMYFUNCTION("""COMPUTED_VALUE"""),"VD028")</f>
        <v>VD028</v>
      </c>
      <c r="C577" s="1">
        <f>IFERROR(__xludf.DUMMYFUNCTION("""COMPUTED_VALUE"""),2.0)</f>
        <v>2</v>
      </c>
      <c r="D577" s="1">
        <f>IFERROR(__xludf.DUMMYFUNCTION("""COMPUTED_VALUE"""),96.98)</f>
        <v>96.98</v>
      </c>
    </row>
    <row r="578">
      <c r="A578" s="1" t="str">
        <f>IFERROR(__xludf.DUMMYFUNCTION("""COMPUTED_VALUE"""),"PR029")</f>
        <v>PR029</v>
      </c>
      <c r="B578" s="1" t="str">
        <f>IFERROR(__xludf.DUMMYFUNCTION("""COMPUTED_VALUE"""),"VD022")</f>
        <v>VD022</v>
      </c>
      <c r="C578" s="1">
        <f>IFERROR(__xludf.DUMMYFUNCTION("""COMPUTED_VALUE"""),18.0)</f>
        <v>18</v>
      </c>
      <c r="D578" s="1">
        <f>IFERROR(__xludf.DUMMYFUNCTION("""COMPUTED_VALUE"""),4773.6)</f>
        <v>4773.6</v>
      </c>
    </row>
    <row r="579">
      <c r="A579" s="1" t="str">
        <f>IFERROR(__xludf.DUMMYFUNCTION("""COMPUTED_VALUE"""),"PR026")</f>
        <v>PR026</v>
      </c>
      <c r="B579" s="1" t="str">
        <f>IFERROR(__xludf.DUMMYFUNCTION("""COMPUTED_VALUE"""),"VD014")</f>
        <v>VD014</v>
      </c>
      <c r="C579" s="1">
        <f>IFERROR(__xludf.DUMMYFUNCTION("""COMPUTED_VALUE"""),14.0)</f>
        <v>14</v>
      </c>
      <c r="D579" s="1">
        <f>IFERROR(__xludf.DUMMYFUNCTION("""COMPUTED_VALUE"""),5241.5)</f>
        <v>5241.5</v>
      </c>
    </row>
    <row r="580">
      <c r="A580" s="1" t="str">
        <f>IFERROR(__xludf.DUMMYFUNCTION("""COMPUTED_VALUE"""),"PR054")</f>
        <v>PR054</v>
      </c>
      <c r="B580" s="1" t="str">
        <f>IFERROR(__xludf.DUMMYFUNCTION("""COMPUTED_VALUE"""),"VD046")</f>
        <v>VD046</v>
      </c>
      <c r="C580" s="1">
        <f>IFERROR(__xludf.DUMMYFUNCTION("""COMPUTED_VALUE"""),10.0)</f>
        <v>10</v>
      </c>
      <c r="D580" s="1">
        <f>IFERROR(__xludf.DUMMYFUNCTION("""COMPUTED_VALUE"""),503.99)</f>
        <v>503.99</v>
      </c>
    </row>
    <row r="581">
      <c r="A581" s="1" t="str">
        <f>IFERROR(__xludf.DUMMYFUNCTION("""COMPUTED_VALUE"""),"PR055")</f>
        <v>PR055</v>
      </c>
      <c r="B581" s="1" t="str">
        <f>IFERROR(__xludf.DUMMYFUNCTION("""COMPUTED_VALUE"""),"VD014")</f>
        <v>VD014</v>
      </c>
      <c r="C581" s="1">
        <f>IFERROR(__xludf.DUMMYFUNCTION("""COMPUTED_VALUE"""),8.0)</f>
        <v>8</v>
      </c>
      <c r="D581" s="1">
        <f>IFERROR(__xludf.DUMMYFUNCTION("""COMPUTED_VALUE"""),747.97)</f>
        <v>747.97</v>
      </c>
    </row>
    <row r="582">
      <c r="A582" s="1" t="str">
        <f>IFERROR(__xludf.DUMMYFUNCTION("""COMPUTED_VALUE"""),"PR022")</f>
        <v>PR022</v>
      </c>
      <c r="B582" s="1" t="str">
        <f>IFERROR(__xludf.DUMMYFUNCTION("""COMPUTED_VALUE"""),"VD041")</f>
        <v>VD041</v>
      </c>
      <c r="C582" s="1">
        <f>IFERROR(__xludf.DUMMYFUNCTION("""COMPUTED_VALUE"""),2.0)</f>
        <v>2</v>
      </c>
      <c r="D582" s="1">
        <f>IFERROR(__xludf.DUMMYFUNCTION("""COMPUTED_VALUE"""),630.0)</f>
        <v>630</v>
      </c>
    </row>
    <row r="583">
      <c r="A583" s="1" t="str">
        <f>IFERROR(__xludf.DUMMYFUNCTION("""COMPUTED_VALUE"""),"PR038")</f>
        <v>PR038</v>
      </c>
      <c r="B583" s="1" t="str">
        <f>IFERROR(__xludf.DUMMYFUNCTION("""COMPUTED_VALUE"""),"VD038")</f>
        <v>VD038</v>
      </c>
      <c r="C583" s="1">
        <f>IFERROR(__xludf.DUMMYFUNCTION("""COMPUTED_VALUE"""),3.0)</f>
        <v>3</v>
      </c>
      <c r="D583" s="1">
        <f>IFERROR(__xludf.DUMMYFUNCTION("""COMPUTED_VALUE"""),467.28)</f>
        <v>467.28</v>
      </c>
    </row>
    <row r="584">
      <c r="A584" s="1" t="str">
        <f>IFERROR(__xludf.DUMMYFUNCTION("""COMPUTED_VALUE"""),"PR049")</f>
        <v>PR049</v>
      </c>
      <c r="B584" s="1" t="str">
        <f>IFERROR(__xludf.DUMMYFUNCTION("""COMPUTED_VALUE"""),"VD038")</f>
        <v>VD038</v>
      </c>
      <c r="C584" s="1">
        <f>IFERROR(__xludf.DUMMYFUNCTION("""COMPUTED_VALUE"""),4.0)</f>
        <v>4</v>
      </c>
      <c r="D584" s="1">
        <f>IFERROR(__xludf.DUMMYFUNCTION("""COMPUTED_VALUE"""),140.81)</f>
        <v>140.81</v>
      </c>
    </row>
    <row r="585">
      <c r="A585" s="1" t="str">
        <f>IFERROR(__xludf.DUMMYFUNCTION("""COMPUTED_VALUE"""),"PR033")</f>
        <v>PR033</v>
      </c>
      <c r="B585" s="1" t="str">
        <f>IFERROR(__xludf.DUMMYFUNCTION("""COMPUTED_VALUE"""),"VD048")</f>
        <v>VD048</v>
      </c>
      <c r="C585" s="1">
        <f>IFERROR(__xludf.DUMMYFUNCTION("""COMPUTED_VALUE"""),12.0)</f>
        <v>12</v>
      </c>
      <c r="D585" s="1">
        <f>IFERROR(__xludf.DUMMYFUNCTION("""COMPUTED_VALUE"""),3243.55)</f>
        <v>3243.55</v>
      </c>
    </row>
    <row r="586">
      <c r="A586" s="1" t="str">
        <f>IFERROR(__xludf.DUMMYFUNCTION("""COMPUTED_VALUE"""),"PR050")</f>
        <v>PR050</v>
      </c>
      <c r="B586" s="1" t="str">
        <f>IFERROR(__xludf.DUMMYFUNCTION("""COMPUTED_VALUE"""),"VD018")</f>
        <v>VD018</v>
      </c>
      <c r="C586" s="1">
        <f>IFERROR(__xludf.DUMMYFUNCTION("""COMPUTED_VALUE"""),2.0)</f>
        <v>2</v>
      </c>
      <c r="D586" s="1">
        <f>IFERROR(__xludf.DUMMYFUNCTION("""COMPUTED_VALUE"""),67.77)</f>
        <v>67.77</v>
      </c>
    </row>
    <row r="587">
      <c r="A587" s="1" t="str">
        <f>IFERROR(__xludf.DUMMYFUNCTION("""COMPUTED_VALUE"""),"PR037")</f>
        <v>PR037</v>
      </c>
      <c r="B587" s="1" t="str">
        <f>IFERROR(__xludf.DUMMYFUNCTION("""COMPUTED_VALUE"""),"VD014")</f>
        <v>VD014</v>
      </c>
      <c r="C587" s="1">
        <f>IFERROR(__xludf.DUMMYFUNCTION("""COMPUTED_VALUE"""),8.0)</f>
        <v>8</v>
      </c>
      <c r="D587" s="1">
        <f>IFERROR(__xludf.DUMMYFUNCTION("""COMPUTED_VALUE"""),1209.6)</f>
        <v>1209.6</v>
      </c>
    </row>
    <row r="588">
      <c r="A588" s="1" t="str">
        <f>IFERROR(__xludf.DUMMYFUNCTION("""COMPUTED_VALUE"""),"PR001")</f>
        <v>PR001</v>
      </c>
      <c r="B588" s="1" t="str">
        <f>IFERROR(__xludf.DUMMYFUNCTION("""COMPUTED_VALUE"""),"VD010")</f>
        <v>VD010</v>
      </c>
      <c r="C588" s="1">
        <f>IFERROR(__xludf.DUMMYFUNCTION("""COMPUTED_VALUE"""),8.0)</f>
        <v>8</v>
      </c>
      <c r="D588" s="1">
        <f>IFERROR(__xludf.DUMMYFUNCTION("""COMPUTED_VALUE"""),537.74)</f>
        <v>537.74</v>
      </c>
    </row>
    <row r="589">
      <c r="A589" s="1" t="str">
        <f>IFERROR(__xludf.DUMMYFUNCTION("""COMPUTED_VALUE"""),"PR049")</f>
        <v>PR049</v>
      </c>
      <c r="B589" s="1" t="str">
        <f>IFERROR(__xludf.DUMMYFUNCTION("""COMPUTED_VALUE"""),"VD015")</f>
        <v>VD015</v>
      </c>
      <c r="C589" s="1">
        <f>IFERROR(__xludf.DUMMYFUNCTION("""COMPUTED_VALUE"""),16.0)</f>
        <v>16</v>
      </c>
      <c r="D589" s="1">
        <f>IFERROR(__xludf.DUMMYFUNCTION("""COMPUTED_VALUE"""),573.78)</f>
        <v>573.78</v>
      </c>
    </row>
    <row r="590">
      <c r="A590" s="1" t="str">
        <f>IFERROR(__xludf.DUMMYFUNCTION("""COMPUTED_VALUE"""),"PR013")</f>
        <v>PR013</v>
      </c>
      <c r="B590" s="1" t="str">
        <f>IFERROR(__xludf.DUMMYFUNCTION("""COMPUTED_VALUE"""),"VD020")</f>
        <v>VD020</v>
      </c>
      <c r="C590" s="1">
        <f>IFERROR(__xludf.DUMMYFUNCTION("""COMPUTED_VALUE"""),6.0)</f>
        <v>6</v>
      </c>
      <c r="D590" s="1">
        <f>IFERROR(__xludf.DUMMYFUNCTION("""COMPUTED_VALUE"""),248.98)</f>
        <v>248.98</v>
      </c>
    </row>
    <row r="591">
      <c r="A591" s="1" t="str">
        <f>IFERROR(__xludf.DUMMYFUNCTION("""COMPUTED_VALUE"""),"PR003")</f>
        <v>PR003</v>
      </c>
      <c r="B591" s="1" t="str">
        <f>IFERROR(__xludf.DUMMYFUNCTION("""COMPUTED_VALUE"""),"VD031")</f>
        <v>VD031</v>
      </c>
      <c r="C591" s="1">
        <f>IFERROR(__xludf.DUMMYFUNCTION("""COMPUTED_VALUE"""),9.0)</f>
        <v>9</v>
      </c>
      <c r="D591" s="1">
        <f>IFERROR(__xludf.DUMMYFUNCTION("""COMPUTED_VALUE"""),657.24)</f>
        <v>657.24</v>
      </c>
    </row>
    <row r="592">
      <c r="A592" s="1" t="str">
        <f>IFERROR(__xludf.DUMMYFUNCTION("""COMPUTED_VALUE"""),"PR057")</f>
        <v>PR057</v>
      </c>
      <c r="B592" s="1" t="str">
        <f>IFERROR(__xludf.DUMMYFUNCTION("""COMPUTED_VALUE"""),"VD045")</f>
        <v>VD045</v>
      </c>
      <c r="C592" s="1">
        <f>IFERROR(__xludf.DUMMYFUNCTION("""COMPUTED_VALUE"""),7.0)</f>
        <v>7</v>
      </c>
      <c r="D592" s="1">
        <f>IFERROR(__xludf.DUMMYFUNCTION("""COMPUTED_VALUE"""),679.64)</f>
        <v>679.64</v>
      </c>
    </row>
    <row r="593">
      <c r="A593" s="1" t="str">
        <f>IFERROR(__xludf.DUMMYFUNCTION("""COMPUTED_VALUE"""),"PR025")</f>
        <v>PR025</v>
      </c>
      <c r="B593" s="1" t="str">
        <f>IFERROR(__xludf.DUMMYFUNCTION("""COMPUTED_VALUE"""),"VD035")</f>
        <v>VD035</v>
      </c>
      <c r="C593" s="1">
        <f>IFERROR(__xludf.DUMMYFUNCTION("""COMPUTED_VALUE"""),1.0)</f>
        <v>1</v>
      </c>
      <c r="D593" s="1">
        <f>IFERROR(__xludf.DUMMYFUNCTION("""COMPUTED_VALUE"""),305.9)</f>
        <v>305.9</v>
      </c>
    </row>
    <row r="594">
      <c r="A594" s="1" t="str">
        <f>IFERROR(__xludf.DUMMYFUNCTION("""COMPUTED_VALUE"""),"PR047")</f>
        <v>PR047</v>
      </c>
      <c r="B594" s="1" t="str">
        <f>IFERROR(__xludf.DUMMYFUNCTION("""COMPUTED_VALUE"""),"VD023")</f>
        <v>VD023</v>
      </c>
      <c r="C594" s="1">
        <f>IFERROR(__xludf.DUMMYFUNCTION("""COMPUTED_VALUE"""),20.0)</f>
        <v>20</v>
      </c>
      <c r="D594" s="1">
        <f>IFERROR(__xludf.DUMMYFUNCTION("""COMPUTED_VALUE"""),6029.92)</f>
        <v>6029.92</v>
      </c>
    </row>
    <row r="595">
      <c r="A595" s="1" t="str">
        <f>IFERROR(__xludf.DUMMYFUNCTION("""COMPUTED_VALUE"""),"PR060")</f>
        <v>PR060</v>
      </c>
      <c r="B595" s="1" t="str">
        <f>IFERROR(__xludf.DUMMYFUNCTION("""COMPUTED_VALUE"""),"VD030")</f>
        <v>VD030</v>
      </c>
      <c r="C595" s="1">
        <f>IFERROR(__xludf.DUMMYFUNCTION("""COMPUTED_VALUE"""),18.0)</f>
        <v>18</v>
      </c>
      <c r="D595" s="1">
        <f>IFERROR(__xludf.DUMMYFUNCTION("""COMPUTED_VALUE"""),3402.0)</f>
        <v>3402</v>
      </c>
    </row>
    <row r="596">
      <c r="A596" s="1" t="str">
        <f>IFERROR(__xludf.DUMMYFUNCTION("""COMPUTED_VALUE"""),"PR017")</f>
        <v>PR017</v>
      </c>
      <c r="B596" s="1" t="str">
        <f>IFERROR(__xludf.DUMMYFUNCTION("""COMPUTED_VALUE"""),"VD049")</f>
        <v>VD049</v>
      </c>
      <c r="C596" s="1">
        <f>IFERROR(__xludf.DUMMYFUNCTION("""COMPUTED_VALUE"""),18.0)</f>
        <v>18</v>
      </c>
      <c r="D596" s="1">
        <f>IFERROR(__xludf.DUMMYFUNCTION("""COMPUTED_VALUE"""),581.26)</f>
        <v>581.26</v>
      </c>
    </row>
    <row r="597">
      <c r="A597" s="1" t="str">
        <f>IFERROR(__xludf.DUMMYFUNCTION("""COMPUTED_VALUE"""),"PR024")</f>
        <v>PR024</v>
      </c>
      <c r="B597" s="1" t="str">
        <f>IFERROR(__xludf.DUMMYFUNCTION("""COMPUTED_VALUE"""),"VD026")</f>
        <v>VD026</v>
      </c>
      <c r="C597" s="1">
        <f>IFERROR(__xludf.DUMMYFUNCTION("""COMPUTED_VALUE"""),10.0)</f>
        <v>10</v>
      </c>
      <c r="D597" s="1">
        <f>IFERROR(__xludf.DUMMYFUNCTION("""COMPUTED_VALUE"""),2806.92)</f>
        <v>2806.92</v>
      </c>
    </row>
    <row r="598">
      <c r="A598" s="1" t="str">
        <f>IFERROR(__xludf.DUMMYFUNCTION("""COMPUTED_VALUE"""),"PR013")</f>
        <v>PR013</v>
      </c>
      <c r="B598" s="1" t="str">
        <f>IFERROR(__xludf.DUMMYFUNCTION("""COMPUTED_VALUE"""),"VD013")</f>
        <v>VD013</v>
      </c>
      <c r="C598" s="1">
        <f>IFERROR(__xludf.DUMMYFUNCTION("""COMPUTED_VALUE"""),16.0)</f>
        <v>16</v>
      </c>
      <c r="D598" s="1">
        <f>IFERROR(__xludf.DUMMYFUNCTION("""COMPUTED_VALUE"""),702.24)</f>
        <v>702.24</v>
      </c>
    </row>
    <row r="599">
      <c r="A599" s="1" t="str">
        <f>IFERROR(__xludf.DUMMYFUNCTION("""COMPUTED_VALUE"""),"PR057")</f>
        <v>PR057</v>
      </c>
      <c r="B599" s="1" t="str">
        <f>IFERROR(__xludf.DUMMYFUNCTION("""COMPUTED_VALUE"""),"VD027")</f>
        <v>VD027</v>
      </c>
      <c r="C599" s="1">
        <f>IFERROR(__xludf.DUMMYFUNCTION("""COMPUTED_VALUE"""),18.0)</f>
        <v>18</v>
      </c>
      <c r="D599" s="1">
        <f>IFERROR(__xludf.DUMMYFUNCTION("""COMPUTED_VALUE"""),1666.75)</f>
        <v>1666.75</v>
      </c>
    </row>
    <row r="600">
      <c r="A600" s="1" t="str">
        <f>IFERROR(__xludf.DUMMYFUNCTION("""COMPUTED_VALUE"""),"PR057")</f>
        <v>PR057</v>
      </c>
      <c r="B600" s="1" t="str">
        <f>IFERROR(__xludf.DUMMYFUNCTION("""COMPUTED_VALUE"""),"VD038")</f>
        <v>VD038</v>
      </c>
      <c r="C600" s="1">
        <f>IFERROR(__xludf.DUMMYFUNCTION("""COMPUTED_VALUE"""),8.0)</f>
        <v>8</v>
      </c>
      <c r="D600" s="1">
        <f>IFERROR(__xludf.DUMMYFUNCTION("""COMPUTED_VALUE"""),733.58)</f>
        <v>733.58</v>
      </c>
    </row>
    <row r="601">
      <c r="A601" s="1" t="str">
        <f>IFERROR(__xludf.DUMMYFUNCTION("""COMPUTED_VALUE"""),"PR020")</f>
        <v>PR020</v>
      </c>
      <c r="B601" s="1" t="str">
        <f>IFERROR(__xludf.DUMMYFUNCTION("""COMPUTED_VALUE"""),"VD021")</f>
        <v>VD021</v>
      </c>
      <c r="C601" s="1">
        <f>IFERROR(__xludf.DUMMYFUNCTION("""COMPUTED_VALUE"""),2.0)</f>
        <v>2</v>
      </c>
      <c r="D601" s="1">
        <f>IFERROR(__xludf.DUMMYFUNCTION("""COMPUTED_VALUE"""),617.79)</f>
        <v>617.79</v>
      </c>
    </row>
    <row r="602">
      <c r="A602" s="1" t="str">
        <f>IFERROR(__xludf.DUMMYFUNCTION("""COMPUTED_VALUE"""),"PR007")</f>
        <v>PR007</v>
      </c>
      <c r="B602" s="1" t="str">
        <f>IFERROR(__xludf.DUMMYFUNCTION("""COMPUTED_VALUE"""),"VD033")</f>
        <v>VD033</v>
      </c>
      <c r="C602" s="1">
        <f>IFERROR(__xludf.DUMMYFUNCTION("""COMPUTED_VALUE"""),8.0)</f>
        <v>8</v>
      </c>
      <c r="D602" s="1">
        <f>IFERROR(__xludf.DUMMYFUNCTION("""COMPUTED_VALUE"""),749.05)</f>
        <v>749.05</v>
      </c>
    </row>
    <row r="603">
      <c r="A603" s="1" t="str">
        <f>IFERROR(__xludf.DUMMYFUNCTION("""COMPUTED_VALUE"""),"PR040")</f>
        <v>PR040</v>
      </c>
      <c r="B603" s="1" t="str">
        <f>IFERROR(__xludf.DUMMYFUNCTION("""COMPUTED_VALUE"""),"VD023")</f>
        <v>VD023</v>
      </c>
      <c r="C603" s="1">
        <f>IFERROR(__xludf.DUMMYFUNCTION("""COMPUTED_VALUE"""),4.0)</f>
        <v>4</v>
      </c>
      <c r="D603" s="1">
        <f>IFERROR(__xludf.DUMMYFUNCTION("""COMPUTED_VALUE"""),308.0)</f>
        <v>308</v>
      </c>
    </row>
    <row r="604">
      <c r="A604" s="1" t="str">
        <f>IFERROR(__xludf.DUMMYFUNCTION("""COMPUTED_VALUE"""),"PR024")</f>
        <v>PR024</v>
      </c>
      <c r="B604" s="1" t="str">
        <f>IFERROR(__xludf.DUMMYFUNCTION("""COMPUTED_VALUE"""),"VD018")</f>
        <v>VD018</v>
      </c>
      <c r="C604" s="1">
        <f>IFERROR(__xludf.DUMMYFUNCTION("""COMPUTED_VALUE"""),2.0)</f>
        <v>2</v>
      </c>
      <c r="D604" s="1">
        <f>IFERROR(__xludf.DUMMYFUNCTION("""COMPUTED_VALUE"""),535.39)</f>
        <v>535.39</v>
      </c>
    </row>
    <row r="605">
      <c r="A605" s="1" t="str">
        <f>IFERROR(__xludf.DUMMYFUNCTION("""COMPUTED_VALUE"""),"PR004")</f>
        <v>PR004</v>
      </c>
      <c r="B605" s="1" t="str">
        <f>IFERROR(__xludf.DUMMYFUNCTION("""COMPUTED_VALUE"""),"VD031")</f>
        <v>VD031</v>
      </c>
      <c r="C605" s="1">
        <f>IFERROR(__xludf.DUMMYFUNCTION("""COMPUTED_VALUE"""),4.0)</f>
        <v>4</v>
      </c>
      <c r="D605" s="1">
        <f>IFERROR(__xludf.DUMMYFUNCTION("""COMPUTED_VALUE"""),603.2)</f>
        <v>603.2</v>
      </c>
    </row>
    <row r="606">
      <c r="A606" s="1" t="str">
        <f>IFERROR(__xludf.DUMMYFUNCTION("""COMPUTED_VALUE"""),"PR016")</f>
        <v>PR016</v>
      </c>
      <c r="B606" s="1" t="str">
        <f>IFERROR(__xludf.DUMMYFUNCTION("""COMPUTED_VALUE"""),"VD010")</f>
        <v>VD010</v>
      </c>
      <c r="C606" s="1">
        <f>IFERROR(__xludf.DUMMYFUNCTION("""COMPUTED_VALUE"""),8.0)</f>
        <v>8</v>
      </c>
      <c r="D606" s="1">
        <f>IFERROR(__xludf.DUMMYFUNCTION("""COMPUTED_VALUE"""),221.7)</f>
        <v>221.7</v>
      </c>
    </row>
    <row r="607">
      <c r="A607" s="1" t="str">
        <f>IFERROR(__xludf.DUMMYFUNCTION("""COMPUTED_VALUE"""),"PR029")</f>
        <v>PR029</v>
      </c>
      <c r="B607" s="1" t="str">
        <f>IFERROR(__xludf.DUMMYFUNCTION("""COMPUTED_VALUE"""),"VD030")</f>
        <v>VD030</v>
      </c>
      <c r="C607" s="1">
        <f>IFERROR(__xludf.DUMMYFUNCTION("""COMPUTED_VALUE"""),5.0)</f>
        <v>5</v>
      </c>
      <c r="D607" s="1">
        <f>IFERROR(__xludf.DUMMYFUNCTION("""COMPUTED_VALUE"""),1287.75)</f>
        <v>1287.75</v>
      </c>
    </row>
    <row r="608">
      <c r="A608" s="1" t="str">
        <f>IFERROR(__xludf.DUMMYFUNCTION("""COMPUTED_VALUE"""),"PR007")</f>
        <v>PR007</v>
      </c>
      <c r="B608" s="1" t="str">
        <f>IFERROR(__xludf.DUMMYFUNCTION("""COMPUTED_VALUE"""),"VD046")</f>
        <v>VD046</v>
      </c>
      <c r="C608" s="1">
        <f>IFERROR(__xludf.DUMMYFUNCTION("""COMPUTED_VALUE"""),9.0)</f>
        <v>9</v>
      </c>
      <c r="D608" s="1">
        <f>IFERROR(__xludf.DUMMYFUNCTION("""COMPUTED_VALUE"""),804.02)</f>
        <v>804.02</v>
      </c>
    </row>
    <row r="609">
      <c r="A609" s="1" t="str">
        <f>IFERROR(__xludf.DUMMYFUNCTION("""COMPUTED_VALUE"""),"PR049")</f>
        <v>PR049</v>
      </c>
      <c r="B609" s="1" t="str">
        <f>IFERROR(__xludf.DUMMYFUNCTION("""COMPUTED_VALUE"""),"VD032")</f>
        <v>VD032</v>
      </c>
      <c r="C609" s="1">
        <f>IFERROR(__xludf.DUMMYFUNCTION("""COMPUTED_VALUE"""),14.0)</f>
        <v>14</v>
      </c>
      <c r="D609" s="1">
        <f>IFERROR(__xludf.DUMMYFUNCTION("""COMPUTED_VALUE"""),492.84)</f>
        <v>492.84</v>
      </c>
    </row>
    <row r="610">
      <c r="A610" s="1" t="str">
        <f>IFERROR(__xludf.DUMMYFUNCTION("""COMPUTED_VALUE"""),"PR039")</f>
        <v>PR039</v>
      </c>
      <c r="B610" s="1" t="str">
        <f>IFERROR(__xludf.DUMMYFUNCTION("""COMPUTED_VALUE"""),"VD035")</f>
        <v>VD035</v>
      </c>
      <c r="C610" s="1">
        <f>IFERROR(__xludf.DUMMYFUNCTION("""COMPUTED_VALUE"""),16.0)</f>
        <v>16</v>
      </c>
      <c r="D610" s="1">
        <f>IFERROR(__xludf.DUMMYFUNCTION("""COMPUTED_VALUE"""),2452.8)</f>
        <v>2452.8</v>
      </c>
    </row>
    <row r="611">
      <c r="A611" s="1" t="str">
        <f>IFERROR(__xludf.DUMMYFUNCTION("""COMPUTED_VALUE"""),"PR022")</f>
        <v>PR022</v>
      </c>
      <c r="B611" s="1" t="str">
        <f>IFERROR(__xludf.DUMMYFUNCTION("""COMPUTED_VALUE"""),"VD022")</f>
        <v>VD022</v>
      </c>
      <c r="C611" s="1">
        <f>IFERROR(__xludf.DUMMYFUNCTION("""COMPUTED_VALUE"""),2.0)</f>
        <v>2</v>
      </c>
      <c r="D611" s="1">
        <f>IFERROR(__xludf.DUMMYFUNCTION("""COMPUTED_VALUE"""),606.0)</f>
        <v>606</v>
      </c>
    </row>
    <row r="612">
      <c r="A612" s="1" t="str">
        <f>IFERROR(__xludf.DUMMYFUNCTION("""COMPUTED_VALUE"""),"PR004")</f>
        <v>PR004</v>
      </c>
      <c r="B612" s="1" t="str">
        <f>IFERROR(__xludf.DUMMYFUNCTION("""COMPUTED_VALUE"""),"VD023")</f>
        <v>VD023</v>
      </c>
      <c r="C612" s="1">
        <f>IFERROR(__xludf.DUMMYFUNCTION("""COMPUTED_VALUE"""),2.0)</f>
        <v>2</v>
      </c>
      <c r="D612" s="1">
        <f>IFERROR(__xludf.DUMMYFUNCTION("""COMPUTED_VALUE"""),319.0)</f>
        <v>319</v>
      </c>
    </row>
    <row r="613">
      <c r="A613" s="1" t="str">
        <f>IFERROR(__xludf.DUMMYFUNCTION("""COMPUTED_VALUE"""),"PR011")</f>
        <v>PR011</v>
      </c>
      <c r="B613" s="1" t="str">
        <f>IFERROR(__xludf.DUMMYFUNCTION("""COMPUTED_VALUE"""),"VD049")</f>
        <v>VD049</v>
      </c>
      <c r="C613" s="1">
        <f>IFERROR(__xludf.DUMMYFUNCTION("""COMPUTED_VALUE"""),9.0)</f>
        <v>9</v>
      </c>
      <c r="D613" s="1">
        <f>IFERROR(__xludf.DUMMYFUNCTION("""COMPUTED_VALUE"""),460.09)</f>
        <v>460.09</v>
      </c>
    </row>
    <row r="614">
      <c r="A614" s="1" t="str">
        <f>IFERROR(__xludf.DUMMYFUNCTION("""COMPUTED_VALUE"""),"PR052")</f>
        <v>PR052</v>
      </c>
      <c r="B614" s="1" t="str">
        <f>IFERROR(__xludf.DUMMYFUNCTION("""COMPUTED_VALUE"""),"VD044")</f>
        <v>VD044</v>
      </c>
      <c r="C614" s="1">
        <f>IFERROR(__xludf.DUMMYFUNCTION("""COMPUTED_VALUE"""),20.0)</f>
        <v>20</v>
      </c>
      <c r="D614" s="1">
        <f>IFERROR(__xludf.DUMMYFUNCTION("""COMPUTED_VALUE"""),1077.84)</f>
        <v>1077.84</v>
      </c>
    </row>
    <row r="615">
      <c r="A615" s="1" t="str">
        <f>IFERROR(__xludf.DUMMYFUNCTION("""COMPUTED_VALUE"""),"PR001")</f>
        <v>PR001</v>
      </c>
      <c r="B615" s="1" t="str">
        <f>IFERROR(__xludf.DUMMYFUNCTION("""COMPUTED_VALUE"""),"VD039")</f>
        <v>VD039</v>
      </c>
      <c r="C615" s="1">
        <f>IFERROR(__xludf.DUMMYFUNCTION("""COMPUTED_VALUE"""),5.0)</f>
        <v>5</v>
      </c>
      <c r="D615" s="1">
        <f>IFERROR(__xludf.DUMMYFUNCTION("""COMPUTED_VALUE"""),345.98)</f>
        <v>345.98</v>
      </c>
    </row>
    <row r="616">
      <c r="A616" s="1" t="str">
        <f>IFERROR(__xludf.DUMMYFUNCTION("""COMPUTED_VALUE"""),"PR051")</f>
        <v>PR051</v>
      </c>
      <c r="B616" s="1" t="str">
        <f>IFERROR(__xludf.DUMMYFUNCTION("""COMPUTED_VALUE"""),"VD031")</f>
        <v>VD031</v>
      </c>
      <c r="C616" s="1">
        <f>IFERROR(__xludf.DUMMYFUNCTION("""COMPUTED_VALUE"""),5.0)</f>
        <v>5</v>
      </c>
      <c r="D616" s="1">
        <f>IFERROR(__xludf.DUMMYFUNCTION("""COMPUTED_VALUE"""),164.5)</f>
        <v>164.5</v>
      </c>
    </row>
    <row r="617">
      <c r="A617" s="1" t="str">
        <f>IFERROR(__xludf.DUMMYFUNCTION("""COMPUTED_VALUE"""),"PR007")</f>
        <v>PR007</v>
      </c>
      <c r="B617" s="1" t="str">
        <f>IFERROR(__xludf.DUMMYFUNCTION("""COMPUTED_VALUE"""),"VD023")</f>
        <v>VD023</v>
      </c>
      <c r="C617" s="1">
        <f>IFERROR(__xludf.DUMMYFUNCTION("""COMPUTED_VALUE"""),4.0)</f>
        <v>4</v>
      </c>
      <c r="D617" s="1">
        <f>IFERROR(__xludf.DUMMYFUNCTION("""COMPUTED_VALUE"""),367.65)</f>
        <v>367.65</v>
      </c>
    </row>
    <row r="618">
      <c r="A618" s="1" t="str">
        <f>IFERROR(__xludf.DUMMYFUNCTION("""COMPUTED_VALUE"""),"PR039")</f>
        <v>PR039</v>
      </c>
      <c r="B618" s="1" t="str">
        <f>IFERROR(__xludf.DUMMYFUNCTION("""COMPUTED_VALUE"""),"VD019")</f>
        <v>VD019</v>
      </c>
      <c r="C618" s="1">
        <f>IFERROR(__xludf.DUMMYFUNCTION("""COMPUTED_VALUE"""),3.0)</f>
        <v>3</v>
      </c>
      <c r="D618" s="1">
        <f>IFERROR(__xludf.DUMMYFUNCTION("""COMPUTED_VALUE"""),459.9)</f>
        <v>459.9</v>
      </c>
    </row>
    <row r="619">
      <c r="A619" s="1" t="str">
        <f>IFERROR(__xludf.DUMMYFUNCTION("""COMPUTED_VALUE"""),"PR033")</f>
        <v>PR033</v>
      </c>
      <c r="B619" s="1" t="str">
        <f>IFERROR(__xludf.DUMMYFUNCTION("""COMPUTED_VALUE"""),"VD041")</f>
        <v>VD041</v>
      </c>
      <c r="C619" s="1">
        <f>IFERROR(__xludf.DUMMYFUNCTION("""COMPUTED_VALUE"""),5.0)</f>
        <v>5</v>
      </c>
      <c r="D619" s="1">
        <f>IFERROR(__xludf.DUMMYFUNCTION("""COMPUTED_VALUE"""),1351.48)</f>
        <v>1351.48</v>
      </c>
    </row>
    <row r="620">
      <c r="A620" s="1" t="str">
        <f>IFERROR(__xludf.DUMMYFUNCTION("""COMPUTED_VALUE"""),"PR043")</f>
        <v>PR043</v>
      </c>
      <c r="B620" s="1" t="str">
        <f>IFERROR(__xludf.DUMMYFUNCTION("""COMPUTED_VALUE"""),"VD035")</f>
        <v>VD035</v>
      </c>
      <c r="C620" s="1">
        <f>IFERROR(__xludf.DUMMYFUNCTION("""COMPUTED_VALUE"""),6.0)</f>
        <v>6</v>
      </c>
      <c r="D620" s="1">
        <f>IFERROR(__xludf.DUMMYFUNCTION("""COMPUTED_VALUE"""),474.15)</f>
        <v>474.15</v>
      </c>
    </row>
    <row r="621">
      <c r="A621" s="1" t="str">
        <f>IFERROR(__xludf.DUMMYFUNCTION("""COMPUTED_VALUE"""),"PR056")</f>
        <v>PR056</v>
      </c>
      <c r="B621" s="1" t="str">
        <f>IFERROR(__xludf.DUMMYFUNCTION("""COMPUTED_VALUE"""),"VD025")</f>
        <v>VD025</v>
      </c>
      <c r="C621" s="1">
        <f>IFERROR(__xludf.DUMMYFUNCTION("""COMPUTED_VALUE"""),1.0)</f>
        <v>1</v>
      </c>
      <c r="D621" s="1">
        <f>IFERROR(__xludf.DUMMYFUNCTION("""COMPUTED_VALUE"""),92.6)</f>
        <v>92.6</v>
      </c>
    </row>
    <row r="622">
      <c r="A622" s="1" t="str">
        <f>IFERROR(__xludf.DUMMYFUNCTION("""COMPUTED_VALUE"""),"PR032")</f>
        <v>PR032</v>
      </c>
      <c r="B622" s="1" t="str">
        <f>IFERROR(__xludf.DUMMYFUNCTION("""COMPUTED_VALUE"""),"VD033")</f>
        <v>VD033</v>
      </c>
      <c r="C622" s="1">
        <f>IFERROR(__xludf.DUMMYFUNCTION("""COMPUTED_VALUE"""),7.0)</f>
        <v>7</v>
      </c>
      <c r="D622" s="1">
        <f>IFERROR(__xludf.DUMMYFUNCTION("""COMPUTED_VALUE"""),1820.0)</f>
        <v>1820</v>
      </c>
    </row>
    <row r="623">
      <c r="A623" s="1" t="str">
        <f>IFERROR(__xludf.DUMMYFUNCTION("""COMPUTED_VALUE"""),"PR035")</f>
        <v>PR035</v>
      </c>
      <c r="B623" s="1" t="str">
        <f>IFERROR(__xludf.DUMMYFUNCTION("""COMPUTED_VALUE"""),"VD042")</f>
        <v>VD042</v>
      </c>
      <c r="C623" s="1">
        <f>IFERROR(__xludf.DUMMYFUNCTION("""COMPUTED_VALUE"""),4.0)</f>
        <v>4</v>
      </c>
      <c r="D623" s="1">
        <f>IFERROR(__xludf.DUMMYFUNCTION("""COMPUTED_VALUE"""),398.5)</f>
        <v>398.5</v>
      </c>
    </row>
    <row r="624">
      <c r="A624" s="1" t="str">
        <f>IFERROR(__xludf.DUMMYFUNCTION("""COMPUTED_VALUE"""),"PR011")</f>
        <v>PR011</v>
      </c>
      <c r="B624" s="1" t="str">
        <f>IFERROR(__xludf.DUMMYFUNCTION("""COMPUTED_VALUE"""),"VD030")</f>
        <v>VD030</v>
      </c>
      <c r="C624" s="1">
        <f>IFERROR(__xludf.DUMMYFUNCTION("""COMPUTED_VALUE"""),4.0)</f>
        <v>4</v>
      </c>
      <c r="D624" s="1">
        <f>IFERROR(__xludf.DUMMYFUNCTION("""COMPUTED_VALUE"""),193.23)</f>
        <v>193.23</v>
      </c>
    </row>
    <row r="625">
      <c r="A625" s="1" t="str">
        <f>IFERROR(__xludf.DUMMYFUNCTION("""COMPUTED_VALUE"""),"PR011")</f>
        <v>PR011</v>
      </c>
      <c r="B625" s="1" t="str">
        <f>IFERROR(__xludf.DUMMYFUNCTION("""COMPUTED_VALUE"""),"VD036")</f>
        <v>VD036</v>
      </c>
      <c r="C625" s="1">
        <f>IFERROR(__xludf.DUMMYFUNCTION("""COMPUTED_VALUE"""),2.0)</f>
        <v>2</v>
      </c>
      <c r="D625" s="1">
        <f>IFERROR(__xludf.DUMMYFUNCTION("""COMPUTED_VALUE"""),93.8)</f>
        <v>93.8</v>
      </c>
    </row>
    <row r="626">
      <c r="A626" s="1" t="str">
        <f>IFERROR(__xludf.DUMMYFUNCTION("""COMPUTED_VALUE"""),"PR039")</f>
        <v>PR039</v>
      </c>
      <c r="B626" s="1" t="str">
        <f>IFERROR(__xludf.DUMMYFUNCTION("""COMPUTED_VALUE"""),"VD031")</f>
        <v>VD031</v>
      </c>
      <c r="C626" s="1">
        <f>IFERROR(__xludf.DUMMYFUNCTION("""COMPUTED_VALUE"""),4.0)</f>
        <v>4</v>
      </c>
      <c r="D626" s="1">
        <f>IFERROR(__xludf.DUMMYFUNCTION("""COMPUTED_VALUE"""),624.88)</f>
        <v>624.88</v>
      </c>
    </row>
    <row r="627">
      <c r="A627" s="1" t="str">
        <f>IFERROR(__xludf.DUMMYFUNCTION("""COMPUTED_VALUE"""),"PR026")</f>
        <v>PR026</v>
      </c>
      <c r="B627" s="1" t="str">
        <f>IFERROR(__xludf.DUMMYFUNCTION("""COMPUTED_VALUE"""),"VD045")</f>
        <v>VD045</v>
      </c>
      <c r="C627" s="1">
        <f>IFERROR(__xludf.DUMMYFUNCTION("""COMPUTED_VALUE"""),16.0)</f>
        <v>16</v>
      </c>
      <c r="D627" s="1">
        <f>IFERROR(__xludf.DUMMYFUNCTION("""COMPUTED_VALUE"""),5822.34)</f>
        <v>5822.34</v>
      </c>
    </row>
    <row r="628">
      <c r="A628" s="1" t="str">
        <f>IFERROR(__xludf.DUMMYFUNCTION("""COMPUTED_VALUE"""),"PR048")</f>
        <v>PR048</v>
      </c>
      <c r="B628" s="1" t="str">
        <f>IFERROR(__xludf.DUMMYFUNCTION("""COMPUTED_VALUE"""),"VD029")</f>
        <v>VD029</v>
      </c>
      <c r="C628" s="1">
        <f>IFERROR(__xludf.DUMMYFUNCTION("""COMPUTED_VALUE"""),20.0)</f>
        <v>20</v>
      </c>
      <c r="D628" s="1">
        <f>IFERROR(__xludf.DUMMYFUNCTION("""COMPUTED_VALUE"""),6145.88)</f>
        <v>6145.88</v>
      </c>
    </row>
    <row r="629">
      <c r="A629" s="1" t="str">
        <f>IFERROR(__xludf.DUMMYFUNCTION("""COMPUTED_VALUE"""),"PR021")</f>
        <v>PR021</v>
      </c>
      <c r="B629" s="1" t="str">
        <f>IFERROR(__xludf.DUMMYFUNCTION("""COMPUTED_VALUE"""),"VD045")</f>
        <v>VD045</v>
      </c>
      <c r="C629" s="1">
        <f>IFERROR(__xludf.DUMMYFUNCTION("""COMPUTED_VALUE"""),6.0)</f>
        <v>6</v>
      </c>
      <c r="D629" s="1">
        <f>IFERROR(__xludf.DUMMYFUNCTION("""COMPUTED_VALUE"""),1817.4)</f>
        <v>1817.4</v>
      </c>
    </row>
    <row r="630">
      <c r="A630" s="1" t="str">
        <f>IFERROR(__xludf.DUMMYFUNCTION("""COMPUTED_VALUE"""),"PR047")</f>
        <v>PR047</v>
      </c>
      <c r="B630" s="1" t="str">
        <f>IFERROR(__xludf.DUMMYFUNCTION("""COMPUTED_VALUE"""),"VD030")</f>
        <v>VD030</v>
      </c>
      <c r="C630" s="1">
        <f>IFERROR(__xludf.DUMMYFUNCTION("""COMPUTED_VALUE"""),14.0)</f>
        <v>14</v>
      </c>
      <c r="D630" s="1">
        <f>IFERROR(__xludf.DUMMYFUNCTION("""COMPUTED_VALUE"""),4180.36)</f>
        <v>4180.36</v>
      </c>
    </row>
    <row r="631">
      <c r="A631" s="1" t="str">
        <f>IFERROR(__xludf.DUMMYFUNCTION("""COMPUTED_VALUE"""),"PR002")</f>
        <v>PR002</v>
      </c>
      <c r="B631" s="1" t="str">
        <f>IFERROR(__xludf.DUMMYFUNCTION("""COMPUTED_VALUE"""),"VD030")</f>
        <v>VD030</v>
      </c>
      <c r="C631" s="1">
        <f>IFERROR(__xludf.DUMMYFUNCTION("""COMPUTED_VALUE"""),8.0)</f>
        <v>8</v>
      </c>
      <c r="D631" s="1">
        <f>IFERROR(__xludf.DUMMYFUNCTION("""COMPUTED_VALUE"""),609.53)</f>
        <v>609.53</v>
      </c>
    </row>
    <row r="632">
      <c r="A632" s="1" t="str">
        <f>IFERROR(__xludf.DUMMYFUNCTION("""COMPUTED_VALUE"""),"PR048")</f>
        <v>PR048</v>
      </c>
      <c r="B632" s="1" t="str">
        <f>IFERROR(__xludf.DUMMYFUNCTION("""COMPUTED_VALUE"""),"VD040")</f>
        <v>VD040</v>
      </c>
      <c r="C632" s="1">
        <f>IFERROR(__xludf.DUMMYFUNCTION("""COMPUTED_VALUE"""),4.0)</f>
        <v>4</v>
      </c>
      <c r="D632" s="1">
        <f>IFERROR(__xludf.DUMMYFUNCTION("""COMPUTED_VALUE"""),1263.96)</f>
        <v>1263.96</v>
      </c>
    </row>
    <row r="633">
      <c r="A633" s="1" t="str">
        <f>IFERROR(__xludf.DUMMYFUNCTION("""COMPUTED_VALUE"""),"PR017")</f>
        <v>PR017</v>
      </c>
      <c r="B633" s="1" t="str">
        <f>IFERROR(__xludf.DUMMYFUNCTION("""COMPUTED_VALUE"""),"VD019")</f>
        <v>VD019</v>
      </c>
      <c r="C633" s="1">
        <f>IFERROR(__xludf.DUMMYFUNCTION("""COMPUTED_VALUE"""),10.0)</f>
        <v>10</v>
      </c>
      <c r="D633" s="1">
        <f>IFERROR(__xludf.DUMMYFUNCTION("""COMPUTED_VALUE"""),304.98)</f>
        <v>304.98</v>
      </c>
    </row>
    <row r="634">
      <c r="A634" s="1" t="str">
        <f>IFERROR(__xludf.DUMMYFUNCTION("""COMPUTED_VALUE"""),"PR058")</f>
        <v>PR058</v>
      </c>
      <c r="B634" s="1" t="str">
        <f>IFERROR(__xludf.DUMMYFUNCTION("""COMPUTED_VALUE"""),"VD046")</f>
        <v>VD046</v>
      </c>
      <c r="C634" s="1">
        <f>IFERROR(__xludf.DUMMYFUNCTION("""COMPUTED_VALUE"""),1.0)</f>
        <v>1</v>
      </c>
      <c r="D634" s="1">
        <f>IFERROR(__xludf.DUMMYFUNCTION("""COMPUTED_VALUE"""),189.0)</f>
        <v>189</v>
      </c>
    </row>
    <row r="635">
      <c r="A635" s="1" t="str">
        <f>IFERROR(__xludf.DUMMYFUNCTION("""COMPUTED_VALUE"""),"PR040")</f>
        <v>PR040</v>
      </c>
      <c r="B635" s="1" t="str">
        <f>IFERROR(__xludf.DUMMYFUNCTION("""COMPUTED_VALUE"""),"VD020")</f>
        <v>VD020</v>
      </c>
      <c r="C635" s="1">
        <f>IFERROR(__xludf.DUMMYFUNCTION("""COMPUTED_VALUE"""),10.0)</f>
        <v>10</v>
      </c>
      <c r="D635" s="1">
        <f>IFERROR(__xludf.DUMMYFUNCTION("""COMPUTED_VALUE"""),770.0)</f>
        <v>770</v>
      </c>
    </row>
    <row r="636">
      <c r="A636" s="1" t="str">
        <f>IFERROR(__xludf.DUMMYFUNCTION("""COMPUTED_VALUE"""),"PR014")</f>
        <v>PR014</v>
      </c>
      <c r="B636" s="1" t="str">
        <f>IFERROR(__xludf.DUMMYFUNCTION("""COMPUTED_VALUE"""),"VD028")</f>
        <v>VD028</v>
      </c>
      <c r="C636" s="1">
        <f>IFERROR(__xludf.DUMMYFUNCTION("""COMPUTED_VALUE"""),8.0)</f>
        <v>8</v>
      </c>
      <c r="D636" s="1">
        <f>IFERROR(__xludf.DUMMYFUNCTION("""COMPUTED_VALUE"""),331.97)</f>
        <v>331.97</v>
      </c>
    </row>
    <row r="637">
      <c r="A637" s="1" t="str">
        <f>IFERROR(__xludf.DUMMYFUNCTION("""COMPUTED_VALUE"""),"PR021")</f>
        <v>PR021</v>
      </c>
      <c r="B637" s="1" t="str">
        <f>IFERROR(__xludf.DUMMYFUNCTION("""COMPUTED_VALUE"""),"VD022")</f>
        <v>VD022</v>
      </c>
      <c r="C637" s="1">
        <f>IFERROR(__xludf.DUMMYFUNCTION("""COMPUTED_VALUE"""),8.0)</f>
        <v>8</v>
      </c>
      <c r="D637" s="1">
        <f>IFERROR(__xludf.DUMMYFUNCTION("""COMPUTED_VALUE"""),2447.43)</f>
        <v>2447.43</v>
      </c>
    </row>
    <row r="638">
      <c r="A638" s="1" t="str">
        <f>IFERROR(__xludf.DUMMYFUNCTION("""COMPUTED_VALUE"""),"PR028")</f>
        <v>PR028</v>
      </c>
      <c r="B638" s="1" t="str">
        <f>IFERROR(__xludf.DUMMYFUNCTION("""COMPUTED_VALUE"""),"VD021")</f>
        <v>VD021</v>
      </c>
      <c r="C638" s="1">
        <f>IFERROR(__xludf.DUMMYFUNCTION("""COMPUTED_VALUE"""),10.0)</f>
        <v>10</v>
      </c>
      <c r="D638" s="1">
        <f>IFERROR(__xludf.DUMMYFUNCTION("""COMPUTED_VALUE"""),2723.91)</f>
        <v>2723.91</v>
      </c>
    </row>
    <row r="639">
      <c r="A639" s="1" t="str">
        <f>IFERROR(__xludf.DUMMYFUNCTION("""COMPUTED_VALUE"""),"PR052")</f>
        <v>PR052</v>
      </c>
      <c r="B639" s="1" t="str">
        <f>IFERROR(__xludf.DUMMYFUNCTION("""COMPUTED_VALUE"""),"VD018")</f>
        <v>VD018</v>
      </c>
      <c r="C639" s="1">
        <f>IFERROR(__xludf.DUMMYFUNCTION("""COMPUTED_VALUE"""),5.0)</f>
        <v>5</v>
      </c>
      <c r="D639" s="1">
        <f>IFERROR(__xludf.DUMMYFUNCTION("""COMPUTED_VALUE"""),259.48)</f>
        <v>259.48</v>
      </c>
    </row>
    <row r="640">
      <c r="A640" s="1" t="str">
        <f>IFERROR(__xludf.DUMMYFUNCTION("""COMPUTED_VALUE"""),"PR042")</f>
        <v>PR042</v>
      </c>
      <c r="B640" s="1" t="str">
        <f>IFERROR(__xludf.DUMMYFUNCTION("""COMPUTED_VALUE"""),"VD011")</f>
        <v>VD011</v>
      </c>
      <c r="C640" s="1">
        <f>IFERROR(__xludf.DUMMYFUNCTION("""COMPUTED_VALUE"""),9.0)</f>
        <v>9</v>
      </c>
      <c r="D640" s="1">
        <f>IFERROR(__xludf.DUMMYFUNCTION("""COMPUTED_VALUE"""),523.75)</f>
        <v>523.75</v>
      </c>
    </row>
    <row r="641">
      <c r="A641" s="1" t="str">
        <f>IFERROR(__xludf.DUMMYFUNCTION("""COMPUTED_VALUE"""),"PR034")</f>
        <v>PR034</v>
      </c>
      <c r="B641" s="1" t="str">
        <f>IFERROR(__xludf.DUMMYFUNCTION("""COMPUTED_VALUE"""),"VD033")</f>
        <v>VD033</v>
      </c>
      <c r="C641" s="1">
        <f>IFERROR(__xludf.DUMMYFUNCTION("""COMPUTED_VALUE"""),6.0)</f>
        <v>6</v>
      </c>
      <c r="D641" s="1">
        <f>IFERROR(__xludf.DUMMYFUNCTION("""COMPUTED_VALUE"""),539.4)</f>
        <v>539.4</v>
      </c>
    </row>
    <row r="642">
      <c r="A642" s="1" t="str">
        <f>IFERROR(__xludf.DUMMYFUNCTION("""COMPUTED_VALUE"""),"PR040")</f>
        <v>PR040</v>
      </c>
      <c r="B642" s="1" t="str">
        <f>IFERROR(__xludf.DUMMYFUNCTION("""COMPUTED_VALUE"""),"VD011")</f>
        <v>VD011</v>
      </c>
      <c r="C642" s="1">
        <f>IFERROR(__xludf.DUMMYFUNCTION("""COMPUTED_VALUE"""),2.0)</f>
        <v>2</v>
      </c>
      <c r="D642" s="1">
        <f>IFERROR(__xludf.DUMMYFUNCTION("""COMPUTED_VALUE"""),140.0)</f>
        <v>140</v>
      </c>
    </row>
    <row r="643">
      <c r="A643" s="1" t="str">
        <f>IFERROR(__xludf.DUMMYFUNCTION("""COMPUTED_VALUE"""),"PR004")</f>
        <v>PR004</v>
      </c>
      <c r="B643" s="1" t="str">
        <f>IFERROR(__xludf.DUMMYFUNCTION("""COMPUTED_VALUE"""),"VD012")</f>
        <v>VD012</v>
      </c>
      <c r="C643" s="1">
        <f>IFERROR(__xludf.DUMMYFUNCTION("""COMPUTED_VALUE"""),6.0)</f>
        <v>6</v>
      </c>
      <c r="D643" s="1">
        <f>IFERROR(__xludf.DUMMYFUNCTION("""COMPUTED_VALUE"""),948.3)</f>
        <v>948.3</v>
      </c>
    </row>
    <row r="644">
      <c r="A644" s="1" t="str">
        <f>IFERROR(__xludf.DUMMYFUNCTION("""COMPUTED_VALUE"""),"PR050")</f>
        <v>PR050</v>
      </c>
      <c r="B644" s="1" t="str">
        <f>IFERROR(__xludf.DUMMYFUNCTION("""COMPUTED_VALUE"""),"VD040")</f>
        <v>VD040</v>
      </c>
      <c r="C644" s="1">
        <f>IFERROR(__xludf.DUMMYFUNCTION("""COMPUTED_VALUE"""),6.0)</f>
        <v>6</v>
      </c>
      <c r="D644" s="1">
        <f>IFERROR(__xludf.DUMMYFUNCTION("""COMPUTED_VALUE"""),213.19)</f>
        <v>213.19</v>
      </c>
    </row>
    <row r="645">
      <c r="A645" s="1" t="str">
        <f>IFERROR(__xludf.DUMMYFUNCTION("""COMPUTED_VALUE"""),"PR059")</f>
        <v>PR059</v>
      </c>
      <c r="B645" s="1" t="str">
        <f>IFERROR(__xludf.DUMMYFUNCTION("""COMPUTED_VALUE"""),"VD027")</f>
        <v>VD027</v>
      </c>
      <c r="C645" s="1">
        <f>IFERROR(__xludf.DUMMYFUNCTION("""COMPUTED_VALUE"""),2.0)</f>
        <v>2</v>
      </c>
      <c r="D645" s="1">
        <f>IFERROR(__xludf.DUMMYFUNCTION("""COMPUTED_VALUE"""),378.0)</f>
        <v>378</v>
      </c>
    </row>
    <row r="646">
      <c r="A646" s="1" t="str">
        <f>IFERROR(__xludf.DUMMYFUNCTION("""COMPUTED_VALUE"""),"PR058")</f>
        <v>PR058</v>
      </c>
      <c r="B646" s="1" t="str">
        <f>IFERROR(__xludf.DUMMYFUNCTION("""COMPUTED_VALUE"""),"VD031")</f>
        <v>VD031</v>
      </c>
      <c r="C646" s="1">
        <f>IFERROR(__xludf.DUMMYFUNCTION("""COMPUTED_VALUE"""),5.0)</f>
        <v>5</v>
      </c>
      <c r="D646" s="1">
        <f>IFERROR(__xludf.DUMMYFUNCTION("""COMPUTED_VALUE"""),927.0)</f>
        <v>927</v>
      </c>
    </row>
    <row r="647">
      <c r="A647" s="1" t="str">
        <f>IFERROR(__xludf.DUMMYFUNCTION("""COMPUTED_VALUE"""),"PR039")</f>
        <v>PR039</v>
      </c>
      <c r="B647" s="1" t="str">
        <f>IFERROR(__xludf.DUMMYFUNCTION("""COMPUTED_VALUE"""),"VD048")</f>
        <v>VD048</v>
      </c>
      <c r="C647" s="1">
        <f>IFERROR(__xludf.DUMMYFUNCTION("""COMPUTED_VALUE"""),1.0)</f>
        <v>1</v>
      </c>
      <c r="D647" s="1">
        <f>IFERROR(__xludf.DUMMYFUNCTION("""COMPUTED_VALUE"""),153.3)</f>
        <v>153.3</v>
      </c>
    </row>
    <row r="648">
      <c r="A648" s="1" t="str">
        <f>IFERROR(__xludf.DUMMYFUNCTION("""COMPUTED_VALUE"""),"PR001")</f>
        <v>PR001</v>
      </c>
      <c r="B648" s="1" t="str">
        <f>IFERROR(__xludf.DUMMYFUNCTION("""COMPUTED_VALUE"""),"VD028")</f>
        <v>VD028</v>
      </c>
      <c r="C648" s="1">
        <f>IFERROR(__xludf.DUMMYFUNCTION("""COMPUTED_VALUE"""),5.0)</f>
        <v>5</v>
      </c>
      <c r="D648" s="1">
        <f>IFERROR(__xludf.DUMMYFUNCTION("""COMPUTED_VALUE"""),336.09)</f>
        <v>336.09</v>
      </c>
    </row>
    <row r="649">
      <c r="A649" s="1" t="str">
        <f>IFERROR(__xludf.DUMMYFUNCTION("""COMPUTED_VALUE"""),"PR006")</f>
        <v>PR006</v>
      </c>
      <c r="B649" s="1" t="str">
        <f>IFERROR(__xludf.DUMMYFUNCTION("""COMPUTED_VALUE"""),"VD027")</f>
        <v>VD027</v>
      </c>
      <c r="C649" s="1">
        <f>IFERROR(__xludf.DUMMYFUNCTION("""COMPUTED_VALUE"""),8.0)</f>
        <v>8</v>
      </c>
      <c r="D649" s="1">
        <f>IFERROR(__xludf.DUMMYFUNCTION("""COMPUTED_VALUE"""),347.93)</f>
        <v>347.93</v>
      </c>
    </row>
    <row r="650">
      <c r="A650" s="1" t="str">
        <f>IFERROR(__xludf.DUMMYFUNCTION("""COMPUTED_VALUE"""),"PR049")</f>
        <v>PR049</v>
      </c>
      <c r="B650" s="1" t="str">
        <f>IFERROR(__xludf.DUMMYFUNCTION("""COMPUTED_VALUE"""),"VD017")</f>
        <v>VD017</v>
      </c>
      <c r="C650" s="1">
        <f>IFERROR(__xludf.DUMMYFUNCTION("""COMPUTED_VALUE"""),16.0)</f>
        <v>16</v>
      </c>
      <c r="D650" s="1">
        <f>IFERROR(__xludf.DUMMYFUNCTION("""COMPUTED_VALUE"""),536.93)</f>
        <v>536.93</v>
      </c>
    </row>
    <row r="651">
      <c r="A651" s="1" t="str">
        <f>IFERROR(__xludf.DUMMYFUNCTION("""COMPUTED_VALUE"""),"PR029")</f>
        <v>PR029</v>
      </c>
      <c r="B651" s="1" t="str">
        <f>IFERROR(__xludf.DUMMYFUNCTION("""COMPUTED_VALUE"""),"VD035")</f>
        <v>VD035</v>
      </c>
      <c r="C651" s="1">
        <f>IFERROR(__xludf.DUMMYFUNCTION("""COMPUTED_VALUE"""),8.0)</f>
        <v>8</v>
      </c>
      <c r="D651" s="1">
        <f>IFERROR(__xludf.DUMMYFUNCTION("""COMPUTED_VALUE"""),2121.6)</f>
        <v>2121.6</v>
      </c>
    </row>
    <row r="652">
      <c r="A652" s="1" t="str">
        <f>IFERROR(__xludf.DUMMYFUNCTION("""COMPUTED_VALUE"""),"PR053")</f>
        <v>PR053</v>
      </c>
      <c r="B652" s="1" t="str">
        <f>IFERROR(__xludf.DUMMYFUNCTION("""COMPUTED_VALUE"""),"VD017")</f>
        <v>VD017</v>
      </c>
      <c r="C652" s="1">
        <f>IFERROR(__xludf.DUMMYFUNCTION("""COMPUTED_VALUE"""),3.0)</f>
        <v>3</v>
      </c>
      <c r="D652" s="1">
        <f>IFERROR(__xludf.DUMMYFUNCTION("""COMPUTED_VALUE"""),164.67)</f>
        <v>164.67</v>
      </c>
    </row>
    <row r="653">
      <c r="A653" s="1" t="str">
        <f>IFERROR(__xludf.DUMMYFUNCTION("""COMPUTED_VALUE"""),"PR058")</f>
        <v>PR058</v>
      </c>
      <c r="B653" s="1" t="str">
        <f>IFERROR(__xludf.DUMMYFUNCTION("""COMPUTED_VALUE"""),"VD038")</f>
        <v>VD038</v>
      </c>
      <c r="C653" s="1">
        <f>IFERROR(__xludf.DUMMYFUNCTION("""COMPUTED_VALUE"""),5.0)</f>
        <v>5</v>
      </c>
      <c r="D653" s="1">
        <f>IFERROR(__xludf.DUMMYFUNCTION("""COMPUTED_VALUE"""),909.0)</f>
        <v>909</v>
      </c>
    </row>
    <row r="654">
      <c r="A654" s="1" t="str">
        <f>IFERROR(__xludf.DUMMYFUNCTION("""COMPUTED_VALUE"""),"PR054")</f>
        <v>PR054</v>
      </c>
      <c r="B654" s="1" t="str">
        <f>IFERROR(__xludf.DUMMYFUNCTION("""COMPUTED_VALUE"""),"VD021")</f>
        <v>VD021</v>
      </c>
      <c r="C654" s="1">
        <f>IFERROR(__xludf.DUMMYFUNCTION("""COMPUTED_VALUE"""),12.0)</f>
        <v>12</v>
      </c>
      <c r="D654" s="1">
        <f>IFERROR(__xludf.DUMMYFUNCTION("""COMPUTED_VALUE"""),604.79)</f>
        <v>604.79</v>
      </c>
    </row>
    <row r="655">
      <c r="A655" s="1" t="str">
        <f>IFERROR(__xludf.DUMMYFUNCTION("""COMPUTED_VALUE"""),"PR035")</f>
        <v>PR035</v>
      </c>
      <c r="B655" s="1" t="str">
        <f>IFERROR(__xludf.DUMMYFUNCTION("""COMPUTED_VALUE"""),"VD039")</f>
        <v>VD039</v>
      </c>
      <c r="C655" s="1">
        <f>IFERROR(__xludf.DUMMYFUNCTION("""COMPUTED_VALUE"""),1.0)</f>
        <v>1</v>
      </c>
      <c r="D655" s="1">
        <f>IFERROR(__xludf.DUMMYFUNCTION("""COMPUTED_VALUE"""),94.14)</f>
        <v>94.14</v>
      </c>
    </row>
    <row r="656">
      <c r="A656" s="1" t="str">
        <f>IFERROR(__xludf.DUMMYFUNCTION("""COMPUTED_VALUE"""),"PR013")</f>
        <v>PR013</v>
      </c>
      <c r="B656" s="1" t="str">
        <f>IFERROR(__xludf.DUMMYFUNCTION("""COMPUTED_VALUE"""),"VD020")</f>
        <v>VD020</v>
      </c>
      <c r="C656" s="1">
        <f>IFERROR(__xludf.DUMMYFUNCTION("""COMPUTED_VALUE"""),18.0)</f>
        <v>18</v>
      </c>
      <c r="D656" s="1">
        <f>IFERROR(__xludf.DUMMYFUNCTION("""COMPUTED_VALUE"""),761.29)</f>
        <v>761.29</v>
      </c>
    </row>
    <row r="657">
      <c r="A657" s="1" t="str">
        <f>IFERROR(__xludf.DUMMYFUNCTION("""COMPUTED_VALUE"""),"PR011")</f>
        <v>PR011</v>
      </c>
      <c r="B657" s="1" t="str">
        <f>IFERROR(__xludf.DUMMYFUNCTION("""COMPUTED_VALUE"""),"VD032")</f>
        <v>VD032</v>
      </c>
      <c r="C657" s="1">
        <f>IFERROR(__xludf.DUMMYFUNCTION("""COMPUTED_VALUE"""),18.0)</f>
        <v>18</v>
      </c>
      <c r="D657" s="1">
        <f>IFERROR(__xludf.DUMMYFUNCTION("""COMPUTED_VALUE"""),886.41)</f>
        <v>886.41</v>
      </c>
    </row>
    <row r="658">
      <c r="A658" s="1" t="str">
        <f>IFERROR(__xludf.DUMMYFUNCTION("""COMPUTED_VALUE"""),"PR037")</f>
        <v>PR037</v>
      </c>
      <c r="B658" s="1" t="str">
        <f>IFERROR(__xludf.DUMMYFUNCTION("""COMPUTED_VALUE"""),"VD010")</f>
        <v>VD010</v>
      </c>
      <c r="C658" s="1">
        <f>IFERROR(__xludf.DUMMYFUNCTION("""COMPUTED_VALUE"""),10.0)</f>
        <v>10</v>
      </c>
      <c r="D658" s="1">
        <f>IFERROR(__xludf.DUMMYFUNCTION("""COMPUTED_VALUE"""),1540.0)</f>
        <v>1540</v>
      </c>
    </row>
    <row r="659">
      <c r="A659" s="1" t="str">
        <f>IFERROR(__xludf.DUMMYFUNCTION("""COMPUTED_VALUE"""),"PR038")</f>
        <v>PR038</v>
      </c>
      <c r="B659" s="1" t="str">
        <f>IFERROR(__xludf.DUMMYFUNCTION("""COMPUTED_VALUE"""),"VD040")</f>
        <v>VD040</v>
      </c>
      <c r="C659" s="1">
        <f>IFERROR(__xludf.DUMMYFUNCTION("""COMPUTED_VALUE"""),6.0)</f>
        <v>6</v>
      </c>
      <c r="D659" s="1">
        <f>IFERROR(__xludf.DUMMYFUNCTION("""COMPUTED_VALUE"""),908.84)</f>
        <v>908.84</v>
      </c>
    </row>
    <row r="660">
      <c r="A660" s="1" t="str">
        <f>IFERROR(__xludf.DUMMYFUNCTION("""COMPUTED_VALUE"""),"PR049")</f>
        <v>PR049</v>
      </c>
      <c r="B660" s="1" t="str">
        <f>IFERROR(__xludf.DUMMYFUNCTION("""COMPUTED_VALUE"""),"VD020")</f>
        <v>VD020</v>
      </c>
      <c r="C660" s="1">
        <f>IFERROR(__xludf.DUMMYFUNCTION("""COMPUTED_VALUE"""),2.0)</f>
        <v>2</v>
      </c>
      <c r="D660" s="1">
        <f>IFERROR(__xludf.DUMMYFUNCTION("""COMPUTED_VALUE"""),68.43)</f>
        <v>68.43</v>
      </c>
    </row>
    <row r="661">
      <c r="A661" s="1" t="str">
        <f>IFERROR(__xludf.DUMMYFUNCTION("""COMPUTED_VALUE"""),"PR006")</f>
        <v>PR006</v>
      </c>
      <c r="B661" s="1" t="str">
        <f>IFERROR(__xludf.DUMMYFUNCTION("""COMPUTED_VALUE"""),"VD048")</f>
        <v>VD048</v>
      </c>
      <c r="C661" s="1">
        <f>IFERROR(__xludf.DUMMYFUNCTION("""COMPUTED_VALUE"""),7.0)</f>
        <v>7</v>
      </c>
      <c r="D661" s="1">
        <f>IFERROR(__xludf.DUMMYFUNCTION("""COMPUTED_VALUE"""),307.23)</f>
        <v>307.23</v>
      </c>
    </row>
    <row r="662">
      <c r="A662" s="1" t="str">
        <f>IFERROR(__xludf.DUMMYFUNCTION("""COMPUTED_VALUE"""),"PR058")</f>
        <v>PR058</v>
      </c>
      <c r="B662" s="1" t="str">
        <f>IFERROR(__xludf.DUMMYFUNCTION("""COMPUTED_VALUE"""),"VD021")</f>
        <v>VD021</v>
      </c>
      <c r="C662" s="1">
        <f>IFERROR(__xludf.DUMMYFUNCTION("""COMPUTED_VALUE"""),6.0)</f>
        <v>6</v>
      </c>
      <c r="D662" s="1">
        <f>IFERROR(__xludf.DUMMYFUNCTION("""COMPUTED_VALUE"""),1166.4)</f>
        <v>1166.4</v>
      </c>
    </row>
    <row r="663">
      <c r="A663" s="1" t="str">
        <f>IFERROR(__xludf.DUMMYFUNCTION("""COMPUTED_VALUE"""),"PR059")</f>
        <v>PR059</v>
      </c>
      <c r="B663" s="1" t="str">
        <f>IFERROR(__xludf.DUMMYFUNCTION("""COMPUTED_VALUE"""),"VD033")</f>
        <v>VD033</v>
      </c>
      <c r="C663" s="1">
        <f>IFERROR(__xludf.DUMMYFUNCTION("""COMPUTED_VALUE"""),6.0)</f>
        <v>6</v>
      </c>
      <c r="D663" s="1">
        <f>IFERROR(__xludf.DUMMYFUNCTION("""COMPUTED_VALUE"""),1166.4)</f>
        <v>1166.4</v>
      </c>
    </row>
    <row r="664">
      <c r="A664" s="1" t="str">
        <f>IFERROR(__xludf.DUMMYFUNCTION("""COMPUTED_VALUE"""),"PR051")</f>
        <v>PR051</v>
      </c>
      <c r="B664" s="1" t="str">
        <f>IFERROR(__xludf.DUMMYFUNCTION("""COMPUTED_VALUE"""),"VD024")</f>
        <v>VD024</v>
      </c>
      <c r="C664" s="1">
        <f>IFERROR(__xludf.DUMMYFUNCTION("""COMPUTED_VALUE"""),1.0)</f>
        <v>1</v>
      </c>
      <c r="D664" s="1">
        <f>IFERROR(__xludf.DUMMYFUNCTION("""COMPUTED_VALUE"""),33.56)</f>
        <v>33.56</v>
      </c>
    </row>
    <row r="665">
      <c r="A665" s="1" t="str">
        <f>IFERROR(__xludf.DUMMYFUNCTION("""COMPUTED_VALUE"""),"PR038")</f>
        <v>PR038</v>
      </c>
      <c r="B665" s="1" t="str">
        <f>IFERROR(__xludf.DUMMYFUNCTION("""COMPUTED_VALUE"""),"VD013")</f>
        <v>VD013</v>
      </c>
      <c r="C665" s="1">
        <f>IFERROR(__xludf.DUMMYFUNCTION("""COMPUTED_VALUE"""),7.0)</f>
        <v>7</v>
      </c>
      <c r="D665" s="1">
        <f>IFERROR(__xludf.DUMMYFUNCTION("""COMPUTED_VALUE"""),1020.31)</f>
        <v>1020.31</v>
      </c>
    </row>
    <row r="666">
      <c r="A666" s="1" t="str">
        <f>IFERROR(__xludf.DUMMYFUNCTION("""COMPUTED_VALUE"""),"PR005")</f>
        <v>PR005</v>
      </c>
      <c r="B666" s="1" t="str">
        <f>IFERROR(__xludf.DUMMYFUNCTION("""COMPUTED_VALUE"""),"VD048")</f>
        <v>VD048</v>
      </c>
      <c r="C666" s="1">
        <f>IFERROR(__xludf.DUMMYFUNCTION("""COMPUTED_VALUE"""),1.0)</f>
        <v>1</v>
      </c>
      <c r="D666" s="1">
        <f>IFERROR(__xludf.DUMMYFUNCTION("""COMPUTED_VALUE"""),275.49)</f>
        <v>275.49</v>
      </c>
    </row>
    <row r="667">
      <c r="A667" s="1" t="str">
        <f>IFERROR(__xludf.DUMMYFUNCTION("""COMPUTED_VALUE"""),"PR008")</f>
        <v>PR008</v>
      </c>
      <c r="B667" s="1" t="str">
        <f>IFERROR(__xludf.DUMMYFUNCTION("""COMPUTED_VALUE"""),"VD015")</f>
        <v>VD015</v>
      </c>
      <c r="C667" s="1">
        <f>IFERROR(__xludf.DUMMYFUNCTION("""COMPUTED_VALUE"""),20.0)</f>
        <v>20</v>
      </c>
      <c r="D667" s="1">
        <f>IFERROR(__xludf.DUMMYFUNCTION("""COMPUTED_VALUE"""),1977.8)</f>
        <v>1977.8</v>
      </c>
    </row>
    <row r="668">
      <c r="A668" s="1" t="str">
        <f>IFERROR(__xludf.DUMMYFUNCTION("""COMPUTED_VALUE"""),"PR044")</f>
        <v>PR044</v>
      </c>
      <c r="B668" s="1" t="str">
        <f>IFERROR(__xludf.DUMMYFUNCTION("""COMPUTED_VALUE"""),"VD046")</f>
        <v>VD046</v>
      </c>
      <c r="C668" s="1">
        <f>IFERROR(__xludf.DUMMYFUNCTION("""COMPUTED_VALUE"""),5.0)</f>
        <v>5</v>
      </c>
      <c r="D668" s="1">
        <f>IFERROR(__xludf.DUMMYFUNCTION("""COMPUTED_VALUE"""),387.88)</f>
        <v>387.88</v>
      </c>
    </row>
    <row r="669">
      <c r="A669" s="1" t="str">
        <f>IFERROR(__xludf.DUMMYFUNCTION("""COMPUTED_VALUE"""),"PR022")</f>
        <v>PR022</v>
      </c>
      <c r="B669" s="1" t="str">
        <f>IFERROR(__xludf.DUMMYFUNCTION("""COMPUTED_VALUE"""),"VD021")</f>
        <v>VD021</v>
      </c>
      <c r="C669" s="1">
        <f>IFERROR(__xludf.DUMMYFUNCTION("""COMPUTED_VALUE"""),3.0)</f>
        <v>3</v>
      </c>
      <c r="D669" s="1">
        <f>IFERROR(__xludf.DUMMYFUNCTION("""COMPUTED_VALUE"""),963.0)</f>
        <v>963</v>
      </c>
    </row>
    <row r="670">
      <c r="A670" s="1" t="str">
        <f>IFERROR(__xludf.DUMMYFUNCTION("""COMPUTED_VALUE"""),"PR017")</f>
        <v>PR017</v>
      </c>
      <c r="B670" s="1" t="str">
        <f>IFERROR(__xludf.DUMMYFUNCTION("""COMPUTED_VALUE"""),"VD042")</f>
        <v>VD042</v>
      </c>
      <c r="C670" s="1">
        <f>IFERROR(__xludf.DUMMYFUNCTION("""COMPUTED_VALUE"""),4.0)</f>
        <v>4</v>
      </c>
      <c r="D670" s="1">
        <f>IFERROR(__xludf.DUMMYFUNCTION("""COMPUTED_VALUE"""),121.99)</f>
        <v>121.99</v>
      </c>
    </row>
    <row r="671">
      <c r="A671" s="1" t="str">
        <f>IFERROR(__xludf.DUMMYFUNCTION("""COMPUTED_VALUE"""),"PR008")</f>
        <v>PR008</v>
      </c>
      <c r="B671" s="1" t="str">
        <f>IFERROR(__xludf.DUMMYFUNCTION("""COMPUTED_VALUE"""),"VD043")</f>
        <v>VD043</v>
      </c>
      <c r="C671" s="1">
        <f>IFERROR(__xludf.DUMMYFUNCTION("""COMPUTED_VALUE"""),10.0)</f>
        <v>10</v>
      </c>
      <c r="D671" s="1">
        <f>IFERROR(__xludf.DUMMYFUNCTION("""COMPUTED_VALUE"""),943.95)</f>
        <v>943.95</v>
      </c>
    </row>
    <row r="672">
      <c r="A672" s="1" t="str">
        <f>IFERROR(__xludf.DUMMYFUNCTION("""COMPUTED_VALUE"""),"PR047")</f>
        <v>PR047</v>
      </c>
      <c r="B672" s="1" t="str">
        <f>IFERROR(__xludf.DUMMYFUNCTION("""COMPUTED_VALUE"""),"VD025")</f>
        <v>VD025</v>
      </c>
      <c r="C672" s="1">
        <f>IFERROR(__xludf.DUMMYFUNCTION("""COMPUTED_VALUE"""),6.0)</f>
        <v>6</v>
      </c>
      <c r="D672" s="1">
        <f>IFERROR(__xludf.DUMMYFUNCTION("""COMPUTED_VALUE"""),1861.16)</f>
        <v>1861.16</v>
      </c>
    </row>
    <row r="673">
      <c r="A673" s="1" t="str">
        <f>IFERROR(__xludf.DUMMYFUNCTION("""COMPUTED_VALUE"""),"PR041")</f>
        <v>PR041</v>
      </c>
      <c r="B673" s="1" t="str">
        <f>IFERROR(__xludf.DUMMYFUNCTION("""COMPUTED_VALUE"""),"VD041")</f>
        <v>VD041</v>
      </c>
      <c r="C673" s="1">
        <f>IFERROR(__xludf.DUMMYFUNCTION("""COMPUTED_VALUE"""),2.0)</f>
        <v>2</v>
      </c>
      <c r="D673" s="1">
        <f>IFERROR(__xludf.DUMMYFUNCTION("""COMPUTED_VALUE"""),116.39)</f>
        <v>116.39</v>
      </c>
    </row>
    <row r="674">
      <c r="A674" s="1" t="str">
        <f>IFERROR(__xludf.DUMMYFUNCTION("""COMPUTED_VALUE"""),"PR051")</f>
        <v>PR051</v>
      </c>
      <c r="B674" s="1" t="str">
        <f>IFERROR(__xludf.DUMMYFUNCTION("""COMPUTED_VALUE"""),"VD044")</f>
        <v>VD044</v>
      </c>
      <c r="C674" s="1">
        <f>IFERROR(__xludf.DUMMYFUNCTION("""COMPUTED_VALUE"""),10.0)</f>
        <v>10</v>
      </c>
      <c r="D674" s="1">
        <f>IFERROR(__xludf.DUMMYFUNCTION("""COMPUTED_VALUE"""),358.61)</f>
        <v>358.61</v>
      </c>
    </row>
    <row r="675">
      <c r="A675" s="1" t="str">
        <f>IFERROR(__xludf.DUMMYFUNCTION("""COMPUTED_VALUE"""),"PR001")</f>
        <v>PR001</v>
      </c>
      <c r="B675" s="1" t="str">
        <f>IFERROR(__xludf.DUMMYFUNCTION("""COMPUTED_VALUE"""),"VD032")</f>
        <v>VD032</v>
      </c>
      <c r="C675" s="1">
        <f>IFERROR(__xludf.DUMMYFUNCTION("""COMPUTED_VALUE"""),6.0)</f>
        <v>6</v>
      </c>
      <c r="D675" s="1">
        <f>IFERROR(__xludf.DUMMYFUNCTION("""COMPUTED_VALUE"""),427.03)</f>
        <v>427.03</v>
      </c>
    </row>
    <row r="676">
      <c r="A676" s="1" t="str">
        <f>IFERROR(__xludf.DUMMYFUNCTION("""COMPUTED_VALUE"""),"PR010")</f>
        <v>PR010</v>
      </c>
      <c r="B676" s="1" t="str">
        <f>IFERROR(__xludf.DUMMYFUNCTION("""COMPUTED_VALUE"""),"VD037")</f>
        <v>VD037</v>
      </c>
      <c r="C676" s="1">
        <f>IFERROR(__xludf.DUMMYFUNCTION("""COMPUTED_VALUE"""),20.0)</f>
        <v>20</v>
      </c>
      <c r="D676" s="1">
        <f>IFERROR(__xludf.DUMMYFUNCTION("""COMPUTED_VALUE"""),942.9)</f>
        <v>942.9</v>
      </c>
    </row>
    <row r="677">
      <c r="A677" s="1" t="str">
        <f>IFERROR(__xludf.DUMMYFUNCTION("""COMPUTED_VALUE"""),"PR047")</f>
        <v>PR047</v>
      </c>
      <c r="B677" s="1" t="str">
        <f>IFERROR(__xludf.DUMMYFUNCTION("""COMPUTED_VALUE"""),"VD033")</f>
        <v>VD033</v>
      </c>
      <c r="C677" s="1">
        <f>IFERROR(__xludf.DUMMYFUNCTION("""COMPUTED_VALUE"""),8.0)</f>
        <v>8</v>
      </c>
      <c r="D677" s="1">
        <f>IFERROR(__xludf.DUMMYFUNCTION("""COMPUTED_VALUE"""),2388.78)</f>
        <v>2388.78</v>
      </c>
    </row>
    <row r="678">
      <c r="A678" s="1" t="str">
        <f>IFERROR(__xludf.DUMMYFUNCTION("""COMPUTED_VALUE"""),"PR029")</f>
        <v>PR029</v>
      </c>
      <c r="B678" s="1" t="str">
        <f>IFERROR(__xludf.DUMMYFUNCTION("""COMPUTED_VALUE"""),"VD013")</f>
        <v>VD013</v>
      </c>
      <c r="C678" s="1">
        <f>IFERROR(__xludf.DUMMYFUNCTION("""COMPUTED_VALUE"""),14.0)</f>
        <v>14</v>
      </c>
      <c r="D678" s="1">
        <f>IFERROR(__xludf.DUMMYFUNCTION("""COMPUTED_VALUE"""),3641.4)</f>
        <v>3641.4</v>
      </c>
    </row>
    <row r="679">
      <c r="A679" s="1" t="str">
        <f>IFERROR(__xludf.DUMMYFUNCTION("""COMPUTED_VALUE"""),"PR031")</f>
        <v>PR031</v>
      </c>
      <c r="B679" s="1" t="str">
        <f>IFERROR(__xludf.DUMMYFUNCTION("""COMPUTED_VALUE"""),"VD036")</f>
        <v>VD036</v>
      </c>
      <c r="C679" s="1">
        <f>IFERROR(__xludf.DUMMYFUNCTION("""COMPUTED_VALUE"""),2.0)</f>
        <v>2</v>
      </c>
      <c r="D679" s="1">
        <f>IFERROR(__xludf.DUMMYFUNCTION("""COMPUTED_VALUE"""),499.8)</f>
        <v>499.8</v>
      </c>
    </row>
    <row r="680">
      <c r="A680" s="1" t="str">
        <f>IFERROR(__xludf.DUMMYFUNCTION("""COMPUTED_VALUE"""),"PR032")</f>
        <v>PR032</v>
      </c>
      <c r="B680" s="1" t="str">
        <f>IFERROR(__xludf.DUMMYFUNCTION("""COMPUTED_VALUE"""),"VD021")</f>
        <v>VD021</v>
      </c>
      <c r="C680" s="1">
        <f>IFERROR(__xludf.DUMMYFUNCTION("""COMPUTED_VALUE"""),3.0)</f>
        <v>3</v>
      </c>
      <c r="D680" s="1">
        <f>IFERROR(__xludf.DUMMYFUNCTION("""COMPUTED_VALUE"""),772.5)</f>
        <v>772.5</v>
      </c>
    </row>
    <row r="681">
      <c r="A681" s="1" t="str">
        <f>IFERROR(__xludf.DUMMYFUNCTION("""COMPUTED_VALUE"""),"PR037")</f>
        <v>PR037</v>
      </c>
      <c r="B681" s="1" t="str">
        <f>IFERROR(__xludf.DUMMYFUNCTION("""COMPUTED_VALUE"""),"VD049")</f>
        <v>VD049</v>
      </c>
      <c r="C681" s="1">
        <f>IFERROR(__xludf.DUMMYFUNCTION("""COMPUTED_VALUE"""),3.0)</f>
        <v>3</v>
      </c>
      <c r="D681" s="1">
        <f>IFERROR(__xludf.DUMMYFUNCTION("""COMPUTED_VALUE"""),432.6)</f>
        <v>432.6</v>
      </c>
    </row>
    <row r="682">
      <c r="A682" s="1" t="str">
        <f>IFERROR(__xludf.DUMMYFUNCTION("""COMPUTED_VALUE"""),"PR018")</f>
        <v>PR018</v>
      </c>
      <c r="B682" s="1" t="str">
        <f>IFERROR(__xludf.DUMMYFUNCTION("""COMPUTED_VALUE"""),"VD026")</f>
        <v>VD026</v>
      </c>
      <c r="C682" s="1">
        <f>IFERROR(__xludf.DUMMYFUNCTION("""COMPUTED_VALUE"""),3.0)</f>
        <v>3</v>
      </c>
      <c r="D682" s="1">
        <f>IFERROR(__xludf.DUMMYFUNCTION("""COMPUTED_VALUE"""),107.58)</f>
        <v>107.58</v>
      </c>
    </row>
    <row r="683">
      <c r="A683" s="1" t="str">
        <f>IFERROR(__xludf.DUMMYFUNCTION("""COMPUTED_VALUE"""),"PR048")</f>
        <v>PR048</v>
      </c>
      <c r="B683" s="1" t="str">
        <f>IFERROR(__xludf.DUMMYFUNCTION("""COMPUTED_VALUE"""),"VD040")</f>
        <v>VD040</v>
      </c>
      <c r="C683" s="1">
        <f>IFERROR(__xludf.DUMMYFUNCTION("""COMPUTED_VALUE"""),2.0)</f>
        <v>2</v>
      </c>
      <c r="D683" s="1">
        <f>IFERROR(__xludf.DUMMYFUNCTION("""COMPUTED_VALUE"""),591.4)</f>
        <v>591.4</v>
      </c>
    </row>
    <row r="684">
      <c r="A684" s="1" t="str">
        <f>IFERROR(__xludf.DUMMYFUNCTION("""COMPUTED_VALUE"""),"PR011")</f>
        <v>PR011</v>
      </c>
      <c r="B684" s="1" t="str">
        <f>IFERROR(__xludf.DUMMYFUNCTION("""COMPUTED_VALUE"""),"VD036")</f>
        <v>VD036</v>
      </c>
      <c r="C684" s="1">
        <f>IFERROR(__xludf.DUMMYFUNCTION("""COMPUTED_VALUE"""),9.0)</f>
        <v>9</v>
      </c>
      <c r="D684" s="1">
        <f>IFERROR(__xludf.DUMMYFUNCTION("""COMPUTED_VALUE"""),464.31)</f>
        <v>464.31</v>
      </c>
    </row>
    <row r="685">
      <c r="A685" s="1" t="str">
        <f>IFERROR(__xludf.DUMMYFUNCTION("""COMPUTED_VALUE"""),"PR021")</f>
        <v>PR021</v>
      </c>
      <c r="B685" s="1" t="str">
        <f>IFERROR(__xludf.DUMMYFUNCTION("""COMPUTED_VALUE"""),"VD019")</f>
        <v>VD019</v>
      </c>
      <c r="C685" s="1">
        <f>IFERROR(__xludf.DUMMYFUNCTION("""COMPUTED_VALUE"""),2.0)</f>
        <v>2</v>
      </c>
      <c r="D685" s="1">
        <f>IFERROR(__xludf.DUMMYFUNCTION("""COMPUTED_VALUE"""),623.97)</f>
        <v>623.97</v>
      </c>
    </row>
    <row r="686">
      <c r="A686" s="1" t="str">
        <f>IFERROR(__xludf.DUMMYFUNCTION("""COMPUTED_VALUE"""),"PR021")</f>
        <v>PR021</v>
      </c>
      <c r="B686" s="1" t="str">
        <f>IFERROR(__xludf.DUMMYFUNCTION("""COMPUTED_VALUE"""),"VD038")</f>
        <v>VD038</v>
      </c>
      <c r="C686" s="1">
        <f>IFERROR(__xludf.DUMMYFUNCTION("""COMPUTED_VALUE"""),6.0)</f>
        <v>6</v>
      </c>
      <c r="D686" s="1">
        <f>IFERROR(__xludf.DUMMYFUNCTION("""COMPUTED_VALUE"""),1926.44)</f>
        <v>1926.44</v>
      </c>
    </row>
    <row r="687">
      <c r="A687" s="1" t="str">
        <f>IFERROR(__xludf.DUMMYFUNCTION("""COMPUTED_VALUE"""),"PR049")</f>
        <v>PR049</v>
      </c>
      <c r="B687" s="1" t="str">
        <f>IFERROR(__xludf.DUMMYFUNCTION("""COMPUTED_VALUE"""),"VD021")</f>
        <v>VD021</v>
      </c>
      <c r="C687" s="1">
        <f>IFERROR(__xludf.DUMMYFUNCTION("""COMPUTED_VALUE"""),2.0)</f>
        <v>2</v>
      </c>
      <c r="D687" s="1">
        <f>IFERROR(__xludf.DUMMYFUNCTION("""COMPUTED_VALUE"""),67.77)</f>
        <v>67.77</v>
      </c>
    </row>
    <row r="688">
      <c r="A688" s="1" t="str">
        <f>IFERROR(__xludf.DUMMYFUNCTION("""COMPUTED_VALUE"""),"PR056")</f>
        <v>PR056</v>
      </c>
      <c r="B688" s="1" t="str">
        <f>IFERROR(__xludf.DUMMYFUNCTION("""COMPUTED_VALUE"""),"VD030")</f>
        <v>VD030</v>
      </c>
      <c r="C688" s="1">
        <f>IFERROR(__xludf.DUMMYFUNCTION("""COMPUTED_VALUE"""),7.0)</f>
        <v>7</v>
      </c>
      <c r="D688" s="1">
        <f>IFERROR(__xludf.DUMMYFUNCTION("""COMPUTED_VALUE"""),692.23)</f>
        <v>692.23</v>
      </c>
    </row>
    <row r="689">
      <c r="A689" s="1" t="str">
        <f>IFERROR(__xludf.DUMMYFUNCTION("""COMPUTED_VALUE"""),"PR005")</f>
        <v>PR005</v>
      </c>
      <c r="B689" s="1" t="str">
        <f>IFERROR(__xludf.DUMMYFUNCTION("""COMPUTED_VALUE"""),"VD028")</f>
        <v>VD028</v>
      </c>
      <c r="C689" s="1">
        <f>IFERROR(__xludf.DUMMYFUNCTION("""COMPUTED_VALUE"""),6.0)</f>
        <v>6</v>
      </c>
      <c r="D689" s="1">
        <f>IFERROR(__xludf.DUMMYFUNCTION("""COMPUTED_VALUE"""),1684.15)</f>
        <v>1684.15</v>
      </c>
    </row>
    <row r="690">
      <c r="A690" s="1" t="str">
        <f>IFERROR(__xludf.DUMMYFUNCTION("""COMPUTED_VALUE"""),"PR029")</f>
        <v>PR029</v>
      </c>
      <c r="B690" s="1" t="str">
        <f>IFERROR(__xludf.DUMMYFUNCTION("""COMPUTED_VALUE"""),"VD010")</f>
        <v>VD010</v>
      </c>
      <c r="C690" s="1">
        <f>IFERROR(__xludf.DUMMYFUNCTION("""COMPUTED_VALUE"""),8.0)</f>
        <v>8</v>
      </c>
      <c r="D690" s="1">
        <f>IFERROR(__xludf.DUMMYFUNCTION("""COMPUTED_VALUE"""),2060.4)</f>
        <v>2060.4</v>
      </c>
    </row>
    <row r="691">
      <c r="A691" s="1" t="str">
        <f>IFERROR(__xludf.DUMMYFUNCTION("""COMPUTED_VALUE"""),"PR054")</f>
        <v>PR054</v>
      </c>
      <c r="B691" s="1" t="str">
        <f>IFERROR(__xludf.DUMMYFUNCTION("""COMPUTED_VALUE"""),"VD032")</f>
        <v>VD032</v>
      </c>
      <c r="C691" s="1">
        <f>IFERROR(__xludf.DUMMYFUNCTION("""COMPUTED_VALUE"""),10.0)</f>
        <v>10</v>
      </c>
      <c r="D691" s="1">
        <f>IFERROR(__xludf.DUMMYFUNCTION("""COMPUTED_VALUE"""),538.92)</f>
        <v>538.92</v>
      </c>
    </row>
    <row r="692">
      <c r="A692" s="1" t="str">
        <f>IFERROR(__xludf.DUMMYFUNCTION("""COMPUTED_VALUE"""),"PR038")</f>
        <v>PR038</v>
      </c>
      <c r="B692" s="1" t="str">
        <f>IFERROR(__xludf.DUMMYFUNCTION("""COMPUTED_VALUE"""),"VD040")</f>
        <v>VD040</v>
      </c>
      <c r="C692" s="1">
        <f>IFERROR(__xludf.DUMMYFUNCTION("""COMPUTED_VALUE"""),6.0)</f>
        <v>6</v>
      </c>
      <c r="D692" s="1">
        <f>IFERROR(__xludf.DUMMYFUNCTION("""COMPUTED_VALUE"""),917.42)</f>
        <v>917.42</v>
      </c>
    </row>
    <row r="693">
      <c r="A693" s="1" t="str">
        <f>IFERROR(__xludf.DUMMYFUNCTION("""COMPUTED_VALUE"""),"PR042")</f>
        <v>PR042</v>
      </c>
      <c r="B693" s="1" t="str">
        <f>IFERROR(__xludf.DUMMYFUNCTION("""COMPUTED_VALUE"""),"VD012")</f>
        <v>VD012</v>
      </c>
      <c r="C693" s="1">
        <f>IFERROR(__xludf.DUMMYFUNCTION("""COMPUTED_VALUE"""),8.0)</f>
        <v>8</v>
      </c>
      <c r="D693" s="1">
        <f>IFERROR(__xludf.DUMMYFUNCTION("""COMPUTED_VALUE"""),452.38)</f>
        <v>452.38</v>
      </c>
    </row>
    <row r="694">
      <c r="A694" s="1" t="str">
        <f>IFERROR(__xludf.DUMMYFUNCTION("""COMPUTED_VALUE"""),"PR028")</f>
        <v>PR028</v>
      </c>
      <c r="B694" s="1" t="str">
        <f>IFERROR(__xludf.DUMMYFUNCTION("""COMPUTED_VALUE"""),"VD032")</f>
        <v>VD032</v>
      </c>
      <c r="C694" s="1">
        <f>IFERROR(__xludf.DUMMYFUNCTION("""COMPUTED_VALUE"""),9.0)</f>
        <v>9</v>
      </c>
      <c r="D694" s="1">
        <f>IFERROR(__xludf.DUMMYFUNCTION("""COMPUTED_VALUE"""),2429.03)</f>
        <v>2429.03</v>
      </c>
    </row>
    <row r="695">
      <c r="A695" s="1" t="str">
        <f>IFERROR(__xludf.DUMMYFUNCTION("""COMPUTED_VALUE"""),"PR039")</f>
        <v>PR039</v>
      </c>
      <c r="B695" s="1" t="str">
        <f>IFERROR(__xludf.DUMMYFUNCTION("""COMPUTED_VALUE"""),"VD027")</f>
        <v>VD027</v>
      </c>
      <c r="C695" s="1">
        <f>IFERROR(__xludf.DUMMYFUNCTION("""COMPUTED_VALUE"""),6.0)</f>
        <v>6</v>
      </c>
      <c r="D695" s="1">
        <f>IFERROR(__xludf.DUMMYFUNCTION("""COMPUTED_VALUE"""),928.56)</f>
        <v>928.56</v>
      </c>
    </row>
    <row r="696">
      <c r="A696" s="1" t="str">
        <f>IFERROR(__xludf.DUMMYFUNCTION("""COMPUTED_VALUE"""),"PR010")</f>
        <v>PR010</v>
      </c>
      <c r="B696" s="1" t="str">
        <f>IFERROR(__xludf.DUMMYFUNCTION("""COMPUTED_VALUE"""),"VD027")</f>
        <v>VD027</v>
      </c>
      <c r="C696" s="1">
        <f>IFERROR(__xludf.DUMMYFUNCTION("""COMPUTED_VALUE"""),1.0)</f>
        <v>1</v>
      </c>
      <c r="D696" s="1">
        <f>IFERROR(__xludf.DUMMYFUNCTION("""COMPUTED_VALUE"""),45.8)</f>
        <v>45.8</v>
      </c>
    </row>
    <row r="697">
      <c r="A697" s="1" t="str">
        <f>IFERROR(__xludf.DUMMYFUNCTION("""COMPUTED_VALUE"""),"PR050")</f>
        <v>PR050</v>
      </c>
      <c r="B697" s="1" t="str">
        <f>IFERROR(__xludf.DUMMYFUNCTION("""COMPUTED_VALUE"""),"VD029")</f>
        <v>VD029</v>
      </c>
      <c r="C697" s="1">
        <f>IFERROR(__xludf.DUMMYFUNCTION("""COMPUTED_VALUE"""),16.0)</f>
        <v>16</v>
      </c>
      <c r="D697" s="1">
        <f>IFERROR(__xludf.DUMMYFUNCTION("""COMPUTED_VALUE"""),526.4)</f>
        <v>526.4</v>
      </c>
    </row>
    <row r="698">
      <c r="A698" s="1" t="str">
        <f>IFERROR(__xludf.DUMMYFUNCTION("""COMPUTED_VALUE"""),"PR046")</f>
        <v>PR046</v>
      </c>
      <c r="B698" s="1" t="str">
        <f>IFERROR(__xludf.DUMMYFUNCTION("""COMPUTED_VALUE"""),"VD025")</f>
        <v>VD025</v>
      </c>
      <c r="C698" s="1">
        <f>IFERROR(__xludf.DUMMYFUNCTION("""COMPUTED_VALUE"""),6.0)</f>
        <v>6</v>
      </c>
      <c r="D698" s="1">
        <f>IFERROR(__xludf.DUMMYFUNCTION("""COMPUTED_VALUE"""),1826.37)</f>
        <v>1826.37</v>
      </c>
    </row>
    <row r="699">
      <c r="A699" s="1" t="str">
        <f>IFERROR(__xludf.DUMMYFUNCTION("""COMPUTED_VALUE"""),"PR036")</f>
        <v>PR036</v>
      </c>
      <c r="B699" s="1" t="str">
        <f>IFERROR(__xludf.DUMMYFUNCTION("""COMPUTED_VALUE"""),"VD024")</f>
        <v>VD024</v>
      </c>
      <c r="C699" s="1">
        <f>IFERROR(__xludf.DUMMYFUNCTION("""COMPUTED_VALUE"""),2.0)</f>
        <v>2</v>
      </c>
      <c r="D699" s="1">
        <f>IFERROR(__xludf.DUMMYFUNCTION("""COMPUTED_VALUE"""),203.83)</f>
        <v>203.83</v>
      </c>
    </row>
    <row r="700">
      <c r="A700" s="1" t="str">
        <f>IFERROR(__xludf.DUMMYFUNCTION("""COMPUTED_VALUE"""),"PR047")</f>
        <v>PR047</v>
      </c>
      <c r="B700" s="1" t="str">
        <f>IFERROR(__xludf.DUMMYFUNCTION("""COMPUTED_VALUE"""),"VD035")</f>
        <v>VD035</v>
      </c>
      <c r="C700" s="1">
        <f>IFERROR(__xludf.DUMMYFUNCTION("""COMPUTED_VALUE"""),1.0)</f>
        <v>1</v>
      </c>
      <c r="D700" s="1">
        <f>IFERROR(__xludf.DUMMYFUNCTION("""COMPUTED_VALUE"""),313.09)</f>
        <v>313.09</v>
      </c>
    </row>
    <row r="701">
      <c r="A701" s="1" t="str">
        <f>IFERROR(__xludf.DUMMYFUNCTION("""COMPUTED_VALUE"""),"PR014")</f>
        <v>PR014</v>
      </c>
      <c r="B701" s="1" t="str">
        <f>IFERROR(__xludf.DUMMYFUNCTION("""COMPUTED_VALUE"""),"VD028")</f>
        <v>VD028</v>
      </c>
      <c r="C701" s="1">
        <f>IFERROR(__xludf.DUMMYFUNCTION("""COMPUTED_VALUE"""),4.0)</f>
        <v>4</v>
      </c>
      <c r="D701" s="1">
        <f>IFERROR(__xludf.DUMMYFUNCTION("""COMPUTED_VALUE"""),161.2)</f>
        <v>161.2</v>
      </c>
    </row>
    <row r="702">
      <c r="A702" s="1" t="str">
        <f>IFERROR(__xludf.DUMMYFUNCTION("""COMPUTED_VALUE"""),"PR039")</f>
        <v>PR039</v>
      </c>
      <c r="B702" s="1" t="str">
        <f>IFERROR(__xludf.DUMMYFUNCTION("""COMPUTED_VALUE"""),"VD012")</f>
        <v>VD012</v>
      </c>
      <c r="C702" s="1">
        <f>IFERROR(__xludf.DUMMYFUNCTION("""COMPUTED_VALUE"""),20.0)</f>
        <v>20</v>
      </c>
      <c r="D702" s="1">
        <f>IFERROR(__xludf.DUMMYFUNCTION("""COMPUTED_VALUE"""),3124.4)</f>
        <v>3124.4</v>
      </c>
    </row>
    <row r="703">
      <c r="A703" s="1" t="str">
        <f>IFERROR(__xludf.DUMMYFUNCTION("""COMPUTED_VALUE"""),"PR051")</f>
        <v>PR051</v>
      </c>
      <c r="B703" s="1" t="str">
        <f>IFERROR(__xludf.DUMMYFUNCTION("""COMPUTED_VALUE"""),"VD034")</f>
        <v>VD034</v>
      </c>
      <c r="C703" s="1">
        <f>IFERROR(__xludf.DUMMYFUNCTION("""COMPUTED_VALUE"""),6.0)</f>
        <v>6</v>
      </c>
      <c r="D703" s="1">
        <f>IFERROR(__xludf.DUMMYFUNCTION("""COMPUTED_VALUE"""),211.22)</f>
        <v>211.22</v>
      </c>
    </row>
    <row r="704">
      <c r="A704" s="1" t="str">
        <f>IFERROR(__xludf.DUMMYFUNCTION("""COMPUTED_VALUE"""),"PR060")</f>
        <v>PR060</v>
      </c>
      <c r="B704" s="1" t="str">
        <f>IFERROR(__xludf.DUMMYFUNCTION("""COMPUTED_VALUE"""),"VD043")</f>
        <v>VD043</v>
      </c>
      <c r="C704" s="1">
        <f>IFERROR(__xludf.DUMMYFUNCTION("""COMPUTED_VALUE"""),8.0)</f>
        <v>8</v>
      </c>
      <c r="D704" s="1">
        <f>IFERROR(__xludf.DUMMYFUNCTION("""COMPUTED_VALUE"""),1483.2)</f>
        <v>1483.2</v>
      </c>
    </row>
    <row r="705">
      <c r="A705" s="1" t="str">
        <f>IFERROR(__xludf.DUMMYFUNCTION("""COMPUTED_VALUE"""),"PR050")</f>
        <v>PR050</v>
      </c>
      <c r="B705" s="1" t="str">
        <f>IFERROR(__xludf.DUMMYFUNCTION("""COMPUTED_VALUE"""),"VD040")</f>
        <v>VD040</v>
      </c>
      <c r="C705" s="1">
        <f>IFERROR(__xludf.DUMMYFUNCTION("""COMPUTED_VALUE"""),10.0)</f>
        <v>10</v>
      </c>
      <c r="D705" s="1">
        <f>IFERROR(__xludf.DUMMYFUNCTION("""COMPUTED_VALUE"""),329.0)</f>
        <v>329</v>
      </c>
    </row>
    <row r="706">
      <c r="A706" s="1" t="str">
        <f>IFERROR(__xludf.DUMMYFUNCTION("""COMPUTED_VALUE"""),"PR044")</f>
        <v>PR044</v>
      </c>
      <c r="B706" s="1" t="str">
        <f>IFERROR(__xludf.DUMMYFUNCTION("""COMPUTED_VALUE"""),"VD012")</f>
        <v>VD012</v>
      </c>
      <c r="C706" s="1">
        <f>IFERROR(__xludf.DUMMYFUNCTION("""COMPUTED_VALUE"""),4.0)</f>
        <v>4</v>
      </c>
      <c r="D706" s="1">
        <f>IFERROR(__xludf.DUMMYFUNCTION("""COMPUTED_VALUE"""),301.6)</f>
        <v>301.6</v>
      </c>
    </row>
    <row r="707">
      <c r="A707" s="1" t="str">
        <f>IFERROR(__xludf.DUMMYFUNCTION("""COMPUTED_VALUE"""),"PR013")</f>
        <v>PR013</v>
      </c>
      <c r="B707" s="1" t="str">
        <f>IFERROR(__xludf.DUMMYFUNCTION("""COMPUTED_VALUE"""),"VD031")</f>
        <v>VD031</v>
      </c>
      <c r="C707" s="1">
        <f>IFERROR(__xludf.DUMMYFUNCTION("""COMPUTED_VALUE"""),14.0)</f>
        <v>14</v>
      </c>
      <c r="D707" s="1">
        <f>IFERROR(__xludf.DUMMYFUNCTION("""COMPUTED_VALUE"""),608.87)</f>
        <v>608.87</v>
      </c>
    </row>
    <row r="708">
      <c r="A708" s="1" t="str">
        <f>IFERROR(__xludf.DUMMYFUNCTION("""COMPUTED_VALUE"""),"PR002")</f>
        <v>PR002</v>
      </c>
      <c r="B708" s="1" t="str">
        <f>IFERROR(__xludf.DUMMYFUNCTION("""COMPUTED_VALUE"""),"VD027")</f>
        <v>VD027</v>
      </c>
      <c r="C708" s="1">
        <f>IFERROR(__xludf.DUMMYFUNCTION("""COMPUTED_VALUE"""),6.0)</f>
        <v>6</v>
      </c>
      <c r="D708" s="1">
        <f>IFERROR(__xludf.DUMMYFUNCTION("""COMPUTED_VALUE"""),452.95)</f>
        <v>452.95</v>
      </c>
    </row>
    <row r="709">
      <c r="A709" s="1" t="str">
        <f>IFERROR(__xludf.DUMMYFUNCTION("""COMPUTED_VALUE"""),"PR031")</f>
        <v>PR031</v>
      </c>
      <c r="B709" s="1" t="str">
        <f>IFERROR(__xludf.DUMMYFUNCTION("""COMPUTED_VALUE"""),"VD024")</f>
        <v>VD024</v>
      </c>
      <c r="C709" s="1">
        <f>IFERROR(__xludf.DUMMYFUNCTION("""COMPUTED_VALUE"""),6.0)</f>
        <v>6</v>
      </c>
      <c r="D709" s="1">
        <f>IFERROR(__xludf.DUMMYFUNCTION("""COMPUTED_VALUE"""),1499.4)</f>
        <v>1499.4</v>
      </c>
    </row>
    <row r="710">
      <c r="A710" s="1" t="str">
        <f>IFERROR(__xludf.DUMMYFUNCTION("""COMPUTED_VALUE"""),"PR052")</f>
        <v>PR052</v>
      </c>
      <c r="B710" s="1" t="str">
        <f>IFERROR(__xludf.DUMMYFUNCTION("""COMPUTED_VALUE"""),"VD041")</f>
        <v>VD041</v>
      </c>
      <c r="C710" s="1">
        <f>IFERROR(__xludf.DUMMYFUNCTION("""COMPUTED_VALUE"""),14.0)</f>
        <v>14</v>
      </c>
      <c r="D710" s="1">
        <f>IFERROR(__xludf.DUMMYFUNCTION("""COMPUTED_VALUE"""),754.49)</f>
        <v>754.49</v>
      </c>
    </row>
    <row r="711">
      <c r="A711" s="1" t="str">
        <f>IFERROR(__xludf.DUMMYFUNCTION("""COMPUTED_VALUE"""),"PR058")</f>
        <v>PR058</v>
      </c>
      <c r="B711" s="1" t="str">
        <f>IFERROR(__xludf.DUMMYFUNCTION("""COMPUTED_VALUE"""),"VD030")</f>
        <v>VD030</v>
      </c>
      <c r="C711" s="1">
        <f>IFERROR(__xludf.DUMMYFUNCTION("""COMPUTED_VALUE"""),2.0)</f>
        <v>2</v>
      </c>
      <c r="D711" s="1">
        <f>IFERROR(__xludf.DUMMYFUNCTION("""COMPUTED_VALUE"""),363.6)</f>
        <v>363.6</v>
      </c>
    </row>
    <row r="712">
      <c r="A712" s="1" t="str">
        <f>IFERROR(__xludf.DUMMYFUNCTION("""COMPUTED_VALUE"""),"PR034")</f>
        <v>PR034</v>
      </c>
      <c r="B712" s="1" t="str">
        <f>IFERROR(__xludf.DUMMYFUNCTION("""COMPUTED_VALUE"""),"VD013")</f>
        <v>VD013</v>
      </c>
      <c r="C712" s="1">
        <f>IFERROR(__xludf.DUMMYFUNCTION("""COMPUTED_VALUE"""),7.0)</f>
        <v>7</v>
      </c>
      <c r="D712" s="1">
        <f>IFERROR(__xludf.DUMMYFUNCTION("""COMPUTED_VALUE"""),667.06)</f>
        <v>667.06</v>
      </c>
    </row>
    <row r="713">
      <c r="A713" s="1" t="str">
        <f>IFERROR(__xludf.DUMMYFUNCTION("""COMPUTED_VALUE"""),"PR052")</f>
        <v>PR052</v>
      </c>
      <c r="B713" s="1" t="str">
        <f>IFERROR(__xludf.DUMMYFUNCTION("""COMPUTED_VALUE"""),"VD041")</f>
        <v>VD041</v>
      </c>
      <c r="C713" s="1">
        <f>IFERROR(__xludf.DUMMYFUNCTION("""COMPUTED_VALUE"""),18.0)</f>
        <v>18</v>
      </c>
      <c r="D713" s="1">
        <f>IFERROR(__xludf.DUMMYFUNCTION("""COMPUTED_VALUE"""),970.06)</f>
        <v>970.06</v>
      </c>
    </row>
    <row r="714">
      <c r="A714" s="1" t="str">
        <f>IFERROR(__xludf.DUMMYFUNCTION("""COMPUTED_VALUE"""),"PR046")</f>
        <v>PR046</v>
      </c>
      <c r="B714" s="1" t="str">
        <f>IFERROR(__xludf.DUMMYFUNCTION("""COMPUTED_VALUE"""),"VD019")</f>
        <v>VD019</v>
      </c>
      <c r="C714" s="1">
        <f>IFERROR(__xludf.DUMMYFUNCTION("""COMPUTED_VALUE"""),4.0)</f>
        <v>4</v>
      </c>
      <c r="D714" s="1">
        <f>IFERROR(__xludf.DUMMYFUNCTION("""COMPUTED_VALUE"""),1240.77)</f>
        <v>1240.77</v>
      </c>
    </row>
    <row r="715">
      <c r="A715" s="1" t="str">
        <f>IFERROR(__xludf.DUMMYFUNCTION("""COMPUTED_VALUE"""),"PR056")</f>
        <v>PR056</v>
      </c>
      <c r="B715" s="1" t="str">
        <f>IFERROR(__xludf.DUMMYFUNCTION("""COMPUTED_VALUE"""),"VD039")</f>
        <v>VD039</v>
      </c>
      <c r="C715" s="1">
        <f>IFERROR(__xludf.DUMMYFUNCTION("""COMPUTED_VALUE"""),14.0)</f>
        <v>14</v>
      </c>
      <c r="D715" s="1">
        <f>IFERROR(__xludf.DUMMYFUNCTION("""COMPUTED_VALUE"""),1334.12)</f>
        <v>1334.12</v>
      </c>
    </row>
    <row r="716">
      <c r="A716" s="1" t="str">
        <f>IFERROR(__xludf.DUMMYFUNCTION("""COMPUTED_VALUE"""),"PR034")</f>
        <v>PR034</v>
      </c>
      <c r="B716" s="1" t="str">
        <f>IFERROR(__xludf.DUMMYFUNCTION("""COMPUTED_VALUE"""),"VD042")</f>
        <v>VD042</v>
      </c>
      <c r="C716" s="1">
        <f>IFERROR(__xludf.DUMMYFUNCTION("""COMPUTED_VALUE"""),10.0)</f>
        <v>10</v>
      </c>
      <c r="D716" s="1">
        <f>IFERROR(__xludf.DUMMYFUNCTION("""COMPUTED_VALUE"""),988.9)</f>
        <v>988.9</v>
      </c>
    </row>
    <row r="717">
      <c r="A717" s="1" t="str">
        <f>IFERROR(__xludf.DUMMYFUNCTION("""COMPUTED_VALUE"""),"PR029")</f>
        <v>PR029</v>
      </c>
      <c r="B717" s="1" t="str">
        <f>IFERROR(__xludf.DUMMYFUNCTION("""COMPUTED_VALUE"""),"VD043")</f>
        <v>VD043</v>
      </c>
      <c r="C717" s="1">
        <f>IFERROR(__xludf.DUMMYFUNCTION("""COMPUTED_VALUE"""),1.0)</f>
        <v>1</v>
      </c>
      <c r="D717" s="1">
        <f>IFERROR(__xludf.DUMMYFUNCTION("""COMPUTED_VALUE"""),267.75)</f>
        <v>267.75</v>
      </c>
    </row>
    <row r="718">
      <c r="A718" s="1" t="str">
        <f>IFERROR(__xludf.DUMMYFUNCTION("""COMPUTED_VALUE"""),"PR043")</f>
        <v>PR043</v>
      </c>
      <c r="B718" s="1" t="str">
        <f>IFERROR(__xludf.DUMMYFUNCTION("""COMPUTED_VALUE"""),"VD023")</f>
        <v>VD023</v>
      </c>
      <c r="C718" s="1">
        <f>IFERROR(__xludf.DUMMYFUNCTION("""COMPUTED_VALUE"""),8.0)</f>
        <v>8</v>
      </c>
      <c r="D718" s="1">
        <f>IFERROR(__xludf.DUMMYFUNCTION("""COMPUTED_VALUE"""),603.2)</f>
        <v>603.2</v>
      </c>
    </row>
    <row r="719">
      <c r="A719" s="1" t="str">
        <f>IFERROR(__xludf.DUMMYFUNCTION("""COMPUTED_VALUE"""),"PR014")</f>
        <v>PR014</v>
      </c>
      <c r="B719" s="1" t="str">
        <f>IFERROR(__xludf.DUMMYFUNCTION("""COMPUTED_VALUE"""),"VD035")</f>
        <v>VD035</v>
      </c>
      <c r="C719" s="1">
        <f>IFERROR(__xludf.DUMMYFUNCTION("""COMPUTED_VALUE"""),5.0)</f>
        <v>5</v>
      </c>
      <c r="D719" s="1">
        <f>IFERROR(__xludf.DUMMYFUNCTION("""COMPUTED_VALUE"""),211.47)</f>
        <v>211.47</v>
      </c>
    </row>
    <row r="720">
      <c r="A720" s="1" t="str">
        <f>IFERROR(__xludf.DUMMYFUNCTION("""COMPUTED_VALUE"""),"PR019")</f>
        <v>PR019</v>
      </c>
      <c r="B720" s="1" t="str">
        <f>IFERROR(__xludf.DUMMYFUNCTION("""COMPUTED_VALUE"""),"VD018")</f>
        <v>VD018</v>
      </c>
      <c r="C720" s="1">
        <f>IFERROR(__xludf.DUMMYFUNCTION("""COMPUTED_VALUE"""),18.0)</f>
        <v>18</v>
      </c>
      <c r="D720" s="1">
        <f>IFERROR(__xludf.DUMMYFUNCTION("""COMPUTED_VALUE"""),925.15)</f>
        <v>925.15</v>
      </c>
    </row>
    <row r="721">
      <c r="A721" s="1" t="str">
        <f>IFERROR(__xludf.DUMMYFUNCTION("""COMPUTED_VALUE"""),"PR057")</f>
        <v>PR057</v>
      </c>
      <c r="B721" s="1" t="str">
        <f>IFERROR(__xludf.DUMMYFUNCTION("""COMPUTED_VALUE"""),"VD028")</f>
        <v>VD028</v>
      </c>
      <c r="C721" s="1">
        <f>IFERROR(__xludf.DUMMYFUNCTION("""COMPUTED_VALUE"""),6.0)</f>
        <v>6</v>
      </c>
      <c r="D721" s="1">
        <f>IFERROR(__xludf.DUMMYFUNCTION("""COMPUTED_VALUE"""),539.4)</f>
        <v>539.4</v>
      </c>
    </row>
    <row r="722">
      <c r="A722" s="1" t="str">
        <f>IFERROR(__xludf.DUMMYFUNCTION("""COMPUTED_VALUE"""),"PR047")</f>
        <v>PR047</v>
      </c>
      <c r="B722" s="1" t="str">
        <f>IFERROR(__xludf.DUMMYFUNCTION("""COMPUTED_VALUE"""),"VD047")</f>
        <v>VD047</v>
      </c>
      <c r="C722" s="1">
        <f>IFERROR(__xludf.DUMMYFUNCTION("""COMPUTED_VALUE"""),8.0)</f>
        <v>8</v>
      </c>
      <c r="D722" s="1">
        <f>IFERROR(__xludf.DUMMYFUNCTION("""COMPUTED_VALUE"""),2458.35)</f>
        <v>2458.35</v>
      </c>
    </row>
    <row r="723">
      <c r="A723" s="1" t="str">
        <f>IFERROR(__xludf.DUMMYFUNCTION("""COMPUTED_VALUE"""),"PR012")</f>
        <v>PR012</v>
      </c>
      <c r="B723" s="1" t="str">
        <f>IFERROR(__xludf.DUMMYFUNCTION("""COMPUTED_VALUE"""),"VD042")</f>
        <v>VD042</v>
      </c>
      <c r="C723" s="1">
        <f>IFERROR(__xludf.DUMMYFUNCTION("""COMPUTED_VALUE"""),16.0)</f>
        <v>16</v>
      </c>
      <c r="D723" s="1">
        <f>IFERROR(__xludf.DUMMYFUNCTION("""COMPUTED_VALUE"""),837.17)</f>
        <v>837.17</v>
      </c>
    </row>
    <row r="724">
      <c r="A724" s="1" t="str">
        <f>IFERROR(__xludf.DUMMYFUNCTION("""COMPUTED_VALUE"""),"PR016")</f>
        <v>PR016</v>
      </c>
      <c r="B724" s="1" t="str">
        <f>IFERROR(__xludf.DUMMYFUNCTION("""COMPUTED_VALUE"""),"VD048")</f>
        <v>VD048</v>
      </c>
      <c r="C724" s="1">
        <f>IFERROR(__xludf.DUMMYFUNCTION("""COMPUTED_VALUE"""),14.0)</f>
        <v>14</v>
      </c>
      <c r="D724" s="1">
        <f>IFERROR(__xludf.DUMMYFUNCTION("""COMPUTED_VALUE"""),391.61)</f>
        <v>391.61</v>
      </c>
    </row>
    <row r="725">
      <c r="A725" s="1" t="str">
        <f>IFERROR(__xludf.DUMMYFUNCTION("""COMPUTED_VALUE"""),"PR047")</f>
        <v>PR047</v>
      </c>
      <c r="B725" s="1" t="str">
        <f>IFERROR(__xludf.DUMMYFUNCTION("""COMPUTED_VALUE"""),"VD049")</f>
        <v>VD049</v>
      </c>
      <c r="C725" s="1">
        <f>IFERROR(__xludf.DUMMYFUNCTION("""COMPUTED_VALUE"""),2.0)</f>
        <v>2</v>
      </c>
      <c r="D725" s="1">
        <f>IFERROR(__xludf.DUMMYFUNCTION("""COMPUTED_VALUE"""),620.39)</f>
        <v>620.39</v>
      </c>
    </row>
    <row r="726">
      <c r="A726" s="1" t="str">
        <f>IFERROR(__xludf.DUMMYFUNCTION("""COMPUTED_VALUE"""),"PR048")</f>
        <v>PR048</v>
      </c>
      <c r="B726" s="1" t="str">
        <f>IFERROR(__xludf.DUMMYFUNCTION("""COMPUTED_VALUE"""),"VD036")</f>
        <v>VD036</v>
      </c>
      <c r="C726" s="1">
        <f>IFERROR(__xludf.DUMMYFUNCTION("""COMPUTED_VALUE"""),4.0)</f>
        <v>4</v>
      </c>
      <c r="D726" s="1">
        <f>IFERROR(__xludf.DUMMYFUNCTION("""COMPUTED_VALUE"""),1275.56)</f>
        <v>1275.56</v>
      </c>
    </row>
    <row r="727">
      <c r="A727" s="1" t="str">
        <f>IFERROR(__xludf.DUMMYFUNCTION("""COMPUTED_VALUE"""),"PR020")</f>
        <v>PR020</v>
      </c>
      <c r="B727" s="1" t="str">
        <f>IFERROR(__xludf.DUMMYFUNCTION("""COMPUTED_VALUE"""),"VD038")</f>
        <v>VD038</v>
      </c>
      <c r="C727" s="1">
        <f>IFERROR(__xludf.DUMMYFUNCTION("""COMPUTED_VALUE"""),4.0)</f>
        <v>4</v>
      </c>
      <c r="D727" s="1">
        <f>IFERROR(__xludf.DUMMYFUNCTION("""COMPUTED_VALUE"""),1235.59)</f>
        <v>1235.59</v>
      </c>
    </row>
    <row r="728">
      <c r="A728" s="1" t="str">
        <f>IFERROR(__xludf.DUMMYFUNCTION("""COMPUTED_VALUE"""),"PR011")</f>
        <v>PR011</v>
      </c>
      <c r="B728" s="1" t="str">
        <f>IFERROR(__xludf.DUMMYFUNCTION("""COMPUTED_VALUE"""),"VD018")</f>
        <v>VD018</v>
      </c>
      <c r="C728" s="1">
        <f>IFERROR(__xludf.DUMMYFUNCTION("""COMPUTED_VALUE"""),6.0)</f>
        <v>6</v>
      </c>
      <c r="D728" s="1">
        <f>IFERROR(__xludf.DUMMYFUNCTION("""COMPUTED_VALUE"""),309.54)</f>
        <v>309.54</v>
      </c>
    </row>
    <row r="729">
      <c r="A729" s="1" t="str">
        <f>IFERROR(__xludf.DUMMYFUNCTION("""COMPUTED_VALUE"""),"PR049")</f>
        <v>PR049</v>
      </c>
      <c r="B729" s="1" t="str">
        <f>IFERROR(__xludf.DUMMYFUNCTION("""COMPUTED_VALUE"""),"VD043")</f>
        <v>VD043</v>
      </c>
      <c r="C729" s="1">
        <f>IFERROR(__xludf.DUMMYFUNCTION("""COMPUTED_VALUE"""),7.0)</f>
        <v>7</v>
      </c>
      <c r="D729" s="1">
        <f>IFERROR(__xludf.DUMMYFUNCTION("""COMPUTED_VALUE"""),244.12)</f>
        <v>244.12</v>
      </c>
    </row>
    <row r="730">
      <c r="A730" s="1" t="str">
        <f>IFERROR(__xludf.DUMMYFUNCTION("""COMPUTED_VALUE"""),"PR018")</f>
        <v>PR018</v>
      </c>
      <c r="B730" s="1" t="str">
        <f>IFERROR(__xludf.DUMMYFUNCTION("""COMPUTED_VALUE"""),"VD033")</f>
        <v>VD033</v>
      </c>
      <c r="C730" s="1">
        <f>IFERROR(__xludf.DUMMYFUNCTION("""COMPUTED_VALUE"""),4.0)</f>
        <v>4</v>
      </c>
      <c r="D730" s="1">
        <f>IFERROR(__xludf.DUMMYFUNCTION("""COMPUTED_VALUE"""),135.55)</f>
        <v>135.55</v>
      </c>
    </row>
    <row r="731">
      <c r="A731" s="1" t="str">
        <f>IFERROR(__xludf.DUMMYFUNCTION("""COMPUTED_VALUE"""),"PR051")</f>
        <v>PR051</v>
      </c>
      <c r="B731" s="1" t="str">
        <f>IFERROR(__xludf.DUMMYFUNCTION("""COMPUTED_VALUE"""),"VD010")</f>
        <v>VD010</v>
      </c>
      <c r="C731" s="1">
        <f>IFERROR(__xludf.DUMMYFUNCTION("""COMPUTED_VALUE"""),9.0)</f>
        <v>9</v>
      </c>
      <c r="D731" s="1">
        <f>IFERROR(__xludf.DUMMYFUNCTION("""COMPUTED_VALUE"""),296.1)</f>
        <v>296.1</v>
      </c>
    </row>
    <row r="732">
      <c r="A732" s="1" t="str">
        <f>IFERROR(__xludf.DUMMYFUNCTION("""COMPUTED_VALUE"""),"PR007")</f>
        <v>PR007</v>
      </c>
      <c r="B732" s="1" t="str">
        <f>IFERROR(__xludf.DUMMYFUNCTION("""COMPUTED_VALUE"""),"VD041")</f>
        <v>VD041</v>
      </c>
      <c r="C732" s="1">
        <f>IFERROR(__xludf.DUMMYFUNCTION("""COMPUTED_VALUE"""),4.0)</f>
        <v>4</v>
      </c>
      <c r="D732" s="1">
        <f>IFERROR(__xludf.DUMMYFUNCTION("""COMPUTED_VALUE"""),353.91)</f>
        <v>353.91</v>
      </c>
    </row>
    <row r="733">
      <c r="A733" s="1" t="str">
        <f>IFERROR(__xludf.DUMMYFUNCTION("""COMPUTED_VALUE"""),"PR008")</f>
        <v>PR008</v>
      </c>
      <c r="B733" s="1" t="str">
        <f>IFERROR(__xludf.DUMMYFUNCTION("""COMPUTED_VALUE"""),"VD046")</f>
        <v>VD046</v>
      </c>
      <c r="C733" s="1">
        <f>IFERROR(__xludf.DUMMYFUNCTION("""COMPUTED_VALUE"""),3.0)</f>
        <v>3</v>
      </c>
      <c r="D733" s="1">
        <f>IFERROR(__xludf.DUMMYFUNCTION("""COMPUTED_VALUE"""),288.58)</f>
        <v>288.58</v>
      </c>
    </row>
    <row r="734">
      <c r="A734" s="1" t="str">
        <f>IFERROR(__xludf.DUMMYFUNCTION("""COMPUTED_VALUE"""),"PR053")</f>
        <v>PR053</v>
      </c>
      <c r="B734" s="1" t="str">
        <f>IFERROR(__xludf.DUMMYFUNCTION("""COMPUTED_VALUE"""),"VD029")</f>
        <v>VD029</v>
      </c>
      <c r="C734" s="1">
        <f>IFERROR(__xludf.DUMMYFUNCTION("""COMPUTED_VALUE"""),8.0)</f>
        <v>8</v>
      </c>
      <c r="D734" s="1">
        <f>IFERROR(__xludf.DUMMYFUNCTION("""COMPUTED_VALUE"""),415.17)</f>
        <v>415.17</v>
      </c>
    </row>
    <row r="735">
      <c r="A735" s="1" t="str">
        <f>IFERROR(__xludf.DUMMYFUNCTION("""COMPUTED_VALUE"""),"PR060")</f>
        <v>PR060</v>
      </c>
      <c r="B735" s="1" t="str">
        <f>IFERROR(__xludf.DUMMYFUNCTION("""COMPUTED_VALUE"""),"VD015")</f>
        <v>VD015</v>
      </c>
      <c r="C735" s="1">
        <f>IFERROR(__xludf.DUMMYFUNCTION("""COMPUTED_VALUE"""),20.0)</f>
        <v>20</v>
      </c>
      <c r="D735" s="1">
        <f>IFERROR(__xludf.DUMMYFUNCTION("""COMPUTED_VALUE"""),3744.0)</f>
        <v>3744</v>
      </c>
    </row>
    <row r="736">
      <c r="A736" s="1" t="str">
        <f>IFERROR(__xludf.DUMMYFUNCTION("""COMPUTED_VALUE"""),"PR037")</f>
        <v>PR037</v>
      </c>
      <c r="B736" s="1" t="str">
        <f>IFERROR(__xludf.DUMMYFUNCTION("""COMPUTED_VALUE"""),"VD040")</f>
        <v>VD040</v>
      </c>
      <c r="C736" s="1">
        <f>IFERROR(__xludf.DUMMYFUNCTION("""COMPUTED_VALUE"""),9.0)</f>
        <v>9</v>
      </c>
      <c r="D736" s="1">
        <f>IFERROR(__xludf.DUMMYFUNCTION("""COMPUTED_VALUE"""),1335.6)</f>
        <v>1335.6</v>
      </c>
    </row>
    <row r="737">
      <c r="A737" s="1" t="str">
        <f>IFERROR(__xludf.DUMMYFUNCTION("""COMPUTED_VALUE"""),"PR050")</f>
        <v>PR050</v>
      </c>
      <c r="B737" s="1" t="str">
        <f>IFERROR(__xludf.DUMMYFUNCTION("""COMPUTED_VALUE"""),"VD028")</f>
        <v>VD028</v>
      </c>
      <c r="C737" s="1">
        <f>IFERROR(__xludf.DUMMYFUNCTION("""COMPUTED_VALUE"""),2.0)</f>
        <v>2</v>
      </c>
      <c r="D737" s="1">
        <f>IFERROR(__xludf.DUMMYFUNCTION("""COMPUTED_VALUE"""),66.46)</f>
        <v>66.46</v>
      </c>
    </row>
    <row r="738">
      <c r="A738" s="1" t="str">
        <f>IFERROR(__xludf.DUMMYFUNCTION("""COMPUTED_VALUE"""),"PR013")</f>
        <v>PR013</v>
      </c>
      <c r="B738" s="1" t="str">
        <f>IFERROR(__xludf.DUMMYFUNCTION("""COMPUTED_VALUE"""),"VD017")</f>
        <v>VD017</v>
      </c>
      <c r="C738" s="1">
        <f>IFERROR(__xludf.DUMMYFUNCTION("""COMPUTED_VALUE"""),8.0)</f>
        <v>8</v>
      </c>
      <c r="D738" s="1">
        <f>IFERROR(__xludf.DUMMYFUNCTION("""COMPUTED_VALUE"""),351.12)</f>
        <v>351.12</v>
      </c>
    </row>
    <row r="739">
      <c r="A739" s="1" t="str">
        <f>IFERROR(__xludf.DUMMYFUNCTION("""COMPUTED_VALUE"""),"PR024")</f>
        <v>PR024</v>
      </c>
      <c r="B739" s="1" t="str">
        <f>IFERROR(__xludf.DUMMYFUNCTION("""COMPUTED_VALUE"""),"VD043")</f>
        <v>VD043</v>
      </c>
      <c r="C739" s="1">
        <f>IFERROR(__xludf.DUMMYFUNCTION("""COMPUTED_VALUE"""),10.0)</f>
        <v>10</v>
      </c>
      <c r="D739" s="1">
        <f>IFERROR(__xludf.DUMMYFUNCTION("""COMPUTED_VALUE"""),2650.98)</f>
        <v>2650.98</v>
      </c>
    </row>
    <row r="740">
      <c r="A740" s="1" t="str">
        <f>IFERROR(__xludf.DUMMYFUNCTION("""COMPUTED_VALUE"""),"PR001")</f>
        <v>PR001</v>
      </c>
      <c r="B740" s="1" t="str">
        <f>IFERROR(__xludf.DUMMYFUNCTION("""COMPUTED_VALUE"""),"VD038")</f>
        <v>VD038</v>
      </c>
      <c r="C740" s="1">
        <f>IFERROR(__xludf.DUMMYFUNCTION("""COMPUTED_VALUE"""),14.0)</f>
        <v>14</v>
      </c>
      <c r="D740" s="1">
        <f>IFERROR(__xludf.DUMMYFUNCTION("""COMPUTED_VALUE"""),987.18)</f>
        <v>987.18</v>
      </c>
    </row>
    <row r="741">
      <c r="A741" s="1" t="str">
        <f>IFERROR(__xludf.DUMMYFUNCTION("""COMPUTED_VALUE"""),"PR004")</f>
        <v>PR004</v>
      </c>
      <c r="B741" s="1" t="str">
        <f>IFERROR(__xludf.DUMMYFUNCTION("""COMPUTED_VALUE"""),"VD019")</f>
        <v>VD019</v>
      </c>
      <c r="C741" s="1">
        <f>IFERROR(__xludf.DUMMYFUNCTION("""COMPUTED_VALUE"""),1.0)</f>
        <v>1</v>
      </c>
      <c r="D741" s="1">
        <f>IFERROR(__xludf.DUMMYFUNCTION("""COMPUTED_VALUE"""),150.8)</f>
        <v>150.8</v>
      </c>
    </row>
    <row r="742">
      <c r="A742" s="1" t="str">
        <f>IFERROR(__xludf.DUMMYFUNCTION("""COMPUTED_VALUE"""),"PR041")</f>
        <v>PR041</v>
      </c>
      <c r="B742" s="1" t="str">
        <f>IFERROR(__xludf.DUMMYFUNCTION("""COMPUTED_VALUE"""),"VD017")</f>
        <v>VD017</v>
      </c>
      <c r="C742" s="1">
        <f>IFERROR(__xludf.DUMMYFUNCTION("""COMPUTED_VALUE"""),4.0)</f>
        <v>4</v>
      </c>
      <c r="D742" s="1">
        <f>IFERROR(__xludf.DUMMYFUNCTION("""COMPUTED_VALUE"""),228.38)</f>
        <v>228.38</v>
      </c>
    </row>
    <row r="743">
      <c r="A743" s="1" t="str">
        <f>IFERROR(__xludf.DUMMYFUNCTION("""COMPUTED_VALUE"""),"PR055")</f>
        <v>PR055</v>
      </c>
      <c r="B743" s="1" t="str">
        <f>IFERROR(__xludf.DUMMYFUNCTION("""COMPUTED_VALUE"""),"VD040")</f>
        <v>VD040</v>
      </c>
      <c r="C743" s="1">
        <f>IFERROR(__xludf.DUMMYFUNCTION("""COMPUTED_VALUE"""),16.0)</f>
        <v>16</v>
      </c>
      <c r="D743" s="1">
        <f>IFERROR(__xludf.DUMMYFUNCTION("""COMPUTED_VALUE"""),1495.94)</f>
        <v>1495.94</v>
      </c>
    </row>
    <row r="744">
      <c r="A744" s="1" t="str">
        <f>IFERROR(__xludf.DUMMYFUNCTION("""COMPUTED_VALUE"""),"PR048")</f>
        <v>PR048</v>
      </c>
      <c r="B744" s="1" t="str">
        <f>IFERROR(__xludf.DUMMYFUNCTION("""COMPUTED_VALUE"""),"VD045")</f>
        <v>VD045</v>
      </c>
      <c r="C744" s="1">
        <f>IFERROR(__xludf.DUMMYFUNCTION("""COMPUTED_VALUE"""),4.0)</f>
        <v>4</v>
      </c>
      <c r="D744" s="1">
        <f>IFERROR(__xludf.DUMMYFUNCTION("""COMPUTED_VALUE"""),1205.98)</f>
        <v>1205.98</v>
      </c>
    </row>
    <row r="745">
      <c r="A745" s="1" t="str">
        <f>IFERROR(__xludf.DUMMYFUNCTION("""COMPUTED_VALUE"""),"PR024")</f>
        <v>PR024</v>
      </c>
      <c r="B745" s="1" t="str">
        <f>IFERROR(__xludf.DUMMYFUNCTION("""COMPUTED_VALUE"""),"VD019")</f>
        <v>VD019</v>
      </c>
      <c r="C745" s="1">
        <f>IFERROR(__xludf.DUMMYFUNCTION("""COMPUTED_VALUE"""),4.0)</f>
        <v>4</v>
      </c>
      <c r="D745" s="1">
        <f>IFERROR(__xludf.DUMMYFUNCTION("""COMPUTED_VALUE"""),1112.37)</f>
        <v>1112.37</v>
      </c>
    </row>
    <row r="746">
      <c r="A746" s="1" t="str">
        <f>IFERROR(__xludf.DUMMYFUNCTION("""COMPUTED_VALUE"""),"PR006")</f>
        <v>PR006</v>
      </c>
      <c r="B746" s="1" t="str">
        <f>IFERROR(__xludf.DUMMYFUNCTION("""COMPUTED_VALUE"""),"VD023")</f>
        <v>VD023</v>
      </c>
      <c r="C746" s="1">
        <f>IFERROR(__xludf.DUMMYFUNCTION("""COMPUTED_VALUE"""),14.0)</f>
        <v>14</v>
      </c>
      <c r="D746" s="1">
        <f>IFERROR(__xludf.DUMMYFUNCTION("""COMPUTED_VALUE"""),586.53)</f>
        <v>586.53</v>
      </c>
    </row>
    <row r="747">
      <c r="A747" s="1" t="str">
        <f>IFERROR(__xludf.DUMMYFUNCTION("""COMPUTED_VALUE"""),"PR022")</f>
        <v>PR022</v>
      </c>
      <c r="B747" s="1" t="str">
        <f>IFERROR(__xludf.DUMMYFUNCTION("""COMPUTED_VALUE"""),"VD029")</f>
        <v>VD029</v>
      </c>
      <c r="C747" s="1">
        <f>IFERROR(__xludf.DUMMYFUNCTION("""COMPUTED_VALUE"""),7.0)</f>
        <v>7</v>
      </c>
      <c r="D747" s="1">
        <f>IFERROR(__xludf.DUMMYFUNCTION("""COMPUTED_VALUE"""),2100.0)</f>
        <v>2100</v>
      </c>
    </row>
    <row r="748">
      <c r="A748" s="1" t="str">
        <f>IFERROR(__xludf.DUMMYFUNCTION("""COMPUTED_VALUE"""),"PR027")</f>
        <v>PR027</v>
      </c>
      <c r="B748" s="1" t="str">
        <f>IFERROR(__xludf.DUMMYFUNCTION("""COMPUTED_VALUE"""),"VD016")</f>
        <v>VD016</v>
      </c>
      <c r="C748" s="1">
        <f>IFERROR(__xludf.DUMMYFUNCTION("""COMPUTED_VALUE"""),2.0)</f>
        <v>2</v>
      </c>
      <c r="D748" s="1">
        <f>IFERROR(__xludf.DUMMYFUNCTION("""COMPUTED_VALUE"""),242.4)</f>
        <v>242.4</v>
      </c>
    </row>
    <row r="749">
      <c r="A749" s="1" t="str">
        <f>IFERROR(__xludf.DUMMYFUNCTION("""COMPUTED_VALUE"""),"PR017")</f>
        <v>PR017</v>
      </c>
      <c r="B749" s="1" t="str">
        <f>IFERROR(__xludf.DUMMYFUNCTION("""COMPUTED_VALUE"""),"VD029")</f>
        <v>VD029</v>
      </c>
      <c r="C749" s="1">
        <f>IFERROR(__xludf.DUMMYFUNCTION("""COMPUTED_VALUE"""),12.0)</f>
        <v>12</v>
      </c>
      <c r="D749" s="1">
        <f>IFERROR(__xludf.DUMMYFUNCTION("""COMPUTED_VALUE"""),380.33)</f>
        <v>380.33</v>
      </c>
    </row>
    <row r="750">
      <c r="A750" s="1" t="str">
        <f>IFERROR(__xludf.DUMMYFUNCTION("""COMPUTED_VALUE"""),"PR018")</f>
        <v>PR018</v>
      </c>
      <c r="B750" s="1" t="str">
        <f>IFERROR(__xludf.DUMMYFUNCTION("""COMPUTED_VALUE"""),"VD049")</f>
        <v>VD049</v>
      </c>
      <c r="C750" s="1">
        <f>IFERROR(__xludf.DUMMYFUNCTION("""COMPUTED_VALUE"""),12.0)</f>
        <v>12</v>
      </c>
      <c r="D750" s="1">
        <f>IFERROR(__xludf.DUMMYFUNCTION("""COMPUTED_VALUE"""),410.59)</f>
        <v>410.59</v>
      </c>
    </row>
    <row r="751">
      <c r="A751" s="1" t="str">
        <f>IFERROR(__xludf.DUMMYFUNCTION("""COMPUTED_VALUE"""),"PR003")</f>
        <v>PR003</v>
      </c>
      <c r="B751" s="1" t="str">
        <f>IFERROR(__xludf.DUMMYFUNCTION("""COMPUTED_VALUE"""),"VD024")</f>
        <v>VD024</v>
      </c>
      <c r="C751" s="1">
        <f>IFERROR(__xludf.DUMMYFUNCTION("""COMPUTED_VALUE"""),9.0)</f>
        <v>9</v>
      </c>
      <c r="D751" s="1">
        <f>IFERROR(__xludf.DUMMYFUNCTION("""COMPUTED_VALUE"""),638.1)</f>
        <v>638.1</v>
      </c>
    </row>
    <row r="752">
      <c r="A752" s="1" t="str">
        <f>IFERROR(__xludf.DUMMYFUNCTION("""COMPUTED_VALUE"""),"PR021")</f>
        <v>PR021</v>
      </c>
      <c r="B752" s="1" t="str">
        <f>IFERROR(__xludf.DUMMYFUNCTION("""COMPUTED_VALUE"""),"VD046")</f>
        <v>VD046</v>
      </c>
      <c r="C752" s="1">
        <f>IFERROR(__xludf.DUMMYFUNCTION("""COMPUTED_VALUE"""),20.0)</f>
        <v>20</v>
      </c>
      <c r="D752" s="1">
        <f>IFERROR(__xludf.DUMMYFUNCTION("""COMPUTED_VALUE"""),6239.74)</f>
        <v>6239.74</v>
      </c>
    </row>
    <row r="753">
      <c r="A753" s="1" t="str">
        <f>IFERROR(__xludf.DUMMYFUNCTION("""COMPUTED_VALUE"""),"PR018")</f>
        <v>PR018</v>
      </c>
      <c r="B753" s="1" t="str">
        <f>IFERROR(__xludf.DUMMYFUNCTION("""COMPUTED_VALUE"""),"VD049")</f>
        <v>VD049</v>
      </c>
      <c r="C753" s="1">
        <f>IFERROR(__xludf.DUMMYFUNCTION("""COMPUTED_VALUE"""),8.0)</f>
        <v>8</v>
      </c>
      <c r="D753" s="1">
        <f>IFERROR(__xludf.DUMMYFUNCTION("""COMPUTED_VALUE"""),278.99)</f>
        <v>278.99</v>
      </c>
    </row>
    <row r="754">
      <c r="A754" s="1" t="str">
        <f>IFERROR(__xludf.DUMMYFUNCTION("""COMPUTED_VALUE"""),"PR047")</f>
        <v>PR047</v>
      </c>
      <c r="B754" s="1" t="str">
        <f>IFERROR(__xludf.DUMMYFUNCTION("""COMPUTED_VALUE"""),"VD019")</f>
        <v>VD019</v>
      </c>
      <c r="C754" s="1">
        <f>IFERROR(__xludf.DUMMYFUNCTION("""COMPUTED_VALUE"""),8.0)</f>
        <v>8</v>
      </c>
      <c r="D754" s="1">
        <f>IFERROR(__xludf.DUMMYFUNCTION("""COMPUTED_VALUE"""),2527.93)</f>
        <v>2527.93</v>
      </c>
    </row>
    <row r="755">
      <c r="A755" s="1" t="str">
        <f>IFERROR(__xludf.DUMMYFUNCTION("""COMPUTED_VALUE"""),"PR030")</f>
        <v>PR030</v>
      </c>
      <c r="B755" s="1" t="str">
        <f>IFERROR(__xludf.DUMMYFUNCTION("""COMPUTED_VALUE"""),"VD043")</f>
        <v>VD043</v>
      </c>
      <c r="C755" s="1">
        <f>IFERROR(__xludf.DUMMYFUNCTION("""COMPUTED_VALUE"""),16.0)</f>
        <v>16</v>
      </c>
      <c r="D755" s="1">
        <f>IFERROR(__xludf.DUMMYFUNCTION("""COMPUTED_VALUE"""),4366.32)</f>
        <v>4366.32</v>
      </c>
    </row>
    <row r="756">
      <c r="A756" s="1" t="str">
        <f>IFERROR(__xludf.DUMMYFUNCTION("""COMPUTED_VALUE"""),"PR011")</f>
        <v>PR011</v>
      </c>
      <c r="B756" s="1" t="str">
        <f>IFERROR(__xludf.DUMMYFUNCTION("""COMPUTED_VALUE"""),"VD026")</f>
        <v>VD026</v>
      </c>
      <c r="C756" s="1">
        <f>IFERROR(__xludf.DUMMYFUNCTION("""COMPUTED_VALUE"""),14.0)</f>
        <v>14</v>
      </c>
      <c r="D756" s="1">
        <f>IFERROR(__xludf.DUMMYFUNCTION("""COMPUTED_VALUE"""),709.13)</f>
        <v>709.13</v>
      </c>
    </row>
    <row r="757">
      <c r="A757" s="1" t="str">
        <f>IFERROR(__xludf.DUMMYFUNCTION("""COMPUTED_VALUE"""),"PR049")</f>
        <v>PR049</v>
      </c>
      <c r="B757" s="1" t="str">
        <f>IFERROR(__xludf.DUMMYFUNCTION("""COMPUTED_VALUE"""),"VD042")</f>
        <v>VD042</v>
      </c>
      <c r="C757" s="1">
        <f>IFERROR(__xludf.DUMMYFUNCTION("""COMPUTED_VALUE"""),8.0)</f>
        <v>8</v>
      </c>
      <c r="D757" s="1">
        <f>IFERROR(__xludf.DUMMYFUNCTION("""COMPUTED_VALUE"""),289.52)</f>
        <v>289.52</v>
      </c>
    </row>
    <row r="758">
      <c r="A758" s="1" t="str">
        <f>IFERROR(__xludf.DUMMYFUNCTION("""COMPUTED_VALUE"""),"PR057")</f>
        <v>PR057</v>
      </c>
      <c r="B758" s="1" t="str">
        <f>IFERROR(__xludf.DUMMYFUNCTION("""COMPUTED_VALUE"""),"VD034")</f>
        <v>VD034</v>
      </c>
      <c r="C758" s="1">
        <f>IFERROR(__xludf.DUMMYFUNCTION("""COMPUTED_VALUE"""),4.0)</f>
        <v>4</v>
      </c>
      <c r="D758" s="1">
        <f>IFERROR(__xludf.DUMMYFUNCTION("""COMPUTED_VALUE"""),366.79)</f>
        <v>366.79</v>
      </c>
    </row>
    <row r="759">
      <c r="A759" s="1" t="str">
        <f>IFERROR(__xludf.DUMMYFUNCTION("""COMPUTED_VALUE"""),"PR049")</f>
        <v>PR049</v>
      </c>
      <c r="B759" s="1" t="str">
        <f>IFERROR(__xludf.DUMMYFUNCTION("""COMPUTED_VALUE"""),"VD049")</f>
        <v>VD049</v>
      </c>
      <c r="C759" s="1">
        <f>IFERROR(__xludf.DUMMYFUNCTION("""COMPUTED_VALUE"""),10.0)</f>
        <v>10</v>
      </c>
      <c r="D759" s="1">
        <f>IFERROR(__xludf.DUMMYFUNCTION("""COMPUTED_VALUE"""),361.9)</f>
        <v>361.9</v>
      </c>
    </row>
    <row r="760">
      <c r="A760" s="1" t="str">
        <f>IFERROR(__xludf.DUMMYFUNCTION("""COMPUTED_VALUE"""),"PR037")</f>
        <v>PR037</v>
      </c>
      <c r="B760" s="1" t="str">
        <f>IFERROR(__xludf.DUMMYFUNCTION("""COMPUTED_VALUE"""),"VD029")</f>
        <v>VD029</v>
      </c>
      <c r="C760" s="1">
        <f>IFERROR(__xludf.DUMMYFUNCTION("""COMPUTED_VALUE"""),4.0)</f>
        <v>4</v>
      </c>
      <c r="D760" s="1">
        <f>IFERROR(__xludf.DUMMYFUNCTION("""COMPUTED_VALUE"""),588.0)</f>
        <v>588</v>
      </c>
    </row>
    <row r="761">
      <c r="A761" s="1" t="str">
        <f>IFERROR(__xludf.DUMMYFUNCTION("""COMPUTED_VALUE"""),"PR029")</f>
        <v>PR029</v>
      </c>
      <c r="B761" s="1" t="str">
        <f>IFERROR(__xludf.DUMMYFUNCTION("""COMPUTED_VALUE"""),"VD017")</f>
        <v>VD017</v>
      </c>
      <c r="C761" s="1">
        <f>IFERROR(__xludf.DUMMYFUNCTION("""COMPUTED_VALUE"""),8.0)</f>
        <v>8</v>
      </c>
      <c r="D761" s="1">
        <f>IFERROR(__xludf.DUMMYFUNCTION("""COMPUTED_VALUE"""),2223.6)</f>
        <v>2223.6</v>
      </c>
    </row>
    <row r="762">
      <c r="A762" s="1" t="str">
        <f>IFERROR(__xludf.DUMMYFUNCTION("""COMPUTED_VALUE"""),"PR007")</f>
        <v>PR007</v>
      </c>
      <c r="B762" s="1" t="str">
        <f>IFERROR(__xludf.DUMMYFUNCTION("""COMPUTED_VALUE"""),"VD027")</f>
        <v>VD027</v>
      </c>
      <c r="C762" s="1">
        <f>IFERROR(__xludf.DUMMYFUNCTION("""COMPUTED_VALUE"""),18.0)</f>
        <v>18</v>
      </c>
      <c r="D762" s="1">
        <f>IFERROR(__xludf.DUMMYFUNCTION("""COMPUTED_VALUE"""),1592.59)</f>
        <v>1592.59</v>
      </c>
    </row>
    <row r="763">
      <c r="A763" s="1" t="str">
        <f>IFERROR(__xludf.DUMMYFUNCTION("""COMPUTED_VALUE"""),"PR023")</f>
        <v>PR023</v>
      </c>
      <c r="B763" s="1" t="str">
        <f>IFERROR(__xludf.DUMMYFUNCTION("""COMPUTED_VALUE"""),"VD044")</f>
        <v>VD044</v>
      </c>
      <c r="C763" s="1">
        <f>IFERROR(__xludf.DUMMYFUNCTION("""COMPUTED_VALUE"""),7.0)</f>
        <v>7</v>
      </c>
      <c r="D763" s="1">
        <f>IFERROR(__xludf.DUMMYFUNCTION("""COMPUTED_VALUE"""),1784.29)</f>
        <v>1784.29</v>
      </c>
    </row>
    <row r="764">
      <c r="A764" s="1" t="str">
        <f>IFERROR(__xludf.DUMMYFUNCTION("""COMPUTED_VALUE"""),"PR003")</f>
        <v>PR003</v>
      </c>
      <c r="B764" s="1" t="str">
        <f>IFERROR(__xludf.DUMMYFUNCTION("""COMPUTED_VALUE"""),"VD011")</f>
        <v>VD011</v>
      </c>
      <c r="C764" s="1">
        <f>IFERROR(__xludf.DUMMYFUNCTION("""COMPUTED_VALUE"""),2.0)</f>
        <v>2</v>
      </c>
      <c r="D764" s="1">
        <f>IFERROR(__xludf.DUMMYFUNCTION("""COMPUTED_VALUE"""),143.22)</f>
        <v>143.22</v>
      </c>
    </row>
    <row r="765">
      <c r="A765" s="1" t="str">
        <f>IFERROR(__xludf.DUMMYFUNCTION("""COMPUTED_VALUE"""),"PR006")</f>
        <v>PR006</v>
      </c>
      <c r="B765" s="1" t="str">
        <f>IFERROR(__xludf.DUMMYFUNCTION("""COMPUTED_VALUE"""),"VD039")</f>
        <v>VD039</v>
      </c>
      <c r="C765" s="1">
        <f>IFERROR(__xludf.DUMMYFUNCTION("""COMPUTED_VALUE"""),10.0)</f>
        <v>10</v>
      </c>
      <c r="D765" s="1">
        <f>IFERROR(__xludf.DUMMYFUNCTION("""COMPUTED_VALUE"""),402.99)</f>
        <v>402.99</v>
      </c>
    </row>
    <row r="766">
      <c r="A766" s="1" t="str">
        <f>IFERROR(__xludf.DUMMYFUNCTION("""COMPUTED_VALUE"""),"PR014")</f>
        <v>PR014</v>
      </c>
      <c r="B766" s="1" t="str">
        <f>IFERROR(__xludf.DUMMYFUNCTION("""COMPUTED_VALUE"""),"VD039")</f>
        <v>VD039</v>
      </c>
      <c r="C766" s="1">
        <f>IFERROR(__xludf.DUMMYFUNCTION("""COMPUTED_VALUE"""),7.0)</f>
        <v>7</v>
      </c>
      <c r="D766" s="1">
        <f>IFERROR(__xludf.DUMMYFUNCTION("""COMPUTED_VALUE"""),304.44)</f>
        <v>304.44</v>
      </c>
    </row>
    <row r="767">
      <c r="A767" s="1" t="str">
        <f>IFERROR(__xludf.DUMMYFUNCTION("""COMPUTED_VALUE"""),"PR033")</f>
        <v>PR033</v>
      </c>
      <c r="B767" s="1" t="str">
        <f>IFERROR(__xludf.DUMMYFUNCTION("""COMPUTED_VALUE"""),"VD042")</f>
        <v>VD042</v>
      </c>
      <c r="C767" s="1">
        <f>IFERROR(__xludf.DUMMYFUNCTION("""COMPUTED_VALUE"""),9.0)</f>
        <v>9</v>
      </c>
      <c r="D767" s="1">
        <f>IFERROR(__xludf.DUMMYFUNCTION("""COMPUTED_VALUE"""),2409.27)</f>
        <v>2409.27</v>
      </c>
    </row>
    <row r="768">
      <c r="A768" s="1" t="str">
        <f>IFERROR(__xludf.DUMMYFUNCTION("""COMPUTED_VALUE"""),"PR017")</f>
        <v>PR017</v>
      </c>
      <c r="B768" s="1" t="str">
        <f>IFERROR(__xludf.DUMMYFUNCTION("""COMPUTED_VALUE"""),"VD022")</f>
        <v>VD022</v>
      </c>
      <c r="C768" s="1">
        <f>IFERROR(__xludf.DUMMYFUNCTION("""COMPUTED_VALUE"""),2.0)</f>
        <v>2</v>
      </c>
      <c r="D768" s="1">
        <f>IFERROR(__xludf.DUMMYFUNCTION("""COMPUTED_VALUE"""),63.39)</f>
        <v>63.39</v>
      </c>
    </row>
    <row r="769">
      <c r="A769" s="1" t="str">
        <f>IFERROR(__xludf.DUMMYFUNCTION("""COMPUTED_VALUE"""),"PR038")</f>
        <v>PR038</v>
      </c>
      <c r="B769" s="1" t="str">
        <f>IFERROR(__xludf.DUMMYFUNCTION("""COMPUTED_VALUE"""),"VD010")</f>
        <v>VD010</v>
      </c>
      <c r="C769" s="1">
        <f>IFERROR(__xludf.DUMMYFUNCTION("""COMPUTED_VALUE"""),7.0)</f>
        <v>7</v>
      </c>
      <c r="D769" s="1">
        <f>IFERROR(__xludf.DUMMYFUNCTION("""COMPUTED_VALUE"""),1070.32)</f>
        <v>1070.32</v>
      </c>
    </row>
    <row r="770">
      <c r="A770" s="1" t="str">
        <f>IFERROR(__xludf.DUMMYFUNCTION("""COMPUTED_VALUE"""),"PR020")</f>
        <v>PR020</v>
      </c>
      <c r="B770" s="1" t="str">
        <f>IFERROR(__xludf.DUMMYFUNCTION("""COMPUTED_VALUE"""),"VD038")</f>
        <v>VD038</v>
      </c>
      <c r="C770" s="1">
        <f>IFERROR(__xludf.DUMMYFUNCTION("""COMPUTED_VALUE"""),5.0)</f>
        <v>5</v>
      </c>
      <c r="D770" s="1">
        <f>IFERROR(__xludf.DUMMYFUNCTION("""COMPUTED_VALUE"""),1589.47)</f>
        <v>1589.47</v>
      </c>
    </row>
    <row r="771">
      <c r="A771" s="1" t="str">
        <f>IFERROR(__xludf.DUMMYFUNCTION("""COMPUTED_VALUE"""),"PR005")</f>
        <v>PR005</v>
      </c>
      <c r="B771" s="1" t="str">
        <f>IFERROR(__xludf.DUMMYFUNCTION("""COMPUTED_VALUE"""),"VD047")</f>
        <v>VD047</v>
      </c>
      <c r="C771" s="1">
        <f>IFERROR(__xludf.DUMMYFUNCTION("""COMPUTED_VALUE"""),3.0)</f>
        <v>3</v>
      </c>
      <c r="D771" s="1">
        <f>IFERROR(__xludf.DUMMYFUNCTION("""COMPUTED_VALUE"""),849.87)</f>
        <v>849.87</v>
      </c>
    </row>
    <row r="772">
      <c r="A772" s="1" t="str">
        <f>IFERROR(__xludf.DUMMYFUNCTION("""COMPUTED_VALUE"""),"PR058")</f>
        <v>PR058</v>
      </c>
      <c r="B772" s="1" t="str">
        <f>IFERROR(__xludf.DUMMYFUNCTION("""COMPUTED_VALUE"""),"VD014")</f>
        <v>VD014</v>
      </c>
      <c r="C772" s="1">
        <f>IFERROR(__xludf.DUMMYFUNCTION("""COMPUTED_VALUE"""),1.0)</f>
        <v>1</v>
      </c>
      <c r="D772" s="1">
        <f>IFERROR(__xludf.DUMMYFUNCTION("""COMPUTED_VALUE"""),190.8)</f>
        <v>190.8</v>
      </c>
    </row>
    <row r="773">
      <c r="A773" s="1" t="str">
        <f>IFERROR(__xludf.DUMMYFUNCTION("""COMPUTED_VALUE"""),"PR033")</f>
        <v>PR033</v>
      </c>
      <c r="B773" s="1" t="str">
        <f>IFERROR(__xludf.DUMMYFUNCTION("""COMPUTED_VALUE"""),"VD049")</f>
        <v>VD049</v>
      </c>
      <c r="C773" s="1">
        <f>IFERROR(__xludf.DUMMYFUNCTION("""COMPUTED_VALUE"""),2.0)</f>
        <v>2</v>
      </c>
      <c r="D773" s="1">
        <f>IFERROR(__xludf.DUMMYFUNCTION("""COMPUTED_VALUE"""),571.78)</f>
        <v>571.78</v>
      </c>
    </row>
    <row r="774">
      <c r="A774" s="1" t="str">
        <f>IFERROR(__xludf.DUMMYFUNCTION("""COMPUTED_VALUE"""),"PR049")</f>
        <v>PR049</v>
      </c>
      <c r="B774" s="1" t="str">
        <f>IFERROR(__xludf.DUMMYFUNCTION("""COMPUTED_VALUE"""),"VD047")</f>
        <v>VD047</v>
      </c>
      <c r="C774" s="1">
        <f>IFERROR(__xludf.DUMMYFUNCTION("""COMPUTED_VALUE"""),1.0)</f>
        <v>1</v>
      </c>
      <c r="D774" s="1">
        <f>IFERROR(__xludf.DUMMYFUNCTION("""COMPUTED_VALUE"""),34.55)</f>
        <v>34.55</v>
      </c>
    </row>
    <row r="775">
      <c r="A775" s="1" t="str">
        <f>IFERROR(__xludf.DUMMYFUNCTION("""COMPUTED_VALUE"""),"PR028")</f>
        <v>PR028</v>
      </c>
      <c r="B775" s="1" t="str">
        <f>IFERROR(__xludf.DUMMYFUNCTION("""COMPUTED_VALUE"""),"VD024")</f>
        <v>VD024</v>
      </c>
      <c r="C775" s="1">
        <f>IFERROR(__xludf.DUMMYFUNCTION("""COMPUTED_VALUE"""),9.0)</f>
        <v>9</v>
      </c>
      <c r="D775" s="1">
        <f>IFERROR(__xludf.DUMMYFUNCTION("""COMPUTED_VALUE"""),2474.01)</f>
        <v>2474.01</v>
      </c>
    </row>
    <row r="776">
      <c r="A776" s="1" t="str">
        <f>IFERROR(__xludf.DUMMYFUNCTION("""COMPUTED_VALUE"""),"PR034")</f>
        <v>PR034</v>
      </c>
      <c r="B776" s="1" t="str">
        <f>IFERROR(__xludf.DUMMYFUNCTION("""COMPUTED_VALUE"""),"VD029")</f>
        <v>VD029</v>
      </c>
      <c r="C776" s="1">
        <f>IFERROR(__xludf.DUMMYFUNCTION("""COMPUTED_VALUE"""),8.0)</f>
        <v>8</v>
      </c>
      <c r="D776" s="1">
        <f>IFERROR(__xludf.DUMMYFUNCTION("""COMPUTED_VALUE"""),769.54)</f>
        <v>769.54</v>
      </c>
    </row>
    <row r="777">
      <c r="A777" s="1" t="str">
        <f>IFERROR(__xludf.DUMMYFUNCTION("""COMPUTED_VALUE"""),"PR057")</f>
        <v>PR057</v>
      </c>
      <c r="B777" s="1" t="str">
        <f>IFERROR(__xludf.DUMMYFUNCTION("""COMPUTED_VALUE"""),"VD024")</f>
        <v>VD024</v>
      </c>
      <c r="C777" s="1">
        <f>IFERROR(__xludf.DUMMYFUNCTION("""COMPUTED_VALUE"""),8.0)</f>
        <v>8</v>
      </c>
      <c r="D777" s="1">
        <f>IFERROR(__xludf.DUMMYFUNCTION("""COMPUTED_VALUE"""),726.39)</f>
        <v>726.39</v>
      </c>
    </row>
    <row r="778">
      <c r="A778" s="1" t="str">
        <f>IFERROR(__xludf.DUMMYFUNCTION("""COMPUTED_VALUE"""),"PR007")</f>
        <v>PR007</v>
      </c>
      <c r="B778" s="1" t="str">
        <f>IFERROR(__xludf.DUMMYFUNCTION("""COMPUTED_VALUE"""),"VD048")</f>
        <v>VD048</v>
      </c>
      <c r="C778" s="1">
        <f>IFERROR(__xludf.DUMMYFUNCTION("""COMPUTED_VALUE"""),14.0)</f>
        <v>14</v>
      </c>
      <c r="D778" s="1">
        <f>IFERROR(__xludf.DUMMYFUNCTION("""COMPUTED_VALUE"""),1322.86)</f>
        <v>1322.86</v>
      </c>
    </row>
    <row r="779">
      <c r="A779" s="1" t="str">
        <f>IFERROR(__xludf.DUMMYFUNCTION("""COMPUTED_VALUE"""),"PR054")</f>
        <v>PR054</v>
      </c>
      <c r="B779" s="1" t="str">
        <f>IFERROR(__xludf.DUMMYFUNCTION("""COMPUTED_VALUE"""),"VD036")</f>
        <v>VD036</v>
      </c>
      <c r="C779" s="1">
        <f>IFERROR(__xludf.DUMMYFUNCTION("""COMPUTED_VALUE"""),6.0)</f>
        <v>6</v>
      </c>
      <c r="D779" s="1">
        <f>IFERROR(__xludf.DUMMYFUNCTION("""COMPUTED_VALUE"""),317.36)</f>
        <v>317.36</v>
      </c>
    </row>
    <row r="780">
      <c r="A780" s="1" t="str">
        <f>IFERROR(__xludf.DUMMYFUNCTION("""COMPUTED_VALUE"""),"PR026")</f>
        <v>PR026</v>
      </c>
      <c r="B780" s="1" t="str">
        <f>IFERROR(__xludf.DUMMYFUNCTION("""COMPUTED_VALUE"""),"VD016")</f>
        <v>VD016</v>
      </c>
      <c r="C780" s="1">
        <f>IFERROR(__xludf.DUMMYFUNCTION("""COMPUTED_VALUE"""),6.0)</f>
        <v>6</v>
      </c>
      <c r="D780" s="1">
        <f>IFERROR(__xludf.DUMMYFUNCTION("""COMPUTED_VALUE"""),2183.38)</f>
        <v>2183.38</v>
      </c>
    </row>
    <row r="781">
      <c r="A781" s="1" t="str">
        <f>IFERROR(__xludf.DUMMYFUNCTION("""COMPUTED_VALUE"""),"PR024")</f>
        <v>PR024</v>
      </c>
      <c r="B781" s="1" t="str">
        <f>IFERROR(__xludf.DUMMYFUNCTION("""COMPUTED_VALUE"""),"VD037")</f>
        <v>VD037</v>
      </c>
      <c r="C781" s="1">
        <f>IFERROR(__xludf.DUMMYFUNCTION("""COMPUTED_VALUE"""),5.0)</f>
        <v>5</v>
      </c>
      <c r="D781" s="1">
        <f>IFERROR(__xludf.DUMMYFUNCTION("""COMPUTED_VALUE"""),1429.45)</f>
        <v>1429.45</v>
      </c>
    </row>
    <row r="782">
      <c r="A782" s="1" t="str">
        <f>IFERROR(__xludf.DUMMYFUNCTION("""COMPUTED_VALUE"""),"PR044")</f>
        <v>PR044</v>
      </c>
      <c r="B782" s="1" t="str">
        <f>IFERROR(__xludf.DUMMYFUNCTION("""COMPUTED_VALUE"""),"VD045")</f>
        <v>VD045</v>
      </c>
      <c r="C782" s="1">
        <f>IFERROR(__xludf.DUMMYFUNCTION("""COMPUTED_VALUE"""),8.0)</f>
        <v>8</v>
      </c>
      <c r="D782" s="1">
        <f>IFERROR(__xludf.DUMMYFUNCTION("""COMPUTED_VALUE"""),620.6)</f>
        <v>620.6</v>
      </c>
    </row>
    <row r="783">
      <c r="A783" s="1" t="str">
        <f>IFERROR(__xludf.DUMMYFUNCTION("""COMPUTED_VALUE"""),"PR045")</f>
        <v>PR045</v>
      </c>
      <c r="B783" s="1" t="str">
        <f>IFERROR(__xludf.DUMMYFUNCTION("""COMPUTED_VALUE"""),"VD011")</f>
        <v>VD011</v>
      </c>
      <c r="C783" s="1">
        <f>IFERROR(__xludf.DUMMYFUNCTION("""COMPUTED_VALUE"""),12.0)</f>
        <v>12</v>
      </c>
      <c r="D783" s="1">
        <f>IFERROR(__xludf.DUMMYFUNCTION("""COMPUTED_VALUE"""),887.4)</f>
        <v>887.4</v>
      </c>
    </row>
    <row r="784">
      <c r="A784" s="1" t="str">
        <f>IFERROR(__xludf.DUMMYFUNCTION("""COMPUTED_VALUE"""),"PR060")</f>
        <v>PR060</v>
      </c>
      <c r="B784" s="1" t="str">
        <f>IFERROR(__xludf.DUMMYFUNCTION("""COMPUTED_VALUE"""),"VD037")</f>
        <v>VD037</v>
      </c>
      <c r="C784" s="1">
        <f>IFERROR(__xludf.DUMMYFUNCTION("""COMPUTED_VALUE"""),8.0)</f>
        <v>8</v>
      </c>
      <c r="D784" s="1">
        <f>IFERROR(__xludf.DUMMYFUNCTION("""COMPUTED_VALUE"""),1483.2)</f>
        <v>1483.2</v>
      </c>
    </row>
    <row r="785">
      <c r="A785" s="1" t="str">
        <f>IFERROR(__xludf.DUMMYFUNCTION("""COMPUTED_VALUE"""),"PR024")</f>
        <v>PR024</v>
      </c>
      <c r="B785" s="1" t="str">
        <f>IFERROR(__xludf.DUMMYFUNCTION("""COMPUTED_VALUE"""),"VD048")</f>
        <v>VD048</v>
      </c>
      <c r="C785" s="1">
        <f>IFERROR(__xludf.DUMMYFUNCTION("""COMPUTED_VALUE"""),2.0)</f>
        <v>2</v>
      </c>
      <c r="D785" s="1">
        <f>IFERROR(__xludf.DUMMYFUNCTION("""COMPUTED_VALUE"""),525.0)</f>
        <v>525</v>
      </c>
    </row>
    <row r="786">
      <c r="A786" s="1" t="str">
        <f>IFERROR(__xludf.DUMMYFUNCTION("""COMPUTED_VALUE"""),"PR056")</f>
        <v>PR056</v>
      </c>
      <c r="B786" s="1" t="str">
        <f>IFERROR(__xludf.DUMMYFUNCTION("""COMPUTED_VALUE"""),"VD038")</f>
        <v>VD038</v>
      </c>
      <c r="C786" s="1">
        <f>IFERROR(__xludf.DUMMYFUNCTION("""COMPUTED_VALUE"""),9.0)</f>
        <v>9</v>
      </c>
      <c r="D786" s="1">
        <f>IFERROR(__xludf.DUMMYFUNCTION("""COMPUTED_VALUE"""),825.28)</f>
        <v>825.28</v>
      </c>
    </row>
    <row r="787">
      <c r="A787" s="1" t="str">
        <f>IFERROR(__xludf.DUMMYFUNCTION("""COMPUTED_VALUE"""),"PR005")</f>
        <v>PR005</v>
      </c>
      <c r="B787" s="1" t="str">
        <f>IFERROR(__xludf.DUMMYFUNCTION("""COMPUTED_VALUE"""),"VD029")</f>
        <v>VD029</v>
      </c>
      <c r="C787" s="1">
        <f>IFERROR(__xludf.DUMMYFUNCTION("""COMPUTED_VALUE"""),2.0)</f>
        <v>2</v>
      </c>
      <c r="D787" s="1">
        <f>IFERROR(__xludf.DUMMYFUNCTION("""COMPUTED_VALUE"""),525.0)</f>
        <v>525</v>
      </c>
    </row>
    <row r="788">
      <c r="A788" s="1" t="str">
        <f>IFERROR(__xludf.DUMMYFUNCTION("""COMPUTED_VALUE"""),"PR042")</f>
        <v>PR042</v>
      </c>
      <c r="B788" s="1" t="str">
        <f>IFERROR(__xludf.DUMMYFUNCTION("""COMPUTED_VALUE"""),"VD036")</f>
        <v>VD036</v>
      </c>
      <c r="C788" s="1">
        <f>IFERROR(__xludf.DUMMYFUNCTION("""COMPUTED_VALUE"""),9.0)</f>
        <v>9</v>
      </c>
      <c r="D788" s="1">
        <f>IFERROR(__xludf.DUMMYFUNCTION("""COMPUTED_VALUE"""),533.63)</f>
        <v>533.63</v>
      </c>
    </row>
    <row r="789">
      <c r="A789" s="1" t="str">
        <f>IFERROR(__xludf.DUMMYFUNCTION("""COMPUTED_VALUE"""),"PR039")</f>
        <v>PR039</v>
      </c>
      <c r="B789" s="1" t="str">
        <f>IFERROR(__xludf.DUMMYFUNCTION("""COMPUTED_VALUE"""),"VD013")</f>
        <v>VD013</v>
      </c>
      <c r="C789" s="1">
        <f>IFERROR(__xludf.DUMMYFUNCTION("""COMPUTED_VALUE"""),9.0)</f>
        <v>9</v>
      </c>
      <c r="D789" s="1">
        <f>IFERROR(__xludf.DUMMYFUNCTION("""COMPUTED_VALUE"""),1379.7)</f>
        <v>1379.7</v>
      </c>
    </row>
    <row r="790">
      <c r="A790" s="1" t="str">
        <f>IFERROR(__xludf.DUMMYFUNCTION("""COMPUTED_VALUE"""),"PR021")</f>
        <v>PR021</v>
      </c>
      <c r="B790" s="1" t="str">
        <f>IFERROR(__xludf.DUMMYFUNCTION("""COMPUTED_VALUE"""),"VD027")</f>
        <v>VD027</v>
      </c>
      <c r="C790" s="1">
        <f>IFERROR(__xludf.DUMMYFUNCTION("""COMPUTED_VALUE"""),4.0)</f>
        <v>4</v>
      </c>
      <c r="D790" s="1">
        <f>IFERROR(__xludf.DUMMYFUNCTION("""COMPUTED_VALUE"""),1260.06)</f>
        <v>1260.06</v>
      </c>
    </row>
    <row r="791">
      <c r="A791" s="1" t="str">
        <f>IFERROR(__xludf.DUMMYFUNCTION("""COMPUTED_VALUE"""),"PR047")</f>
        <v>PR047</v>
      </c>
      <c r="B791" s="1" t="str">
        <f>IFERROR(__xludf.DUMMYFUNCTION("""COMPUTED_VALUE"""),"VD030")</f>
        <v>VD030</v>
      </c>
      <c r="C791" s="1">
        <f>IFERROR(__xludf.DUMMYFUNCTION("""COMPUTED_VALUE"""),10.0)</f>
        <v>10</v>
      </c>
      <c r="D791" s="1">
        <f>IFERROR(__xludf.DUMMYFUNCTION("""COMPUTED_VALUE"""),3043.95)</f>
        <v>3043.95</v>
      </c>
    </row>
    <row r="792">
      <c r="A792" s="1" t="str">
        <f>IFERROR(__xludf.DUMMYFUNCTION("""COMPUTED_VALUE"""),"PR056")</f>
        <v>PR056</v>
      </c>
      <c r="B792" s="1" t="str">
        <f>IFERROR(__xludf.DUMMYFUNCTION("""COMPUTED_VALUE"""),"VD015")</f>
        <v>VD015</v>
      </c>
      <c r="C792" s="1">
        <f>IFERROR(__xludf.DUMMYFUNCTION("""COMPUTED_VALUE"""),7.0)</f>
        <v>7</v>
      </c>
      <c r="D792" s="1">
        <f>IFERROR(__xludf.DUMMYFUNCTION("""COMPUTED_VALUE"""),635.59)</f>
        <v>635.59</v>
      </c>
    </row>
    <row r="793">
      <c r="A793" s="1" t="str">
        <f>IFERROR(__xludf.DUMMYFUNCTION("""COMPUTED_VALUE"""),"PR057")</f>
        <v>PR057</v>
      </c>
      <c r="B793" s="1" t="str">
        <f>IFERROR(__xludf.DUMMYFUNCTION("""COMPUTED_VALUE"""),"VD010")</f>
        <v>VD010</v>
      </c>
      <c r="C793" s="1">
        <f>IFERROR(__xludf.DUMMYFUNCTION("""COMPUTED_VALUE"""),4.0)</f>
        <v>4</v>
      </c>
      <c r="D793" s="1">
        <f>IFERROR(__xludf.DUMMYFUNCTION("""COMPUTED_VALUE"""),381.18)</f>
        <v>381.18</v>
      </c>
    </row>
    <row r="794">
      <c r="A794" s="1" t="str">
        <f>IFERROR(__xludf.DUMMYFUNCTION("""COMPUTED_VALUE"""),"PR023")</f>
        <v>PR023</v>
      </c>
      <c r="B794" s="1" t="str">
        <f>IFERROR(__xludf.DUMMYFUNCTION("""COMPUTED_VALUE"""),"VD021")</f>
        <v>VD021</v>
      </c>
      <c r="C794" s="1">
        <f>IFERROR(__xludf.DUMMYFUNCTION("""COMPUTED_VALUE"""),6.0)</f>
        <v>6</v>
      </c>
      <c r="D794" s="1">
        <f>IFERROR(__xludf.DUMMYFUNCTION("""COMPUTED_VALUE"""),1604.36)</f>
        <v>1604.36</v>
      </c>
    </row>
    <row r="795">
      <c r="A795" s="1" t="str">
        <f>IFERROR(__xludf.DUMMYFUNCTION("""COMPUTED_VALUE"""),"PR001")</f>
        <v>PR001</v>
      </c>
      <c r="B795" s="1" t="str">
        <f>IFERROR(__xludf.DUMMYFUNCTION("""COMPUTED_VALUE"""),"VD036")</f>
        <v>VD036</v>
      </c>
      <c r="C795" s="1">
        <f>IFERROR(__xludf.DUMMYFUNCTION("""COMPUTED_VALUE"""),8.0)</f>
        <v>8</v>
      </c>
      <c r="D795" s="1">
        <f>IFERROR(__xludf.DUMMYFUNCTION("""COMPUTED_VALUE"""),574.65)</f>
        <v>574.65</v>
      </c>
    </row>
    <row r="796">
      <c r="A796" s="1" t="str">
        <f>IFERROR(__xludf.DUMMYFUNCTION("""COMPUTED_VALUE"""),"PR043")</f>
        <v>PR043</v>
      </c>
      <c r="B796" s="1" t="str">
        <f>IFERROR(__xludf.DUMMYFUNCTION("""COMPUTED_VALUE"""),"VD040")</f>
        <v>VD040</v>
      </c>
      <c r="C796" s="1">
        <f>IFERROR(__xludf.DUMMYFUNCTION("""COMPUTED_VALUE"""),2.0)</f>
        <v>2</v>
      </c>
      <c r="D796" s="1">
        <f>IFERROR(__xludf.DUMMYFUNCTION("""COMPUTED_VALUE"""),155.15)</f>
        <v>155.15</v>
      </c>
    </row>
    <row r="797">
      <c r="A797" s="1" t="str">
        <f>IFERROR(__xludf.DUMMYFUNCTION("""COMPUTED_VALUE"""),"PR058")</f>
        <v>PR058</v>
      </c>
      <c r="B797" s="1" t="str">
        <f>IFERROR(__xludf.DUMMYFUNCTION("""COMPUTED_VALUE"""),"VD030")</f>
        <v>VD030</v>
      </c>
      <c r="C797" s="1">
        <f>IFERROR(__xludf.DUMMYFUNCTION("""COMPUTED_VALUE"""),4.0)</f>
        <v>4</v>
      </c>
      <c r="D797" s="1">
        <f>IFERROR(__xludf.DUMMYFUNCTION("""COMPUTED_VALUE"""),720.0)</f>
        <v>720</v>
      </c>
    </row>
    <row r="798">
      <c r="A798" s="1" t="str">
        <f>IFERROR(__xludf.DUMMYFUNCTION("""COMPUTED_VALUE"""),"PR023")</f>
        <v>PR023</v>
      </c>
      <c r="B798" s="1" t="str">
        <f>IFERROR(__xludf.DUMMYFUNCTION("""COMPUTED_VALUE"""),"VD039")</f>
        <v>VD039</v>
      </c>
      <c r="C798" s="1">
        <f>IFERROR(__xludf.DUMMYFUNCTION("""COMPUTED_VALUE"""),9.0)</f>
        <v>9</v>
      </c>
      <c r="D798" s="1">
        <f>IFERROR(__xludf.DUMMYFUNCTION("""COMPUTED_VALUE"""),2474.01)</f>
        <v>2474.01</v>
      </c>
    </row>
    <row r="799">
      <c r="A799" s="1" t="str">
        <f>IFERROR(__xludf.DUMMYFUNCTION("""COMPUTED_VALUE"""),"PR012")</f>
        <v>PR012</v>
      </c>
      <c r="B799" s="1" t="str">
        <f>IFERROR(__xludf.DUMMYFUNCTION("""COMPUTED_VALUE"""),"VD032")</f>
        <v>VD032</v>
      </c>
      <c r="C799" s="1">
        <f>IFERROR(__xludf.DUMMYFUNCTION("""COMPUTED_VALUE"""),12.0)</f>
        <v>12</v>
      </c>
      <c r="D799" s="1">
        <f>IFERROR(__xludf.DUMMYFUNCTION("""COMPUTED_VALUE"""),610.27)</f>
        <v>610.27</v>
      </c>
    </row>
    <row r="800">
      <c r="A800" s="1" t="str">
        <f>IFERROR(__xludf.DUMMYFUNCTION("""COMPUTED_VALUE"""),"PR026")</f>
        <v>PR026</v>
      </c>
      <c r="B800" s="1" t="str">
        <f>IFERROR(__xludf.DUMMYFUNCTION("""COMPUTED_VALUE"""),"VD043")</f>
        <v>VD043</v>
      </c>
      <c r="C800" s="1">
        <f>IFERROR(__xludf.DUMMYFUNCTION("""COMPUTED_VALUE"""),2.0)</f>
        <v>2</v>
      </c>
      <c r="D800" s="1">
        <f>IFERROR(__xludf.DUMMYFUNCTION("""COMPUTED_VALUE"""),769.78)</f>
        <v>769.78</v>
      </c>
    </row>
    <row r="801">
      <c r="A801" s="1" t="str">
        <f>IFERROR(__xludf.DUMMYFUNCTION("""COMPUTED_VALUE"""),"PR002")</f>
        <v>PR002</v>
      </c>
      <c r="B801" s="1" t="str">
        <f>IFERROR(__xludf.DUMMYFUNCTION("""COMPUTED_VALUE"""),"VD036")</f>
        <v>VD036</v>
      </c>
      <c r="C801" s="1">
        <f>IFERROR(__xludf.DUMMYFUNCTION("""COMPUTED_VALUE"""),8.0)</f>
        <v>8</v>
      </c>
      <c r="D801" s="1">
        <f>IFERROR(__xludf.DUMMYFUNCTION("""COMPUTED_VALUE"""),587.16)</f>
        <v>587.16</v>
      </c>
    </row>
    <row r="802">
      <c r="A802" s="1" t="str">
        <f>IFERROR(__xludf.DUMMYFUNCTION("""COMPUTED_VALUE"""),"PR028")</f>
        <v>PR028</v>
      </c>
      <c r="B802" s="1" t="str">
        <f>IFERROR(__xludf.DUMMYFUNCTION("""COMPUTED_VALUE"""),"VD043")</f>
        <v>VD043</v>
      </c>
      <c r="C802" s="1">
        <f>IFERROR(__xludf.DUMMYFUNCTION("""COMPUTED_VALUE"""),4.0)</f>
        <v>4</v>
      </c>
      <c r="D802" s="1">
        <f>IFERROR(__xludf.DUMMYFUNCTION("""COMPUTED_VALUE"""),1049.58)</f>
        <v>1049.58</v>
      </c>
    </row>
    <row r="803">
      <c r="A803" s="1" t="str">
        <f>IFERROR(__xludf.DUMMYFUNCTION("""COMPUTED_VALUE"""),"PR044")</f>
        <v>PR044</v>
      </c>
      <c r="B803" s="1" t="str">
        <f>IFERROR(__xludf.DUMMYFUNCTION("""COMPUTED_VALUE"""),"VD021")</f>
        <v>VD021</v>
      </c>
      <c r="C803" s="1">
        <f>IFERROR(__xludf.DUMMYFUNCTION("""COMPUTED_VALUE"""),6.0)</f>
        <v>6</v>
      </c>
      <c r="D803" s="1">
        <f>IFERROR(__xludf.DUMMYFUNCTION("""COMPUTED_VALUE"""),439.35)</f>
        <v>439.35</v>
      </c>
    </row>
    <row r="804">
      <c r="A804" s="1" t="str">
        <f>IFERROR(__xludf.DUMMYFUNCTION("""COMPUTED_VALUE"""),"PR017")</f>
        <v>PR017</v>
      </c>
      <c r="B804" s="1" t="str">
        <f>IFERROR(__xludf.DUMMYFUNCTION("""COMPUTED_VALUE"""),"VD026")</f>
        <v>VD026</v>
      </c>
      <c r="C804" s="1">
        <f>IFERROR(__xludf.DUMMYFUNCTION("""COMPUTED_VALUE"""),2.0)</f>
        <v>2</v>
      </c>
      <c r="D804" s="1">
        <f>IFERROR(__xludf.DUMMYFUNCTION("""COMPUTED_VALUE"""),65.18)</f>
        <v>65.18</v>
      </c>
    </row>
    <row r="805">
      <c r="A805" s="1" t="str">
        <f>IFERROR(__xludf.DUMMYFUNCTION("""COMPUTED_VALUE"""),"PR008")</f>
        <v>PR008</v>
      </c>
      <c r="B805" s="1" t="str">
        <f>IFERROR(__xludf.DUMMYFUNCTION("""COMPUTED_VALUE"""),"VD027")</f>
        <v>VD027</v>
      </c>
      <c r="C805" s="1">
        <f>IFERROR(__xludf.DUMMYFUNCTION("""COMPUTED_VALUE"""),6.0)</f>
        <v>6</v>
      </c>
      <c r="D805" s="1">
        <f>IFERROR(__xludf.DUMMYFUNCTION("""COMPUTED_VALUE"""),593.34)</f>
        <v>593.34</v>
      </c>
    </row>
    <row r="806">
      <c r="A806" s="1" t="str">
        <f>IFERROR(__xludf.DUMMYFUNCTION("""COMPUTED_VALUE"""),"PR041")</f>
        <v>PR041</v>
      </c>
      <c r="B806" s="1" t="str">
        <f>IFERROR(__xludf.DUMMYFUNCTION("""COMPUTED_VALUE"""),"VD018")</f>
        <v>VD018</v>
      </c>
      <c r="C806" s="1">
        <f>IFERROR(__xludf.DUMMYFUNCTION("""COMPUTED_VALUE"""),3.0)</f>
        <v>3</v>
      </c>
      <c r="D806" s="1">
        <f>IFERROR(__xludf.DUMMYFUNCTION("""COMPUTED_VALUE"""),176.23)</f>
        <v>176.23</v>
      </c>
    </row>
    <row r="807">
      <c r="A807" s="1" t="str">
        <f>IFERROR(__xludf.DUMMYFUNCTION("""COMPUTED_VALUE"""),"PR012")</f>
        <v>PR012</v>
      </c>
      <c r="B807" s="1" t="str">
        <f>IFERROR(__xludf.DUMMYFUNCTION("""COMPUTED_VALUE"""),"VD013")</f>
        <v>VD013</v>
      </c>
      <c r="C807" s="1">
        <f>IFERROR(__xludf.DUMMYFUNCTION("""COMPUTED_VALUE"""),8.0)</f>
        <v>8</v>
      </c>
      <c r="D807" s="1">
        <f>IFERROR(__xludf.DUMMYFUNCTION("""COMPUTED_VALUE"""),402.94)</f>
        <v>402.94</v>
      </c>
    </row>
    <row r="808">
      <c r="A808" s="1" t="str">
        <f>IFERROR(__xludf.DUMMYFUNCTION("""COMPUTED_VALUE"""),"PR039")</f>
        <v>PR039</v>
      </c>
      <c r="B808" s="1" t="str">
        <f>IFERROR(__xludf.DUMMYFUNCTION("""COMPUTED_VALUE"""),"VD027")</f>
        <v>VD027</v>
      </c>
      <c r="C808" s="1">
        <f>IFERROR(__xludf.DUMMYFUNCTION("""COMPUTED_VALUE"""),2.0)</f>
        <v>2</v>
      </c>
      <c r="D808" s="1">
        <f>IFERROR(__xludf.DUMMYFUNCTION("""COMPUTED_VALUE"""),312.44)</f>
        <v>312.44</v>
      </c>
    </row>
    <row r="809">
      <c r="A809" s="1" t="str">
        <f>IFERROR(__xludf.DUMMYFUNCTION("""COMPUTED_VALUE"""),"PR054")</f>
        <v>PR054</v>
      </c>
      <c r="B809" s="1" t="str">
        <f>IFERROR(__xludf.DUMMYFUNCTION("""COMPUTED_VALUE"""),"VD036")</f>
        <v>VD036</v>
      </c>
      <c r="C809" s="1">
        <f>IFERROR(__xludf.DUMMYFUNCTION("""COMPUTED_VALUE"""),4.0)</f>
        <v>4</v>
      </c>
      <c r="D809" s="1">
        <f>IFERROR(__xludf.DUMMYFUNCTION("""COMPUTED_VALUE"""),205.59)</f>
        <v>205.59</v>
      </c>
    </row>
    <row r="810">
      <c r="A810" s="1" t="str">
        <f>IFERROR(__xludf.DUMMYFUNCTION("""COMPUTED_VALUE"""),"PR057")</f>
        <v>PR057</v>
      </c>
      <c r="B810" s="1" t="str">
        <f>IFERROR(__xludf.DUMMYFUNCTION("""COMPUTED_VALUE"""),"VD021")</f>
        <v>VD021</v>
      </c>
      <c r="C810" s="1">
        <f>IFERROR(__xludf.DUMMYFUNCTION("""COMPUTED_VALUE"""),6.0)</f>
        <v>6</v>
      </c>
      <c r="D810" s="1">
        <f>IFERROR(__xludf.DUMMYFUNCTION("""COMPUTED_VALUE"""),539.4)</f>
        <v>539.4</v>
      </c>
    </row>
    <row r="811">
      <c r="A811" s="1" t="str">
        <f>IFERROR(__xludf.DUMMYFUNCTION("""COMPUTED_VALUE"""),"PR013")</f>
        <v>PR013</v>
      </c>
      <c r="B811" s="1" t="str">
        <f>IFERROR(__xludf.DUMMYFUNCTION("""COMPUTED_VALUE"""),"VD010")</f>
        <v>VD010</v>
      </c>
      <c r="C811" s="1">
        <f>IFERROR(__xludf.DUMMYFUNCTION("""COMPUTED_VALUE"""),14.0)</f>
        <v>14</v>
      </c>
      <c r="D811" s="1">
        <f>IFERROR(__xludf.DUMMYFUNCTION("""COMPUTED_VALUE"""),558.6)</f>
        <v>558.6</v>
      </c>
    </row>
    <row r="812">
      <c r="A812" s="1" t="str">
        <f>IFERROR(__xludf.DUMMYFUNCTION("""COMPUTED_VALUE"""),"PR033")</f>
        <v>PR033</v>
      </c>
      <c r="B812" s="1" t="str">
        <f>IFERROR(__xludf.DUMMYFUNCTION("""COMPUTED_VALUE"""),"VD038")</f>
        <v>VD038</v>
      </c>
      <c r="C812" s="1">
        <f>IFERROR(__xludf.DUMMYFUNCTION("""COMPUTED_VALUE"""),4.0)</f>
        <v>4</v>
      </c>
      <c r="D812" s="1">
        <f>IFERROR(__xludf.DUMMYFUNCTION("""COMPUTED_VALUE"""),1050.0)</f>
        <v>1050</v>
      </c>
    </row>
    <row r="813">
      <c r="A813" s="1" t="str">
        <f>IFERROR(__xludf.DUMMYFUNCTION("""COMPUTED_VALUE"""),"PR009")</f>
        <v>PR009</v>
      </c>
      <c r="B813" s="1" t="str">
        <f>IFERROR(__xludf.DUMMYFUNCTION("""COMPUTED_VALUE"""),"VD012")</f>
        <v>VD012</v>
      </c>
      <c r="C813" s="1">
        <f>IFERROR(__xludf.DUMMYFUNCTION("""COMPUTED_VALUE"""),2.0)</f>
        <v>2</v>
      </c>
      <c r="D813" s="1">
        <f>IFERROR(__xludf.DUMMYFUNCTION("""COMPUTED_VALUE"""),187.66)</f>
        <v>187.66</v>
      </c>
    </row>
    <row r="814">
      <c r="A814" s="1" t="str">
        <f>IFERROR(__xludf.DUMMYFUNCTION("""COMPUTED_VALUE"""),"PR016")</f>
        <v>PR016</v>
      </c>
      <c r="B814" s="1" t="str">
        <f>IFERROR(__xludf.DUMMYFUNCTION("""COMPUTED_VALUE"""),"VD010")</f>
        <v>VD010</v>
      </c>
      <c r="C814" s="1">
        <f>IFERROR(__xludf.DUMMYFUNCTION("""COMPUTED_VALUE"""),4.0)</f>
        <v>4</v>
      </c>
      <c r="D814" s="1">
        <f>IFERROR(__xludf.DUMMYFUNCTION("""COMPUTED_VALUE"""),106.71)</f>
        <v>106.71</v>
      </c>
    </row>
    <row r="815">
      <c r="A815" s="1" t="str">
        <f>IFERROR(__xludf.DUMMYFUNCTION("""COMPUTED_VALUE"""),"PR023")</f>
        <v>PR023</v>
      </c>
      <c r="B815" s="1" t="str">
        <f>IFERROR(__xludf.DUMMYFUNCTION("""COMPUTED_VALUE"""),"VD018")</f>
        <v>VD018</v>
      </c>
      <c r="C815" s="1">
        <f>IFERROR(__xludf.DUMMYFUNCTION("""COMPUTED_VALUE"""),10.0)</f>
        <v>10</v>
      </c>
      <c r="D815" s="1">
        <f>IFERROR(__xludf.DUMMYFUNCTION("""COMPUTED_VALUE"""),2623.95)</f>
        <v>2623.95</v>
      </c>
    </row>
    <row r="816">
      <c r="A816" s="1" t="str">
        <f>IFERROR(__xludf.DUMMYFUNCTION("""COMPUTED_VALUE"""),"PR031")</f>
        <v>PR031</v>
      </c>
      <c r="B816" s="1" t="str">
        <f>IFERROR(__xludf.DUMMYFUNCTION("""COMPUTED_VALUE"""),"VD035")</f>
        <v>VD035</v>
      </c>
      <c r="C816" s="1">
        <f>IFERROR(__xludf.DUMMYFUNCTION("""COMPUTED_VALUE"""),10.0)</f>
        <v>10</v>
      </c>
      <c r="D816" s="1">
        <f>IFERROR(__xludf.DUMMYFUNCTION("""COMPUTED_VALUE"""),2646.0)</f>
        <v>2646</v>
      </c>
    </row>
    <row r="817">
      <c r="A817" s="1" t="str">
        <f>IFERROR(__xludf.DUMMYFUNCTION("""COMPUTED_VALUE"""),"PR024")</f>
        <v>PR024</v>
      </c>
      <c r="B817" s="1" t="str">
        <f>IFERROR(__xludf.DUMMYFUNCTION("""COMPUTED_VALUE"""),"VD031")</f>
        <v>VD031</v>
      </c>
      <c r="C817" s="1">
        <f>IFERROR(__xludf.DUMMYFUNCTION("""COMPUTED_VALUE"""),4.0)</f>
        <v>4</v>
      </c>
      <c r="D817" s="1">
        <f>IFERROR(__xludf.DUMMYFUNCTION("""COMPUTED_VALUE"""),1060.39)</f>
        <v>1060.39</v>
      </c>
    </row>
    <row r="818">
      <c r="A818" s="1" t="str">
        <f>IFERROR(__xludf.DUMMYFUNCTION("""COMPUTED_VALUE"""),"PR014")</f>
        <v>PR014</v>
      </c>
      <c r="B818" s="1" t="str">
        <f>IFERROR(__xludf.DUMMYFUNCTION("""COMPUTED_VALUE"""),"VD023")</f>
        <v>VD023</v>
      </c>
      <c r="C818" s="1">
        <f>IFERROR(__xludf.DUMMYFUNCTION("""COMPUTED_VALUE"""),4.0)</f>
        <v>4</v>
      </c>
      <c r="D818" s="1">
        <f>IFERROR(__xludf.DUMMYFUNCTION("""COMPUTED_VALUE"""),172.37)</f>
        <v>172.37</v>
      </c>
    </row>
    <row r="819">
      <c r="A819" s="1" t="str">
        <f>IFERROR(__xludf.DUMMYFUNCTION("""COMPUTED_VALUE"""),"PR055")</f>
        <v>PR055</v>
      </c>
      <c r="B819" s="1" t="str">
        <f>IFERROR(__xludf.DUMMYFUNCTION("""COMPUTED_VALUE"""),"VD018")</f>
        <v>VD018</v>
      </c>
      <c r="C819" s="1">
        <f>IFERROR(__xludf.DUMMYFUNCTION("""COMPUTED_VALUE"""),4.0)</f>
        <v>4</v>
      </c>
      <c r="D819" s="1">
        <f>IFERROR(__xludf.DUMMYFUNCTION("""COMPUTED_VALUE"""),366.79)</f>
        <v>366.79</v>
      </c>
    </row>
    <row r="820">
      <c r="A820" s="1" t="str">
        <f>IFERROR(__xludf.DUMMYFUNCTION("""COMPUTED_VALUE"""),"PR007")</f>
        <v>PR007</v>
      </c>
      <c r="B820" s="1" t="str">
        <f>IFERROR(__xludf.DUMMYFUNCTION("""COMPUTED_VALUE"""),"VD010")</f>
        <v>VD010</v>
      </c>
      <c r="C820" s="1">
        <f>IFERROR(__xludf.DUMMYFUNCTION("""COMPUTED_VALUE"""),10.0)</f>
        <v>10</v>
      </c>
      <c r="D820" s="1">
        <f>IFERROR(__xludf.DUMMYFUNCTION("""COMPUTED_VALUE"""),910.54)</f>
        <v>910.54</v>
      </c>
    </row>
    <row r="821">
      <c r="A821" s="1" t="str">
        <f>IFERROR(__xludf.DUMMYFUNCTION("""COMPUTED_VALUE"""),"PR043")</f>
        <v>PR043</v>
      </c>
      <c r="B821" s="1" t="str">
        <f>IFERROR(__xludf.DUMMYFUNCTION("""COMPUTED_VALUE"""),"VD035")</f>
        <v>VD035</v>
      </c>
      <c r="C821" s="1">
        <f>IFERROR(__xludf.DUMMYFUNCTION("""COMPUTED_VALUE"""),2.0)</f>
        <v>2</v>
      </c>
      <c r="D821" s="1">
        <f>IFERROR(__xludf.DUMMYFUNCTION("""COMPUTED_VALUE"""),150.8)</f>
        <v>150.8</v>
      </c>
    </row>
    <row r="822">
      <c r="A822" s="1" t="str">
        <f>IFERROR(__xludf.DUMMYFUNCTION("""COMPUTED_VALUE"""),"PR005")</f>
        <v>PR005</v>
      </c>
      <c r="B822" s="1" t="str">
        <f>IFERROR(__xludf.DUMMYFUNCTION("""COMPUTED_VALUE"""),"VD049")</f>
        <v>VD049</v>
      </c>
      <c r="C822" s="1">
        <f>IFERROR(__xludf.DUMMYFUNCTION("""COMPUTED_VALUE"""),8.0)</f>
        <v>8</v>
      </c>
      <c r="D822" s="1">
        <f>IFERROR(__xludf.DUMMYFUNCTION("""COMPUTED_VALUE"""),2287.12)</f>
        <v>2287.12</v>
      </c>
    </row>
    <row r="823">
      <c r="A823" s="1" t="str">
        <f>IFERROR(__xludf.DUMMYFUNCTION("""COMPUTED_VALUE"""),"PR006")</f>
        <v>PR006</v>
      </c>
      <c r="B823" s="1" t="str">
        <f>IFERROR(__xludf.DUMMYFUNCTION("""COMPUTED_VALUE"""),"VD011")</f>
        <v>VD011</v>
      </c>
      <c r="C823" s="1">
        <f>IFERROR(__xludf.DUMMYFUNCTION("""COMPUTED_VALUE"""),2.0)</f>
        <v>2</v>
      </c>
      <c r="D823" s="1">
        <f>IFERROR(__xludf.DUMMYFUNCTION("""COMPUTED_VALUE"""),87.78)</f>
        <v>87.78</v>
      </c>
    </row>
    <row r="824">
      <c r="A824" s="1" t="str">
        <f>IFERROR(__xludf.DUMMYFUNCTION("""COMPUTED_VALUE"""),"PR053")</f>
        <v>PR053</v>
      </c>
      <c r="B824" s="1" t="str">
        <f>IFERROR(__xludf.DUMMYFUNCTION("""COMPUTED_VALUE"""),"VD012")</f>
        <v>VD012</v>
      </c>
      <c r="C824" s="1">
        <f>IFERROR(__xludf.DUMMYFUNCTION("""COMPUTED_VALUE"""),2.0)</f>
        <v>2</v>
      </c>
      <c r="D824" s="1">
        <f>IFERROR(__xludf.DUMMYFUNCTION("""COMPUTED_VALUE"""),99.8)</f>
        <v>99.8</v>
      </c>
    </row>
    <row r="825">
      <c r="A825" s="1" t="str">
        <f>IFERROR(__xludf.DUMMYFUNCTION("""COMPUTED_VALUE"""),"PR042")</f>
        <v>PR042</v>
      </c>
      <c r="B825" s="1" t="str">
        <f>IFERROR(__xludf.DUMMYFUNCTION("""COMPUTED_VALUE"""),"VD018")</f>
        <v>VD018</v>
      </c>
      <c r="C825" s="1">
        <f>IFERROR(__xludf.DUMMYFUNCTION("""COMPUTED_VALUE"""),10.0)</f>
        <v>10</v>
      </c>
      <c r="D825" s="1">
        <f>IFERROR(__xludf.DUMMYFUNCTION("""COMPUTED_VALUE"""),587.43)</f>
        <v>587.43</v>
      </c>
    </row>
    <row r="826">
      <c r="A826" s="1" t="str">
        <f>IFERROR(__xludf.DUMMYFUNCTION("""COMPUTED_VALUE"""),"PR060")</f>
        <v>PR060</v>
      </c>
      <c r="B826" s="1" t="str">
        <f>IFERROR(__xludf.DUMMYFUNCTION("""COMPUTED_VALUE"""),"VD047")</f>
        <v>VD047</v>
      </c>
      <c r="C826" s="1">
        <f>IFERROR(__xludf.DUMMYFUNCTION("""COMPUTED_VALUE"""),16.0)</f>
        <v>16</v>
      </c>
      <c r="D826" s="1">
        <f>IFERROR(__xludf.DUMMYFUNCTION("""COMPUTED_VALUE"""),2937.6)</f>
        <v>2937.6</v>
      </c>
    </row>
    <row r="827">
      <c r="A827" s="1" t="str">
        <f>IFERROR(__xludf.DUMMYFUNCTION("""COMPUTED_VALUE"""),"PR054")</f>
        <v>PR054</v>
      </c>
      <c r="B827" s="1" t="str">
        <f>IFERROR(__xludf.DUMMYFUNCTION("""COMPUTED_VALUE"""),"VD019")</f>
        <v>VD019</v>
      </c>
      <c r="C827" s="1">
        <f>IFERROR(__xludf.DUMMYFUNCTION("""COMPUTED_VALUE"""),3.0)</f>
        <v>3</v>
      </c>
      <c r="D827" s="1">
        <f>IFERROR(__xludf.DUMMYFUNCTION("""COMPUTED_VALUE"""),157.19)</f>
        <v>157.19</v>
      </c>
    </row>
    <row r="828">
      <c r="A828" s="1" t="str">
        <f>IFERROR(__xludf.DUMMYFUNCTION("""COMPUTED_VALUE"""),"PR026")</f>
        <v>PR026</v>
      </c>
      <c r="B828" s="1" t="str">
        <f>IFERROR(__xludf.DUMMYFUNCTION("""COMPUTED_VALUE"""),"VD036")</f>
        <v>VD036</v>
      </c>
      <c r="C828" s="1">
        <f>IFERROR(__xludf.DUMMYFUNCTION("""COMPUTED_VALUE"""),7.0)</f>
        <v>7</v>
      </c>
      <c r="D828" s="1">
        <f>IFERROR(__xludf.DUMMYFUNCTION("""COMPUTED_VALUE"""),2694.23)</f>
        <v>2694.23</v>
      </c>
    </row>
    <row r="829">
      <c r="A829" s="1" t="str">
        <f>IFERROR(__xludf.DUMMYFUNCTION("""COMPUTED_VALUE"""),"PR002")</f>
        <v>PR002</v>
      </c>
      <c r="B829" s="1" t="str">
        <f>IFERROR(__xludf.DUMMYFUNCTION("""COMPUTED_VALUE"""),"VD046")</f>
        <v>VD046</v>
      </c>
      <c r="C829" s="1">
        <f>IFERROR(__xludf.DUMMYFUNCTION("""COMPUTED_VALUE"""),5.0)</f>
        <v>5</v>
      </c>
      <c r="D829" s="1">
        <f>IFERROR(__xludf.DUMMYFUNCTION("""COMPUTED_VALUE"""),356.49)</f>
        <v>356.49</v>
      </c>
    </row>
    <row r="830">
      <c r="A830" s="1" t="str">
        <f>IFERROR(__xludf.DUMMYFUNCTION("""COMPUTED_VALUE"""),"PR001")</f>
        <v>PR001</v>
      </c>
      <c r="B830" s="1" t="str">
        <f>IFERROR(__xludf.DUMMYFUNCTION("""COMPUTED_VALUE"""),"VD021")</f>
        <v>VD021</v>
      </c>
      <c r="C830" s="1">
        <f>IFERROR(__xludf.DUMMYFUNCTION("""COMPUTED_VALUE"""),3.0)</f>
        <v>3</v>
      </c>
      <c r="D830" s="1">
        <f>IFERROR(__xludf.DUMMYFUNCTION("""COMPUTED_VALUE"""),213.52)</f>
        <v>213.52</v>
      </c>
    </row>
    <row r="831">
      <c r="A831" s="1" t="str">
        <f>IFERROR(__xludf.DUMMYFUNCTION("""COMPUTED_VALUE"""),"PR044")</f>
        <v>PR044</v>
      </c>
      <c r="B831" s="1" t="str">
        <f>IFERROR(__xludf.DUMMYFUNCTION("""COMPUTED_VALUE"""),"VD030")</f>
        <v>VD030</v>
      </c>
      <c r="C831" s="1">
        <f>IFERROR(__xludf.DUMMYFUNCTION("""COMPUTED_VALUE"""),3.0)</f>
        <v>3</v>
      </c>
      <c r="D831" s="1">
        <f>IFERROR(__xludf.DUMMYFUNCTION("""COMPUTED_VALUE"""),232.73)</f>
        <v>232.73</v>
      </c>
    </row>
    <row r="832">
      <c r="A832" s="1" t="str">
        <f>IFERROR(__xludf.DUMMYFUNCTION("""COMPUTED_VALUE"""),"PR028")</f>
        <v>PR028</v>
      </c>
      <c r="B832" s="1" t="str">
        <f>IFERROR(__xludf.DUMMYFUNCTION("""COMPUTED_VALUE"""),"VD021")</f>
        <v>VD021</v>
      </c>
      <c r="C832" s="1">
        <f>IFERROR(__xludf.DUMMYFUNCTION("""COMPUTED_VALUE"""),2.0)</f>
        <v>2</v>
      </c>
      <c r="D832" s="1">
        <f>IFERROR(__xludf.DUMMYFUNCTION("""COMPUTED_VALUE"""),529.79)</f>
        <v>529.79</v>
      </c>
    </row>
    <row r="833">
      <c r="A833" s="1" t="str">
        <f>IFERROR(__xludf.DUMMYFUNCTION("""COMPUTED_VALUE"""),"PR045")</f>
        <v>PR045</v>
      </c>
      <c r="B833" s="1" t="str">
        <f>IFERROR(__xludf.DUMMYFUNCTION("""COMPUTED_VALUE"""),"VD024")</f>
        <v>VD024</v>
      </c>
      <c r="C833" s="1">
        <f>IFERROR(__xludf.DUMMYFUNCTION("""COMPUTED_VALUE"""),18.0)</f>
        <v>18</v>
      </c>
      <c r="D833" s="1">
        <f>IFERROR(__xludf.DUMMYFUNCTION("""COMPUTED_VALUE"""),1435.5)</f>
        <v>1435.5</v>
      </c>
    </row>
    <row r="834">
      <c r="A834" s="1" t="str">
        <f>IFERROR(__xludf.DUMMYFUNCTION("""COMPUTED_VALUE"""),"PR052")</f>
        <v>PR052</v>
      </c>
      <c r="B834" s="1" t="str">
        <f>IFERROR(__xludf.DUMMYFUNCTION("""COMPUTED_VALUE"""),"VD038")</f>
        <v>VD038</v>
      </c>
      <c r="C834" s="1">
        <f>IFERROR(__xludf.DUMMYFUNCTION("""COMPUTED_VALUE"""),8.0)</f>
        <v>8</v>
      </c>
      <c r="D834" s="1">
        <f>IFERROR(__xludf.DUMMYFUNCTION("""COMPUTED_VALUE"""),415.17)</f>
        <v>415.17</v>
      </c>
    </row>
    <row r="835">
      <c r="A835" s="1" t="str">
        <f>IFERROR(__xludf.DUMMYFUNCTION("""COMPUTED_VALUE"""),"PR024")</f>
        <v>PR024</v>
      </c>
      <c r="B835" s="1" t="str">
        <f>IFERROR(__xludf.DUMMYFUNCTION("""COMPUTED_VALUE"""),"VD026")</f>
        <v>VD026</v>
      </c>
      <c r="C835" s="1">
        <f>IFERROR(__xludf.DUMMYFUNCTION("""COMPUTED_VALUE"""),4.0)</f>
        <v>4</v>
      </c>
      <c r="D835" s="1">
        <f>IFERROR(__xludf.DUMMYFUNCTION("""COMPUTED_VALUE"""),1122.77)</f>
        <v>1122.77</v>
      </c>
    </row>
    <row r="836">
      <c r="A836" s="1" t="str">
        <f>IFERROR(__xludf.DUMMYFUNCTION("""COMPUTED_VALUE"""),"PR013")</f>
        <v>PR013</v>
      </c>
      <c r="B836" s="1" t="str">
        <f>IFERROR(__xludf.DUMMYFUNCTION("""COMPUTED_VALUE"""),"VD028")</f>
        <v>VD028</v>
      </c>
      <c r="C836" s="1">
        <f>IFERROR(__xludf.DUMMYFUNCTION("""COMPUTED_VALUE"""),20.0)</f>
        <v>20</v>
      </c>
      <c r="D836" s="1">
        <f>IFERROR(__xludf.DUMMYFUNCTION("""COMPUTED_VALUE"""),821.94)</f>
        <v>821.94</v>
      </c>
    </row>
    <row r="837">
      <c r="A837" s="1" t="str">
        <f>IFERROR(__xludf.DUMMYFUNCTION("""COMPUTED_VALUE"""),"PR053")</f>
        <v>PR053</v>
      </c>
      <c r="B837" s="1" t="str">
        <f>IFERROR(__xludf.DUMMYFUNCTION("""COMPUTED_VALUE"""),"VD049")</f>
        <v>VD049</v>
      </c>
      <c r="C837" s="1">
        <f>IFERROR(__xludf.DUMMYFUNCTION("""COMPUTED_VALUE"""),6.0)</f>
        <v>6</v>
      </c>
      <c r="D837" s="1">
        <f>IFERROR(__xludf.DUMMYFUNCTION("""COMPUTED_VALUE"""),302.39)</f>
        <v>302.39</v>
      </c>
    </row>
    <row r="838">
      <c r="A838" s="1" t="str">
        <f>IFERROR(__xludf.DUMMYFUNCTION("""COMPUTED_VALUE"""),"PR029")</f>
        <v>PR029</v>
      </c>
      <c r="B838" s="1" t="str">
        <f>IFERROR(__xludf.DUMMYFUNCTION("""COMPUTED_VALUE"""),"VD029")</f>
        <v>VD029</v>
      </c>
      <c r="C838" s="1">
        <f>IFERROR(__xludf.DUMMYFUNCTION("""COMPUTED_VALUE"""),8.0)</f>
        <v>8</v>
      </c>
      <c r="D838" s="1">
        <f>IFERROR(__xludf.DUMMYFUNCTION("""COMPUTED_VALUE"""),2182.8)</f>
        <v>2182.8</v>
      </c>
    </row>
    <row r="839">
      <c r="A839" s="1" t="str">
        <f>IFERROR(__xludf.DUMMYFUNCTION("""COMPUTED_VALUE"""),"PR001")</f>
        <v>PR001</v>
      </c>
      <c r="B839" s="1" t="str">
        <f>IFERROR(__xludf.DUMMYFUNCTION("""COMPUTED_VALUE"""),"VD014")</f>
        <v>VD014</v>
      </c>
      <c r="C839" s="1">
        <f>IFERROR(__xludf.DUMMYFUNCTION("""COMPUTED_VALUE"""),6.0)</f>
        <v>6</v>
      </c>
      <c r="D839" s="1">
        <f>IFERROR(__xludf.DUMMYFUNCTION("""COMPUTED_VALUE"""),423.08)</f>
        <v>423.08</v>
      </c>
    </row>
    <row r="840">
      <c r="A840" s="1" t="str">
        <f>IFERROR(__xludf.DUMMYFUNCTION("""COMPUTED_VALUE"""),"PR059")</f>
        <v>PR059</v>
      </c>
      <c r="B840" s="1" t="str">
        <f>IFERROR(__xludf.DUMMYFUNCTION("""COMPUTED_VALUE"""),"VD025")</f>
        <v>VD025</v>
      </c>
      <c r="C840" s="1">
        <f>IFERROR(__xludf.DUMMYFUNCTION("""COMPUTED_VALUE"""),12.0)</f>
        <v>12</v>
      </c>
      <c r="D840" s="1">
        <f>IFERROR(__xludf.DUMMYFUNCTION("""COMPUTED_VALUE"""),2289.6)</f>
        <v>2289.6</v>
      </c>
    </row>
    <row r="841">
      <c r="A841" s="1" t="str">
        <f>IFERROR(__xludf.DUMMYFUNCTION("""COMPUTED_VALUE"""),"PR039")</f>
        <v>PR039</v>
      </c>
      <c r="B841" s="1" t="str">
        <f>IFERROR(__xludf.DUMMYFUNCTION("""COMPUTED_VALUE"""),"VD036")</f>
        <v>VD036</v>
      </c>
      <c r="C841" s="1">
        <f>IFERROR(__xludf.DUMMYFUNCTION("""COMPUTED_VALUE"""),8.0)</f>
        <v>8</v>
      </c>
      <c r="D841" s="1">
        <f>IFERROR(__xludf.DUMMYFUNCTION("""COMPUTED_VALUE"""),1203.04)</f>
        <v>1203.04</v>
      </c>
    </row>
    <row r="842">
      <c r="A842" s="1" t="str">
        <f>IFERROR(__xludf.DUMMYFUNCTION("""COMPUTED_VALUE"""),"PR026")</f>
        <v>PR026</v>
      </c>
      <c r="B842" s="1" t="str">
        <f>IFERROR(__xludf.DUMMYFUNCTION("""COMPUTED_VALUE"""),"VD026")</f>
        <v>VD026</v>
      </c>
      <c r="C842" s="1">
        <f>IFERROR(__xludf.DUMMYFUNCTION("""COMPUTED_VALUE"""),9.0)</f>
        <v>9</v>
      </c>
      <c r="D842" s="1">
        <f>IFERROR(__xludf.DUMMYFUNCTION("""COMPUTED_VALUE"""),3212.08)</f>
        <v>3212.08</v>
      </c>
    </row>
    <row r="843">
      <c r="A843" s="1" t="str">
        <f>IFERROR(__xludf.DUMMYFUNCTION("""COMPUTED_VALUE"""),"PR057")</f>
        <v>PR057</v>
      </c>
      <c r="B843" s="1" t="str">
        <f>IFERROR(__xludf.DUMMYFUNCTION("""COMPUTED_VALUE"""),"VD032")</f>
        <v>VD032</v>
      </c>
      <c r="C843" s="1">
        <f>IFERROR(__xludf.DUMMYFUNCTION("""COMPUTED_VALUE"""),8.0)</f>
        <v>8</v>
      </c>
      <c r="D843" s="1">
        <f>IFERROR(__xludf.DUMMYFUNCTION("""COMPUTED_VALUE"""),726.39)</f>
        <v>726.39</v>
      </c>
    </row>
    <row r="844">
      <c r="A844" s="1" t="str">
        <f>IFERROR(__xludf.DUMMYFUNCTION("""COMPUTED_VALUE"""),"PR003")</f>
        <v>PR003</v>
      </c>
      <c r="B844" s="1" t="str">
        <f>IFERROR(__xludf.DUMMYFUNCTION("""COMPUTED_VALUE"""),"VD037")</f>
        <v>VD037</v>
      </c>
      <c r="C844" s="1">
        <f>IFERROR(__xludf.DUMMYFUNCTION("""COMPUTED_VALUE"""),20.0)</f>
        <v>20</v>
      </c>
      <c r="D844" s="1">
        <f>IFERROR(__xludf.DUMMYFUNCTION("""COMPUTED_VALUE"""),1418.0)</f>
        <v>1418</v>
      </c>
    </row>
    <row r="845">
      <c r="A845" s="1" t="str">
        <f>IFERROR(__xludf.DUMMYFUNCTION("""COMPUTED_VALUE"""),"PR050")</f>
        <v>PR050</v>
      </c>
      <c r="B845" s="1" t="str">
        <f>IFERROR(__xludf.DUMMYFUNCTION("""COMPUTED_VALUE"""),"VD032")</f>
        <v>VD032</v>
      </c>
      <c r="C845" s="1">
        <f>IFERROR(__xludf.DUMMYFUNCTION("""COMPUTED_VALUE"""),2.0)</f>
        <v>2</v>
      </c>
      <c r="D845" s="1">
        <f>IFERROR(__xludf.DUMMYFUNCTION("""COMPUTED_VALUE"""),71.06)</f>
        <v>71.06</v>
      </c>
    </row>
    <row r="846">
      <c r="A846" s="1" t="str">
        <f>IFERROR(__xludf.DUMMYFUNCTION("""COMPUTED_VALUE"""),"PR027")</f>
        <v>PR027</v>
      </c>
      <c r="B846" s="1" t="str">
        <f>IFERROR(__xludf.DUMMYFUNCTION("""COMPUTED_VALUE"""),"VD022")</f>
        <v>VD022</v>
      </c>
      <c r="C846" s="1">
        <f>IFERROR(__xludf.DUMMYFUNCTION("""COMPUTED_VALUE"""),6.0)</f>
        <v>6</v>
      </c>
      <c r="D846" s="1">
        <f>IFERROR(__xludf.DUMMYFUNCTION("""COMPUTED_VALUE"""),727.2)</f>
        <v>727.2</v>
      </c>
    </row>
    <row r="847">
      <c r="A847" s="1" t="str">
        <f>IFERROR(__xludf.DUMMYFUNCTION("""COMPUTED_VALUE"""),"PR018")</f>
        <v>PR018</v>
      </c>
      <c r="B847" s="1" t="str">
        <f>IFERROR(__xludf.DUMMYFUNCTION("""COMPUTED_VALUE"""),"VD018")</f>
        <v>VD018</v>
      </c>
      <c r="C847" s="1">
        <f>IFERROR(__xludf.DUMMYFUNCTION("""COMPUTED_VALUE"""),8.0)</f>
        <v>8</v>
      </c>
      <c r="D847" s="1">
        <f>IFERROR(__xludf.DUMMYFUNCTION("""COMPUTED_VALUE"""),271.1)</f>
        <v>271.1</v>
      </c>
    </row>
    <row r="848">
      <c r="A848" s="1" t="str">
        <f>IFERROR(__xludf.DUMMYFUNCTION("""COMPUTED_VALUE"""),"PR038")</f>
        <v>PR038</v>
      </c>
      <c r="B848" s="1" t="str">
        <f>IFERROR(__xludf.DUMMYFUNCTION("""COMPUTED_VALUE"""),"VD024")</f>
        <v>VD024</v>
      </c>
      <c r="C848" s="1">
        <f>IFERROR(__xludf.DUMMYFUNCTION("""COMPUTED_VALUE"""),3.0)</f>
        <v>3</v>
      </c>
      <c r="D848" s="1">
        <f>IFERROR(__xludf.DUMMYFUNCTION("""COMPUTED_VALUE"""),437.27)</f>
        <v>437.27</v>
      </c>
    </row>
    <row r="849">
      <c r="A849" s="1" t="str">
        <f>IFERROR(__xludf.DUMMYFUNCTION("""COMPUTED_VALUE"""),"PR046")</f>
        <v>PR046</v>
      </c>
      <c r="B849" s="1" t="str">
        <f>IFERROR(__xludf.DUMMYFUNCTION("""COMPUTED_VALUE"""),"VD012")</f>
        <v>VD012</v>
      </c>
      <c r="C849" s="1">
        <f>IFERROR(__xludf.DUMMYFUNCTION("""COMPUTED_VALUE"""),12.0)</f>
        <v>12</v>
      </c>
      <c r="D849" s="1">
        <f>IFERROR(__xludf.DUMMYFUNCTION("""COMPUTED_VALUE"""),3617.95)</f>
        <v>3617.95</v>
      </c>
    </row>
    <row r="850">
      <c r="A850" s="1" t="str">
        <f>IFERROR(__xludf.DUMMYFUNCTION("""COMPUTED_VALUE"""),"PR008")</f>
        <v>PR008</v>
      </c>
      <c r="B850" s="1" t="str">
        <f>IFERROR(__xludf.DUMMYFUNCTION("""COMPUTED_VALUE"""),"VD023")</f>
        <v>VD023</v>
      </c>
      <c r="C850" s="1">
        <f>IFERROR(__xludf.DUMMYFUNCTION("""COMPUTED_VALUE"""),4.0)</f>
        <v>4</v>
      </c>
      <c r="D850" s="1">
        <f>IFERROR(__xludf.DUMMYFUNCTION("""COMPUTED_VALUE"""),391.96)</f>
        <v>391.96</v>
      </c>
    </row>
    <row r="851">
      <c r="A851" s="1" t="str">
        <f>IFERROR(__xludf.DUMMYFUNCTION("""COMPUTED_VALUE"""),"PR022")</f>
        <v>PR022</v>
      </c>
      <c r="B851" s="1" t="str">
        <f>IFERROR(__xludf.DUMMYFUNCTION("""COMPUTED_VALUE"""),"VD018")</f>
        <v>VD018</v>
      </c>
      <c r="C851" s="1">
        <f>IFERROR(__xludf.DUMMYFUNCTION("""COMPUTED_VALUE"""),18.0)</f>
        <v>18</v>
      </c>
      <c r="D851" s="1">
        <f>IFERROR(__xludf.DUMMYFUNCTION("""COMPUTED_VALUE"""),5778.0)</f>
        <v>5778</v>
      </c>
    </row>
    <row r="852">
      <c r="A852" s="1" t="str">
        <f>IFERROR(__xludf.DUMMYFUNCTION("""COMPUTED_VALUE"""),"PR038")</f>
        <v>PR038</v>
      </c>
      <c r="B852" s="1" t="str">
        <f>IFERROR(__xludf.DUMMYFUNCTION("""COMPUTED_VALUE"""),"VD020")</f>
        <v>VD020</v>
      </c>
      <c r="C852" s="1">
        <f>IFERROR(__xludf.DUMMYFUNCTION("""COMPUTED_VALUE"""),18.0)</f>
        <v>18</v>
      </c>
      <c r="D852" s="1">
        <f>IFERROR(__xludf.DUMMYFUNCTION("""COMPUTED_VALUE"""),2726.53)</f>
        <v>2726.53</v>
      </c>
    </row>
    <row r="853">
      <c r="A853" s="1" t="str">
        <f>IFERROR(__xludf.DUMMYFUNCTION("""COMPUTED_VALUE"""),"PR045")</f>
        <v>PR045</v>
      </c>
      <c r="B853" s="1" t="str">
        <f>IFERROR(__xludf.DUMMYFUNCTION("""COMPUTED_VALUE"""),"VD039")</f>
        <v>VD039</v>
      </c>
      <c r="C853" s="1">
        <f>IFERROR(__xludf.DUMMYFUNCTION("""COMPUTED_VALUE"""),6.0)</f>
        <v>6</v>
      </c>
      <c r="D853" s="1">
        <f>IFERROR(__xludf.DUMMYFUNCTION("""COMPUTED_VALUE"""),465.45)</f>
        <v>465.45</v>
      </c>
    </row>
    <row r="854">
      <c r="A854" s="1" t="str">
        <f>IFERROR(__xludf.DUMMYFUNCTION("""COMPUTED_VALUE"""),"PR005")</f>
        <v>PR005</v>
      </c>
      <c r="B854" s="1" t="str">
        <f>IFERROR(__xludf.DUMMYFUNCTION("""COMPUTED_VALUE"""),"VD048")</f>
        <v>VD048</v>
      </c>
      <c r="C854" s="1">
        <f>IFERROR(__xludf.DUMMYFUNCTION("""COMPUTED_VALUE"""),9.0)</f>
        <v>9</v>
      </c>
      <c r="D854" s="1">
        <f>IFERROR(__xludf.DUMMYFUNCTION("""COMPUTED_VALUE"""),2456.06)</f>
        <v>2456.06</v>
      </c>
    </row>
    <row r="855">
      <c r="A855" s="1" t="str">
        <f>IFERROR(__xludf.DUMMYFUNCTION("""COMPUTED_VALUE"""),"PR009")</f>
        <v>PR009</v>
      </c>
      <c r="B855" s="1" t="str">
        <f>IFERROR(__xludf.DUMMYFUNCTION("""COMPUTED_VALUE"""),"VD048")</f>
        <v>VD048</v>
      </c>
      <c r="C855" s="1">
        <f>IFERROR(__xludf.DUMMYFUNCTION("""COMPUTED_VALUE"""),5.0)</f>
        <v>5</v>
      </c>
      <c r="D855" s="1">
        <f>IFERROR(__xludf.DUMMYFUNCTION("""COMPUTED_VALUE"""),469.15)</f>
        <v>469.15</v>
      </c>
    </row>
    <row r="856">
      <c r="A856" s="1" t="str">
        <f>IFERROR(__xludf.DUMMYFUNCTION("""COMPUTED_VALUE"""),"PR025")</f>
        <v>PR025</v>
      </c>
      <c r="B856" s="1" t="str">
        <f>IFERROR(__xludf.DUMMYFUNCTION("""COMPUTED_VALUE"""),"VD016")</f>
        <v>VD016</v>
      </c>
      <c r="C856" s="1">
        <f>IFERROR(__xludf.DUMMYFUNCTION("""COMPUTED_VALUE"""),1.0)</f>
        <v>1</v>
      </c>
      <c r="D856" s="1">
        <f>IFERROR(__xludf.DUMMYFUNCTION("""COMPUTED_VALUE"""),311.9)</f>
        <v>311.9</v>
      </c>
    </row>
    <row r="857">
      <c r="A857" s="1" t="str">
        <f>IFERROR(__xludf.DUMMYFUNCTION("""COMPUTED_VALUE"""),"PR037")</f>
        <v>PR037</v>
      </c>
      <c r="B857" s="1" t="str">
        <f>IFERROR(__xludf.DUMMYFUNCTION("""COMPUTED_VALUE"""),"VD045")</f>
        <v>VD045</v>
      </c>
      <c r="C857" s="1">
        <f>IFERROR(__xludf.DUMMYFUNCTION("""COMPUTED_VALUE"""),7.0)</f>
        <v>7</v>
      </c>
      <c r="D857" s="1">
        <f>IFERROR(__xludf.DUMMYFUNCTION("""COMPUTED_VALUE"""),1078.0)</f>
        <v>1078</v>
      </c>
    </row>
    <row r="858">
      <c r="A858" s="1" t="str">
        <f>IFERROR(__xludf.DUMMYFUNCTION("""COMPUTED_VALUE"""),"PR035")</f>
        <v>PR035</v>
      </c>
      <c r="B858" s="1" t="str">
        <f>IFERROR(__xludf.DUMMYFUNCTION("""COMPUTED_VALUE"""),"VD040")</f>
        <v>VD040</v>
      </c>
      <c r="C858" s="1">
        <f>IFERROR(__xludf.DUMMYFUNCTION("""COMPUTED_VALUE"""),6.0)</f>
        <v>6</v>
      </c>
      <c r="D858" s="1">
        <f>IFERROR(__xludf.DUMMYFUNCTION("""COMPUTED_VALUE"""),559.37)</f>
        <v>559.37</v>
      </c>
    </row>
    <row r="859">
      <c r="A859" s="1" t="str">
        <f>IFERROR(__xludf.DUMMYFUNCTION("""COMPUTED_VALUE"""),"PR047")</f>
        <v>PR047</v>
      </c>
      <c r="B859" s="1" t="str">
        <f>IFERROR(__xludf.DUMMYFUNCTION("""COMPUTED_VALUE"""),"VD035")</f>
        <v>VD035</v>
      </c>
      <c r="C859" s="1">
        <f>IFERROR(__xludf.DUMMYFUNCTION("""COMPUTED_VALUE"""),6.0)</f>
        <v>6</v>
      </c>
      <c r="D859" s="1">
        <f>IFERROR(__xludf.DUMMYFUNCTION("""COMPUTED_VALUE"""),1913.34)</f>
        <v>1913.34</v>
      </c>
    </row>
    <row r="860">
      <c r="A860" s="1" t="str">
        <f>IFERROR(__xludf.DUMMYFUNCTION("""COMPUTED_VALUE"""),"PR021")</f>
        <v>PR021</v>
      </c>
      <c r="B860" s="1" t="str">
        <f>IFERROR(__xludf.DUMMYFUNCTION("""COMPUTED_VALUE"""),"VD046")</f>
        <v>VD046</v>
      </c>
      <c r="C860" s="1">
        <f>IFERROR(__xludf.DUMMYFUNCTION("""COMPUTED_VALUE"""),1.0)</f>
        <v>1</v>
      </c>
      <c r="D860" s="1">
        <f>IFERROR(__xludf.DUMMYFUNCTION("""COMPUTED_VALUE"""),318.05)</f>
        <v>318.05</v>
      </c>
    </row>
    <row r="861">
      <c r="A861" s="1" t="str">
        <f>IFERROR(__xludf.DUMMYFUNCTION("""COMPUTED_VALUE"""),"PR019")</f>
        <v>PR019</v>
      </c>
      <c r="B861" s="1" t="str">
        <f>IFERROR(__xludf.DUMMYFUNCTION("""COMPUTED_VALUE"""),"VD019")</f>
        <v>VD019</v>
      </c>
      <c r="C861" s="1">
        <f>IFERROR(__xludf.DUMMYFUNCTION("""COMPUTED_VALUE"""),12.0)</f>
        <v>12</v>
      </c>
      <c r="D861" s="1">
        <f>IFERROR(__xludf.DUMMYFUNCTION("""COMPUTED_VALUE"""),652.69)</f>
        <v>652.69</v>
      </c>
    </row>
    <row r="862">
      <c r="A862" s="1" t="str">
        <f>IFERROR(__xludf.DUMMYFUNCTION("""COMPUTED_VALUE"""),"PR053")</f>
        <v>PR053</v>
      </c>
      <c r="B862" s="1" t="str">
        <f>IFERROR(__xludf.DUMMYFUNCTION("""COMPUTED_VALUE"""),"VD041")</f>
        <v>VD041</v>
      </c>
      <c r="C862" s="1">
        <f>IFERROR(__xludf.DUMMYFUNCTION("""COMPUTED_VALUE"""),8.0)</f>
        <v>8</v>
      </c>
      <c r="D862" s="1">
        <f>IFERROR(__xludf.DUMMYFUNCTION("""COMPUTED_VALUE"""),411.18)</f>
        <v>411.18</v>
      </c>
    </row>
    <row r="863">
      <c r="A863" s="1" t="str">
        <f>IFERROR(__xludf.DUMMYFUNCTION("""COMPUTED_VALUE"""),"PR051")</f>
        <v>PR051</v>
      </c>
      <c r="B863" s="1" t="str">
        <f>IFERROR(__xludf.DUMMYFUNCTION("""COMPUTED_VALUE"""),"VD023")</f>
        <v>VD023</v>
      </c>
      <c r="C863" s="1">
        <f>IFERROR(__xludf.DUMMYFUNCTION("""COMPUTED_VALUE"""),7.0)</f>
        <v>7</v>
      </c>
      <c r="D863" s="1">
        <f>IFERROR(__xludf.DUMMYFUNCTION("""COMPUTED_VALUE"""),244.12)</f>
        <v>244.12</v>
      </c>
    </row>
    <row r="864">
      <c r="A864" s="1" t="str">
        <f>IFERROR(__xludf.DUMMYFUNCTION("""COMPUTED_VALUE"""),"PR047")</f>
        <v>PR047</v>
      </c>
      <c r="B864" s="1" t="str">
        <f>IFERROR(__xludf.DUMMYFUNCTION("""COMPUTED_VALUE"""),"VD021")</f>
        <v>VD021</v>
      </c>
      <c r="C864" s="1">
        <f>IFERROR(__xludf.DUMMYFUNCTION("""COMPUTED_VALUE"""),2.0)</f>
        <v>2</v>
      </c>
      <c r="D864" s="1">
        <f>IFERROR(__xludf.DUMMYFUNCTION("""COMPUTED_VALUE"""),597.19)</f>
        <v>597.19</v>
      </c>
    </row>
    <row r="865">
      <c r="A865" s="1" t="str">
        <f>IFERROR(__xludf.DUMMYFUNCTION("""COMPUTED_VALUE"""),"PR048")</f>
        <v>PR048</v>
      </c>
      <c r="B865" s="1" t="str">
        <f>IFERROR(__xludf.DUMMYFUNCTION("""COMPUTED_VALUE"""),"VD045")</f>
        <v>VD045</v>
      </c>
      <c r="C865" s="1">
        <f>IFERROR(__xludf.DUMMYFUNCTION("""COMPUTED_VALUE"""),4.0)</f>
        <v>4</v>
      </c>
      <c r="D865" s="1">
        <f>IFERROR(__xludf.DUMMYFUNCTION("""COMPUTED_VALUE"""),1275.56)</f>
        <v>1275.56</v>
      </c>
    </row>
    <row r="866">
      <c r="A866" s="1" t="str">
        <f>IFERROR(__xludf.DUMMYFUNCTION("""COMPUTED_VALUE"""),"PR014")</f>
        <v>PR014</v>
      </c>
      <c r="B866" s="1" t="str">
        <f>IFERROR(__xludf.DUMMYFUNCTION("""COMPUTED_VALUE"""),"VD049")</f>
        <v>VD049</v>
      </c>
      <c r="C866" s="1">
        <f>IFERROR(__xludf.DUMMYFUNCTION("""COMPUTED_VALUE"""),6.0)</f>
        <v>6</v>
      </c>
      <c r="D866" s="1">
        <f>IFERROR(__xludf.DUMMYFUNCTION("""COMPUTED_VALUE"""),246.58)</f>
        <v>246.58</v>
      </c>
    </row>
    <row r="867">
      <c r="A867" s="1" t="str">
        <f>IFERROR(__xludf.DUMMYFUNCTION("""COMPUTED_VALUE"""),"PR050")</f>
        <v>PR050</v>
      </c>
      <c r="B867" s="1" t="str">
        <f>IFERROR(__xludf.DUMMYFUNCTION("""COMPUTED_VALUE"""),"VD019")</f>
        <v>VD019</v>
      </c>
      <c r="C867" s="1">
        <f>IFERROR(__xludf.DUMMYFUNCTION("""COMPUTED_VALUE"""),2.0)</f>
        <v>2</v>
      </c>
      <c r="D867" s="1">
        <f>IFERROR(__xludf.DUMMYFUNCTION("""COMPUTED_VALUE"""),68.43)</f>
        <v>68.43</v>
      </c>
    </row>
    <row r="868">
      <c r="A868" s="1" t="str">
        <f>IFERROR(__xludf.DUMMYFUNCTION("""COMPUTED_VALUE"""),"PR008")</f>
        <v>PR008</v>
      </c>
      <c r="B868" s="1" t="str">
        <f>IFERROR(__xludf.DUMMYFUNCTION("""COMPUTED_VALUE"""),"VD038")</f>
        <v>VD038</v>
      </c>
      <c r="C868" s="1">
        <f>IFERROR(__xludf.DUMMYFUNCTION("""COMPUTED_VALUE"""),8.0)</f>
        <v>8</v>
      </c>
      <c r="D868" s="1">
        <f>IFERROR(__xludf.DUMMYFUNCTION("""COMPUTED_VALUE"""),733.58)</f>
        <v>733.58</v>
      </c>
    </row>
    <row r="869">
      <c r="A869" s="1" t="str">
        <f>IFERROR(__xludf.DUMMYFUNCTION("""COMPUTED_VALUE"""),"PR018")</f>
        <v>PR018</v>
      </c>
      <c r="B869" s="1" t="str">
        <f>IFERROR(__xludf.DUMMYFUNCTION("""COMPUTED_VALUE"""),"VD022")</f>
        <v>VD022</v>
      </c>
      <c r="C869" s="1">
        <f>IFERROR(__xludf.DUMMYFUNCTION("""COMPUTED_VALUE"""),20.0)</f>
        <v>20</v>
      </c>
      <c r="D869" s="1">
        <f>IFERROR(__xludf.DUMMYFUNCTION("""COMPUTED_VALUE"""),677.74)</f>
        <v>677.74</v>
      </c>
    </row>
    <row r="870">
      <c r="A870" s="1" t="str">
        <f>IFERROR(__xludf.DUMMYFUNCTION("""COMPUTED_VALUE"""),"PR043")</f>
        <v>PR043</v>
      </c>
      <c r="B870" s="1" t="str">
        <f>IFERROR(__xludf.DUMMYFUNCTION("""COMPUTED_VALUE"""),"VD025")</f>
        <v>VD025</v>
      </c>
      <c r="C870" s="1">
        <f>IFERROR(__xludf.DUMMYFUNCTION("""COMPUTED_VALUE"""),4.0)</f>
        <v>4</v>
      </c>
      <c r="D870" s="1">
        <f>IFERROR(__xludf.DUMMYFUNCTION("""COMPUTED_VALUE"""),307.4)</f>
        <v>307.4</v>
      </c>
    </row>
    <row r="871">
      <c r="A871" s="1" t="str">
        <f>IFERROR(__xludf.DUMMYFUNCTION("""COMPUTED_VALUE"""),"PR010")</f>
        <v>PR010</v>
      </c>
      <c r="B871" s="1" t="str">
        <f>IFERROR(__xludf.DUMMYFUNCTION("""COMPUTED_VALUE"""),"VD026")</f>
        <v>VD026</v>
      </c>
      <c r="C871" s="1">
        <f>IFERROR(__xludf.DUMMYFUNCTION("""COMPUTED_VALUE"""),5.0)</f>
        <v>5</v>
      </c>
      <c r="D871" s="1">
        <f>IFERROR(__xludf.DUMMYFUNCTION("""COMPUTED_VALUE"""),244.71)</f>
        <v>244.71</v>
      </c>
    </row>
    <row r="872">
      <c r="A872" s="1" t="str">
        <f>IFERROR(__xludf.DUMMYFUNCTION("""COMPUTED_VALUE"""),"PR032")</f>
        <v>PR032</v>
      </c>
      <c r="B872" s="1" t="str">
        <f>IFERROR(__xludf.DUMMYFUNCTION("""COMPUTED_VALUE"""),"VD015")</f>
        <v>VD015</v>
      </c>
      <c r="C872" s="1">
        <f>IFERROR(__xludf.DUMMYFUNCTION("""COMPUTED_VALUE"""),20.0)</f>
        <v>20</v>
      </c>
      <c r="D872" s="1">
        <f>IFERROR(__xludf.DUMMYFUNCTION("""COMPUTED_VALUE"""),5300.0)</f>
        <v>5300</v>
      </c>
    </row>
    <row r="873">
      <c r="A873" s="1" t="str">
        <f>IFERROR(__xludf.DUMMYFUNCTION("""COMPUTED_VALUE"""),"PR003")</f>
        <v>PR003</v>
      </c>
      <c r="B873" s="1" t="str">
        <f>IFERROR(__xludf.DUMMYFUNCTION("""COMPUTED_VALUE"""),"VD049")</f>
        <v>VD049</v>
      </c>
      <c r="C873" s="1">
        <f>IFERROR(__xludf.DUMMYFUNCTION("""COMPUTED_VALUE"""),3.0)</f>
        <v>3</v>
      </c>
      <c r="D873" s="1">
        <f>IFERROR(__xludf.DUMMYFUNCTION("""COMPUTED_VALUE"""),223.34)</f>
        <v>223.34</v>
      </c>
    </row>
    <row r="874">
      <c r="A874" s="1" t="str">
        <f>IFERROR(__xludf.DUMMYFUNCTION("""COMPUTED_VALUE"""),"PR019")</f>
        <v>PR019</v>
      </c>
      <c r="B874" s="1" t="str">
        <f>IFERROR(__xludf.DUMMYFUNCTION("""COMPUTED_VALUE"""),"VD022")</f>
        <v>VD022</v>
      </c>
      <c r="C874" s="1">
        <f>IFERROR(__xludf.DUMMYFUNCTION("""COMPUTED_VALUE"""),14.0)</f>
        <v>14</v>
      </c>
      <c r="D874" s="1">
        <f>IFERROR(__xludf.DUMMYFUNCTION("""COMPUTED_VALUE"""),705.59)</f>
        <v>705.59</v>
      </c>
    </row>
    <row r="875">
      <c r="A875" s="1" t="str">
        <f>IFERROR(__xludf.DUMMYFUNCTION("""COMPUTED_VALUE"""),"PR048")</f>
        <v>PR048</v>
      </c>
      <c r="B875" s="1" t="str">
        <f>IFERROR(__xludf.DUMMYFUNCTION("""COMPUTED_VALUE"""),"VD026")</f>
        <v>VD026</v>
      </c>
      <c r="C875" s="1">
        <f>IFERROR(__xludf.DUMMYFUNCTION("""COMPUTED_VALUE"""),8.0)</f>
        <v>8</v>
      </c>
      <c r="D875" s="1">
        <f>IFERROR(__xludf.DUMMYFUNCTION("""COMPUTED_VALUE"""),2342.39)</f>
        <v>2342.39</v>
      </c>
    </row>
    <row r="876">
      <c r="A876" s="1" t="str">
        <f>IFERROR(__xludf.DUMMYFUNCTION("""COMPUTED_VALUE"""),"PR032")</f>
        <v>PR032</v>
      </c>
      <c r="B876" s="1" t="str">
        <f>IFERROR(__xludf.DUMMYFUNCTION("""COMPUTED_VALUE"""),"VD013")</f>
        <v>VD013</v>
      </c>
      <c r="C876" s="1">
        <f>IFERROR(__xludf.DUMMYFUNCTION("""COMPUTED_VALUE"""),10.0)</f>
        <v>10</v>
      </c>
      <c r="D876" s="1">
        <f>IFERROR(__xludf.DUMMYFUNCTION("""COMPUTED_VALUE"""),2575.0)</f>
        <v>2575</v>
      </c>
    </row>
    <row r="877">
      <c r="A877" s="1" t="str">
        <f>IFERROR(__xludf.DUMMYFUNCTION("""COMPUTED_VALUE"""),"PR058")</f>
        <v>PR058</v>
      </c>
      <c r="B877" s="1" t="str">
        <f>IFERROR(__xludf.DUMMYFUNCTION("""COMPUTED_VALUE"""),"VD041")</f>
        <v>VD041</v>
      </c>
      <c r="C877" s="1">
        <f>IFERROR(__xludf.DUMMYFUNCTION("""COMPUTED_VALUE"""),10.0)</f>
        <v>10</v>
      </c>
      <c r="D877" s="1">
        <f>IFERROR(__xludf.DUMMYFUNCTION("""COMPUTED_VALUE"""),1926.0)</f>
        <v>1926</v>
      </c>
    </row>
    <row r="878">
      <c r="A878" s="1" t="str">
        <f>IFERROR(__xludf.DUMMYFUNCTION("""COMPUTED_VALUE"""),"PR019")</f>
        <v>PR019</v>
      </c>
      <c r="B878" s="1" t="str">
        <f>IFERROR(__xludf.DUMMYFUNCTION("""COMPUTED_VALUE"""),"VD027")</f>
        <v>VD027</v>
      </c>
      <c r="C878" s="1">
        <f>IFERROR(__xludf.DUMMYFUNCTION("""COMPUTED_VALUE"""),8.0)</f>
        <v>8</v>
      </c>
      <c r="D878" s="1">
        <f>IFERROR(__xludf.DUMMYFUNCTION("""COMPUTED_VALUE"""),411.18)</f>
        <v>411.18</v>
      </c>
    </row>
    <row r="879">
      <c r="A879" s="1" t="str">
        <f>IFERROR(__xludf.DUMMYFUNCTION("""COMPUTED_VALUE"""),"PR004")</f>
        <v>PR004</v>
      </c>
      <c r="B879" s="1" t="str">
        <f>IFERROR(__xludf.DUMMYFUNCTION("""COMPUTED_VALUE"""),"VD020")</f>
        <v>VD020</v>
      </c>
      <c r="C879" s="1">
        <f>IFERROR(__xludf.DUMMYFUNCTION("""COMPUTED_VALUE"""),10.0)</f>
        <v>10</v>
      </c>
      <c r="D879" s="1">
        <f>IFERROR(__xludf.DUMMYFUNCTION("""COMPUTED_VALUE"""),1479.0)</f>
        <v>1479</v>
      </c>
    </row>
    <row r="880">
      <c r="A880" s="1" t="str">
        <f>IFERROR(__xludf.DUMMYFUNCTION("""COMPUTED_VALUE"""),"PR043")</f>
        <v>PR043</v>
      </c>
      <c r="B880" s="1" t="str">
        <f>IFERROR(__xludf.DUMMYFUNCTION("""COMPUTED_VALUE"""),"VD030")</f>
        <v>VD030</v>
      </c>
      <c r="C880" s="1">
        <f>IFERROR(__xludf.DUMMYFUNCTION("""COMPUTED_VALUE"""),4.0)</f>
        <v>4</v>
      </c>
      <c r="D880" s="1">
        <f>IFERROR(__xludf.DUMMYFUNCTION("""COMPUTED_VALUE"""),310.3)</f>
        <v>310.3</v>
      </c>
    </row>
    <row r="881">
      <c r="A881" s="1" t="str">
        <f>IFERROR(__xludf.DUMMYFUNCTION("""COMPUTED_VALUE"""),"PR031")</f>
        <v>PR031</v>
      </c>
      <c r="B881" s="1" t="str">
        <f>IFERROR(__xludf.DUMMYFUNCTION("""COMPUTED_VALUE"""),"VD020")</f>
        <v>VD020</v>
      </c>
      <c r="C881" s="1">
        <f>IFERROR(__xludf.DUMMYFUNCTION("""COMPUTED_VALUE"""),10.0)</f>
        <v>10</v>
      </c>
      <c r="D881" s="1">
        <f>IFERROR(__xludf.DUMMYFUNCTION("""COMPUTED_VALUE"""),2548.0)</f>
        <v>2548</v>
      </c>
    </row>
    <row r="882">
      <c r="A882" s="1" t="str">
        <f>IFERROR(__xludf.DUMMYFUNCTION("""COMPUTED_VALUE"""),"PR026")</f>
        <v>PR026</v>
      </c>
      <c r="B882" s="1" t="str">
        <f>IFERROR(__xludf.DUMMYFUNCTION("""COMPUTED_VALUE"""),"VD023")</f>
        <v>VD023</v>
      </c>
      <c r="C882" s="1">
        <f>IFERROR(__xludf.DUMMYFUNCTION("""COMPUTED_VALUE"""),2.0)</f>
        <v>2</v>
      </c>
      <c r="D882" s="1">
        <f>IFERROR(__xludf.DUMMYFUNCTION("""COMPUTED_VALUE"""),741.79)</f>
        <v>741.79</v>
      </c>
    </row>
    <row r="883">
      <c r="A883" s="1" t="str">
        <f>IFERROR(__xludf.DUMMYFUNCTION("""COMPUTED_VALUE"""),"PR041")</f>
        <v>PR041</v>
      </c>
      <c r="B883" s="1" t="str">
        <f>IFERROR(__xludf.DUMMYFUNCTION("""COMPUTED_VALUE"""),"VD032")</f>
        <v>VD032</v>
      </c>
      <c r="C883" s="1">
        <f>IFERROR(__xludf.DUMMYFUNCTION("""COMPUTED_VALUE"""),18.0)</f>
        <v>18</v>
      </c>
      <c r="D883" s="1">
        <f>IFERROR(__xludf.DUMMYFUNCTION("""COMPUTED_VALUE"""),1067.26)</f>
        <v>1067.26</v>
      </c>
    </row>
    <row r="884">
      <c r="A884" s="1" t="str">
        <f>IFERROR(__xludf.DUMMYFUNCTION("""COMPUTED_VALUE"""),"PR047")</f>
        <v>PR047</v>
      </c>
      <c r="B884" s="1" t="str">
        <f>IFERROR(__xludf.DUMMYFUNCTION("""COMPUTED_VALUE"""),"VD026")</f>
        <v>VD026</v>
      </c>
      <c r="C884" s="1">
        <f>IFERROR(__xludf.DUMMYFUNCTION("""COMPUTED_VALUE"""),6.0)</f>
        <v>6</v>
      </c>
      <c r="D884" s="1">
        <f>IFERROR(__xludf.DUMMYFUNCTION("""COMPUTED_VALUE"""),1843.76)</f>
        <v>1843.76</v>
      </c>
    </row>
    <row r="885">
      <c r="A885" s="1" t="str">
        <f>IFERROR(__xludf.DUMMYFUNCTION("""COMPUTED_VALUE"""),"PR029")</f>
        <v>PR029</v>
      </c>
      <c r="B885" s="1" t="str">
        <f>IFERROR(__xludf.DUMMYFUNCTION("""COMPUTED_VALUE"""),"VD023")</f>
        <v>VD023</v>
      </c>
      <c r="C885" s="1">
        <f>IFERROR(__xludf.DUMMYFUNCTION("""COMPUTED_VALUE"""),2.0)</f>
        <v>2</v>
      </c>
      <c r="D885" s="1">
        <f>IFERROR(__xludf.DUMMYFUNCTION("""COMPUTED_VALUE"""),545.7)</f>
        <v>545.7</v>
      </c>
    </row>
    <row r="886">
      <c r="A886" s="1" t="str">
        <f>IFERROR(__xludf.DUMMYFUNCTION("""COMPUTED_VALUE"""),"PR018")</f>
        <v>PR018</v>
      </c>
      <c r="B886" s="1" t="str">
        <f>IFERROR(__xludf.DUMMYFUNCTION("""COMPUTED_VALUE"""),"VD040")</f>
        <v>VD040</v>
      </c>
      <c r="C886" s="1">
        <f>IFERROR(__xludf.DUMMYFUNCTION("""COMPUTED_VALUE"""),18.0)</f>
        <v>18</v>
      </c>
      <c r="D886" s="1">
        <f>IFERROR(__xludf.DUMMYFUNCTION("""COMPUTED_VALUE"""),639.58)</f>
        <v>639.58</v>
      </c>
    </row>
    <row r="887">
      <c r="A887" s="1" t="str">
        <f>IFERROR(__xludf.DUMMYFUNCTION("""COMPUTED_VALUE"""),"PR025")</f>
        <v>PR025</v>
      </c>
      <c r="B887" s="1" t="str">
        <f>IFERROR(__xludf.DUMMYFUNCTION("""COMPUTED_VALUE"""),"VD038")</f>
        <v>VD038</v>
      </c>
      <c r="C887" s="1">
        <f>IFERROR(__xludf.DUMMYFUNCTION("""COMPUTED_VALUE"""),8.0)</f>
        <v>8</v>
      </c>
      <c r="D887" s="1">
        <f>IFERROR(__xludf.DUMMYFUNCTION("""COMPUTED_VALUE"""),2399.2)</f>
        <v>2399.2</v>
      </c>
    </row>
    <row r="888">
      <c r="A888" s="1" t="str">
        <f>IFERROR(__xludf.DUMMYFUNCTION("""COMPUTED_VALUE"""),"PR012")</f>
        <v>PR012</v>
      </c>
      <c r="B888" s="1" t="str">
        <f>IFERROR(__xludf.DUMMYFUNCTION("""COMPUTED_VALUE"""),"VD035")</f>
        <v>VD035</v>
      </c>
      <c r="C888" s="1">
        <f>IFERROR(__xludf.DUMMYFUNCTION("""COMPUTED_VALUE"""),9.0)</f>
        <v>9</v>
      </c>
      <c r="D888" s="1">
        <f>IFERROR(__xludf.DUMMYFUNCTION("""COMPUTED_VALUE"""),479.71)</f>
        <v>479.71</v>
      </c>
    </row>
    <row r="889">
      <c r="A889" s="1" t="str">
        <f>IFERROR(__xludf.DUMMYFUNCTION("""COMPUTED_VALUE"""),"PR059")</f>
        <v>PR059</v>
      </c>
      <c r="B889" s="1" t="str">
        <f>IFERROR(__xludf.DUMMYFUNCTION("""COMPUTED_VALUE"""),"VD019")</f>
        <v>VD019</v>
      </c>
      <c r="C889" s="1">
        <f>IFERROR(__xludf.DUMMYFUNCTION("""COMPUTED_VALUE"""),3.0)</f>
        <v>3</v>
      </c>
      <c r="D889" s="1">
        <f>IFERROR(__xludf.DUMMYFUNCTION("""COMPUTED_VALUE"""),561.6)</f>
        <v>561.6</v>
      </c>
    </row>
    <row r="890">
      <c r="A890" s="1" t="str">
        <f>IFERROR(__xludf.DUMMYFUNCTION("""COMPUTED_VALUE"""),"PR021")</f>
        <v>PR021</v>
      </c>
      <c r="B890" s="1" t="str">
        <f>IFERROR(__xludf.DUMMYFUNCTION("""COMPUTED_VALUE"""),"VD014")</f>
        <v>VD014</v>
      </c>
      <c r="C890" s="1">
        <f>IFERROR(__xludf.DUMMYFUNCTION("""COMPUTED_VALUE"""),1.0)</f>
        <v>1</v>
      </c>
      <c r="D890" s="1">
        <f>IFERROR(__xludf.DUMMYFUNCTION("""COMPUTED_VALUE"""),330.16)</f>
        <v>330.16</v>
      </c>
    </row>
    <row r="891">
      <c r="A891" s="1" t="str">
        <f>IFERROR(__xludf.DUMMYFUNCTION("""COMPUTED_VALUE"""),"PR045")</f>
        <v>PR045</v>
      </c>
      <c r="B891" s="1" t="str">
        <f>IFERROR(__xludf.DUMMYFUNCTION("""COMPUTED_VALUE"""),"VD043")</f>
        <v>VD043</v>
      </c>
      <c r="C891" s="1">
        <f>IFERROR(__xludf.DUMMYFUNCTION("""COMPUTED_VALUE"""),10.0)</f>
        <v>10</v>
      </c>
      <c r="D891" s="1">
        <f>IFERROR(__xludf.DUMMYFUNCTION("""COMPUTED_VALUE"""),732.25)</f>
        <v>732.25</v>
      </c>
    </row>
    <row r="892">
      <c r="A892" s="1" t="str">
        <f>IFERROR(__xludf.DUMMYFUNCTION("""COMPUTED_VALUE"""),"PR045")</f>
        <v>PR045</v>
      </c>
      <c r="B892" s="1" t="str">
        <f>IFERROR(__xludf.DUMMYFUNCTION("""COMPUTED_VALUE"""),"VD044")</f>
        <v>VD044</v>
      </c>
      <c r="C892" s="1">
        <f>IFERROR(__xludf.DUMMYFUNCTION("""COMPUTED_VALUE"""),5.0)</f>
        <v>5</v>
      </c>
      <c r="D892" s="1">
        <f>IFERROR(__xludf.DUMMYFUNCTION("""COMPUTED_VALUE"""),373.38)</f>
        <v>373.38</v>
      </c>
    </row>
    <row r="893">
      <c r="A893" s="1" t="str">
        <f>IFERROR(__xludf.DUMMYFUNCTION("""COMPUTED_VALUE"""),"PR048")</f>
        <v>PR048</v>
      </c>
      <c r="B893" s="1" t="str">
        <f>IFERROR(__xludf.DUMMYFUNCTION("""COMPUTED_VALUE"""),"VD018")</f>
        <v>VD018</v>
      </c>
      <c r="C893" s="1">
        <f>IFERROR(__xludf.DUMMYFUNCTION("""COMPUTED_VALUE"""),7.0)</f>
        <v>7</v>
      </c>
      <c r="D893" s="1">
        <f>IFERROR(__xludf.DUMMYFUNCTION("""COMPUTED_VALUE"""),2211.94)</f>
        <v>2211.94</v>
      </c>
    </row>
    <row r="894">
      <c r="A894" s="1" t="str">
        <f>IFERROR(__xludf.DUMMYFUNCTION("""COMPUTED_VALUE"""),"PR052")</f>
        <v>PR052</v>
      </c>
      <c r="B894" s="1" t="str">
        <f>IFERROR(__xludf.DUMMYFUNCTION("""COMPUTED_VALUE"""),"VD043")</f>
        <v>VD043</v>
      </c>
      <c r="C894" s="1">
        <f>IFERROR(__xludf.DUMMYFUNCTION("""COMPUTED_VALUE"""),5.0)</f>
        <v>5</v>
      </c>
      <c r="D894" s="1">
        <f>IFERROR(__xludf.DUMMYFUNCTION("""COMPUTED_VALUE"""),259.48)</f>
        <v>259.48</v>
      </c>
    </row>
    <row r="895">
      <c r="A895" s="1" t="str">
        <f>IFERROR(__xludf.DUMMYFUNCTION("""COMPUTED_VALUE"""),"PR038")</f>
        <v>PR038</v>
      </c>
      <c r="B895" s="1" t="str">
        <f>IFERROR(__xludf.DUMMYFUNCTION("""COMPUTED_VALUE"""),"VD042")</f>
        <v>VD042</v>
      </c>
      <c r="C895" s="1">
        <f>IFERROR(__xludf.DUMMYFUNCTION("""COMPUTED_VALUE"""),20.0)</f>
        <v>20</v>
      </c>
      <c r="D895" s="1">
        <f>IFERROR(__xludf.DUMMYFUNCTION("""COMPUTED_VALUE"""),3143.8)</f>
        <v>3143.8</v>
      </c>
    </row>
    <row r="896">
      <c r="A896" s="1" t="str">
        <f>IFERROR(__xludf.DUMMYFUNCTION("""COMPUTED_VALUE"""),"PR032")</f>
        <v>PR032</v>
      </c>
      <c r="B896" s="1" t="str">
        <f>IFERROR(__xludf.DUMMYFUNCTION("""COMPUTED_VALUE"""),"VD046")</f>
        <v>VD046</v>
      </c>
      <c r="C896" s="1">
        <f>IFERROR(__xludf.DUMMYFUNCTION("""COMPUTED_VALUE"""),5.0)</f>
        <v>5</v>
      </c>
      <c r="D896" s="1">
        <f>IFERROR(__xludf.DUMMYFUNCTION("""COMPUTED_VALUE"""),1375.0)</f>
        <v>1375</v>
      </c>
    </row>
    <row r="897">
      <c r="A897" s="1" t="str">
        <f>IFERROR(__xludf.DUMMYFUNCTION("""COMPUTED_VALUE"""),"PR046")</f>
        <v>PR046</v>
      </c>
      <c r="B897" s="1" t="str">
        <f>IFERROR(__xludf.DUMMYFUNCTION("""COMPUTED_VALUE"""),"VD018")</f>
        <v>VD018</v>
      </c>
      <c r="C897" s="1">
        <f>IFERROR(__xludf.DUMMYFUNCTION("""COMPUTED_VALUE"""),5.0)</f>
        <v>5</v>
      </c>
      <c r="D897" s="1">
        <f>IFERROR(__xludf.DUMMYFUNCTION("""COMPUTED_VALUE"""),1449.5)</f>
        <v>1449.5</v>
      </c>
    </row>
    <row r="898">
      <c r="A898" s="1" t="str">
        <f>IFERROR(__xludf.DUMMYFUNCTION("""COMPUTED_VALUE"""),"PR056")</f>
        <v>PR056</v>
      </c>
      <c r="B898" s="1" t="str">
        <f>IFERROR(__xludf.DUMMYFUNCTION("""COMPUTED_VALUE"""),"VD029")</f>
        <v>VD029</v>
      </c>
      <c r="C898" s="1">
        <f>IFERROR(__xludf.DUMMYFUNCTION("""COMPUTED_VALUE"""),1.0)</f>
        <v>1</v>
      </c>
      <c r="D898" s="1">
        <f>IFERROR(__xludf.DUMMYFUNCTION("""COMPUTED_VALUE"""),96.19)</f>
        <v>96.19</v>
      </c>
    </row>
    <row r="899">
      <c r="A899" s="1" t="str">
        <f>IFERROR(__xludf.DUMMYFUNCTION("""COMPUTED_VALUE"""),"PR018")</f>
        <v>PR018</v>
      </c>
      <c r="B899" s="1" t="str">
        <f>IFERROR(__xludf.DUMMYFUNCTION("""COMPUTED_VALUE"""),"VD042")</f>
        <v>VD042</v>
      </c>
      <c r="C899" s="1">
        <f>IFERROR(__xludf.DUMMYFUNCTION("""COMPUTED_VALUE"""),8.0)</f>
        <v>8</v>
      </c>
      <c r="D899" s="1">
        <f>IFERROR(__xludf.DUMMYFUNCTION("""COMPUTED_VALUE"""),289.52)</f>
        <v>289.52</v>
      </c>
    </row>
    <row r="900">
      <c r="A900" s="1" t="str">
        <f>IFERROR(__xludf.DUMMYFUNCTION("""COMPUTED_VALUE"""),"PR020")</f>
        <v>PR020</v>
      </c>
      <c r="B900" s="1" t="str">
        <f>IFERROR(__xludf.DUMMYFUNCTION("""COMPUTED_VALUE"""),"VD024")</f>
        <v>VD024</v>
      </c>
      <c r="C900" s="1">
        <f>IFERROR(__xludf.DUMMYFUNCTION("""COMPUTED_VALUE"""),18.0)</f>
        <v>18</v>
      </c>
      <c r="D900" s="1">
        <f>IFERROR(__xludf.DUMMYFUNCTION("""COMPUTED_VALUE"""),5452.18)</f>
        <v>5452.18</v>
      </c>
    </row>
    <row r="901">
      <c r="A901" s="1" t="str">
        <f>IFERROR(__xludf.DUMMYFUNCTION("""COMPUTED_VALUE"""),"PR011")</f>
        <v>PR011</v>
      </c>
      <c r="B901" s="1" t="str">
        <f>IFERROR(__xludf.DUMMYFUNCTION("""COMPUTED_VALUE"""),"VD013")</f>
        <v>VD013</v>
      </c>
      <c r="C901" s="1">
        <f>IFERROR(__xludf.DUMMYFUNCTION("""COMPUTED_VALUE"""),2.0)</f>
        <v>2</v>
      </c>
      <c r="D901" s="1">
        <f>IFERROR(__xludf.DUMMYFUNCTION("""COMPUTED_VALUE"""),96.61)</f>
        <v>96.61</v>
      </c>
    </row>
    <row r="902">
      <c r="A902" s="1" t="str">
        <f>IFERROR(__xludf.DUMMYFUNCTION("""COMPUTED_VALUE"""),"PR025")</f>
        <v>PR025</v>
      </c>
      <c r="B902" s="1" t="str">
        <f>IFERROR(__xludf.DUMMYFUNCTION("""COMPUTED_VALUE"""),"VD047")</f>
        <v>VD047</v>
      </c>
      <c r="C902" s="1">
        <f>IFERROR(__xludf.DUMMYFUNCTION("""COMPUTED_VALUE"""),2.0)</f>
        <v>2</v>
      </c>
      <c r="D902" s="1">
        <f>IFERROR(__xludf.DUMMYFUNCTION("""COMPUTED_VALUE"""),635.79)</f>
        <v>635.79</v>
      </c>
    </row>
    <row r="903">
      <c r="A903" s="1" t="str">
        <f>IFERROR(__xludf.DUMMYFUNCTION("""COMPUTED_VALUE"""),"PR044")</f>
        <v>PR044</v>
      </c>
      <c r="B903" s="1" t="str">
        <f>IFERROR(__xludf.DUMMYFUNCTION("""COMPUTED_VALUE"""),"VD020")</f>
        <v>VD020</v>
      </c>
      <c r="C903" s="1">
        <f>IFERROR(__xludf.DUMMYFUNCTION("""COMPUTED_VALUE"""),9.0)</f>
        <v>9</v>
      </c>
      <c r="D903" s="1">
        <f>IFERROR(__xludf.DUMMYFUNCTION("""COMPUTED_VALUE"""),652.5)</f>
        <v>652.5</v>
      </c>
    </row>
    <row r="904">
      <c r="A904" s="1" t="str">
        <f>IFERROR(__xludf.DUMMYFUNCTION("""COMPUTED_VALUE"""),"PR054")</f>
        <v>PR054</v>
      </c>
      <c r="B904" s="1" t="str">
        <f>IFERROR(__xludf.DUMMYFUNCTION("""COMPUTED_VALUE"""),"VD011")</f>
        <v>VD011</v>
      </c>
      <c r="C904" s="1">
        <f>IFERROR(__xludf.DUMMYFUNCTION("""COMPUTED_VALUE"""),2.0)</f>
        <v>2</v>
      </c>
      <c r="D904" s="1">
        <f>IFERROR(__xludf.DUMMYFUNCTION("""COMPUTED_VALUE"""),100.8)</f>
        <v>100.8</v>
      </c>
    </row>
    <row r="905">
      <c r="A905" s="1" t="str">
        <f>IFERROR(__xludf.DUMMYFUNCTION("""COMPUTED_VALUE"""),"PR004")</f>
        <v>PR004</v>
      </c>
      <c r="B905" s="1" t="str">
        <f>IFERROR(__xludf.DUMMYFUNCTION("""COMPUTED_VALUE"""),"VD039")</f>
        <v>VD039</v>
      </c>
      <c r="C905" s="1">
        <f>IFERROR(__xludf.DUMMYFUNCTION("""COMPUTED_VALUE"""),14.0)</f>
        <v>14</v>
      </c>
      <c r="D905" s="1">
        <f>IFERROR(__xludf.DUMMYFUNCTION("""COMPUTED_VALUE"""),2212.7)</f>
        <v>2212.7</v>
      </c>
    </row>
    <row r="906">
      <c r="A906" s="1" t="str">
        <f>IFERROR(__xludf.DUMMYFUNCTION("""COMPUTED_VALUE"""),"PR032")</f>
        <v>PR032</v>
      </c>
      <c r="B906" s="1" t="str">
        <f>IFERROR(__xludf.DUMMYFUNCTION("""COMPUTED_VALUE"""),"VD017")</f>
        <v>VD017</v>
      </c>
      <c r="C906" s="1">
        <f>IFERROR(__xludf.DUMMYFUNCTION("""COMPUTED_VALUE"""),12.0)</f>
        <v>12</v>
      </c>
      <c r="D906" s="1">
        <f>IFERROR(__xludf.DUMMYFUNCTION("""COMPUTED_VALUE"""),3030.0)</f>
        <v>3030</v>
      </c>
    </row>
    <row r="907">
      <c r="A907" s="1" t="str">
        <f>IFERROR(__xludf.DUMMYFUNCTION("""COMPUTED_VALUE"""),"PR060")</f>
        <v>PR060</v>
      </c>
      <c r="B907" s="1" t="str">
        <f>IFERROR(__xludf.DUMMYFUNCTION("""COMPUTED_VALUE"""),"VD040")</f>
        <v>VD040</v>
      </c>
      <c r="C907" s="1">
        <f>IFERROR(__xludf.DUMMYFUNCTION("""COMPUTED_VALUE"""),18.0)</f>
        <v>18</v>
      </c>
      <c r="D907" s="1">
        <f>IFERROR(__xludf.DUMMYFUNCTION("""COMPUTED_VALUE"""),3434.4)</f>
        <v>3434.4</v>
      </c>
    </row>
    <row r="908">
      <c r="A908" s="1" t="str">
        <f>IFERROR(__xludf.DUMMYFUNCTION("""COMPUTED_VALUE"""),"PR041")</f>
        <v>PR041</v>
      </c>
      <c r="B908" s="1" t="str">
        <f>IFERROR(__xludf.DUMMYFUNCTION("""COMPUTED_VALUE"""),"VD018")</f>
        <v>VD018</v>
      </c>
      <c r="C908" s="1">
        <f>IFERROR(__xludf.DUMMYFUNCTION("""COMPUTED_VALUE"""),1.0)</f>
        <v>1</v>
      </c>
      <c r="D908" s="1">
        <f>IFERROR(__xludf.DUMMYFUNCTION("""COMPUTED_VALUE"""),59.29)</f>
        <v>59.29</v>
      </c>
    </row>
    <row r="909">
      <c r="A909" s="1" t="str">
        <f>IFERROR(__xludf.DUMMYFUNCTION("""COMPUTED_VALUE"""),"PR029")</f>
        <v>PR029</v>
      </c>
      <c r="B909" s="1" t="str">
        <f>IFERROR(__xludf.DUMMYFUNCTION("""COMPUTED_VALUE"""),"VD029")</f>
        <v>VD029</v>
      </c>
      <c r="C909" s="1">
        <f>IFERROR(__xludf.DUMMYFUNCTION("""COMPUTED_VALUE"""),6.0)</f>
        <v>6</v>
      </c>
      <c r="D909" s="1">
        <f>IFERROR(__xludf.DUMMYFUNCTION("""COMPUTED_VALUE"""),1575.9)</f>
        <v>1575.9</v>
      </c>
    </row>
    <row r="910">
      <c r="A910" s="1" t="str">
        <f>IFERROR(__xludf.DUMMYFUNCTION("""COMPUTED_VALUE"""),"PR039")</f>
        <v>PR039</v>
      </c>
      <c r="B910" s="1" t="str">
        <f>IFERROR(__xludf.DUMMYFUNCTION("""COMPUTED_VALUE"""),"VD034")</f>
        <v>VD034</v>
      </c>
      <c r="C910" s="1">
        <f>IFERROR(__xludf.DUMMYFUNCTION("""COMPUTED_VALUE"""),16.0)</f>
        <v>16</v>
      </c>
      <c r="D910" s="1">
        <f>IFERROR(__xludf.DUMMYFUNCTION("""COMPUTED_VALUE"""),2336.0)</f>
        <v>2336</v>
      </c>
    </row>
    <row r="911">
      <c r="A911" s="1" t="str">
        <f>IFERROR(__xludf.DUMMYFUNCTION("""COMPUTED_VALUE"""),"PR048")</f>
        <v>PR048</v>
      </c>
      <c r="B911" s="1" t="str">
        <f>IFERROR(__xludf.DUMMYFUNCTION("""COMPUTED_VALUE"""),"VD026")</f>
        <v>VD026</v>
      </c>
      <c r="C911" s="1">
        <f>IFERROR(__xludf.DUMMYFUNCTION("""COMPUTED_VALUE"""),6.0)</f>
        <v>6</v>
      </c>
      <c r="D911" s="1">
        <f>IFERROR(__xludf.DUMMYFUNCTION("""COMPUTED_VALUE"""),1774.19)</f>
        <v>1774.19</v>
      </c>
    </row>
    <row r="912">
      <c r="A912" s="1" t="str">
        <f>IFERROR(__xludf.DUMMYFUNCTION("""COMPUTED_VALUE"""),"PR015")</f>
        <v>PR015</v>
      </c>
      <c r="B912" s="1" t="str">
        <f>IFERROR(__xludf.DUMMYFUNCTION("""COMPUTED_VALUE"""),"VD012")</f>
        <v>VD012</v>
      </c>
      <c r="C912" s="1">
        <f>IFERROR(__xludf.DUMMYFUNCTION("""COMPUTED_VALUE"""),2.0)</f>
        <v>2</v>
      </c>
      <c r="D912" s="1">
        <f>IFERROR(__xludf.DUMMYFUNCTION("""COMPUTED_VALUE"""),85.85)</f>
        <v>85.85</v>
      </c>
    </row>
    <row r="913">
      <c r="A913" s="1" t="str">
        <f>IFERROR(__xludf.DUMMYFUNCTION("""COMPUTED_VALUE"""),"PR051")</f>
        <v>PR051</v>
      </c>
      <c r="B913" s="1" t="str">
        <f>IFERROR(__xludf.DUMMYFUNCTION("""COMPUTED_VALUE"""),"VD036")</f>
        <v>VD036</v>
      </c>
      <c r="C913" s="1">
        <f>IFERROR(__xludf.DUMMYFUNCTION("""COMPUTED_VALUE"""),10.0)</f>
        <v>10</v>
      </c>
      <c r="D913" s="1">
        <f>IFERROR(__xludf.DUMMYFUNCTION("""COMPUTED_VALUE"""),348.74)</f>
        <v>348.74</v>
      </c>
    </row>
    <row r="914">
      <c r="A914" s="1" t="str">
        <f>IFERROR(__xludf.DUMMYFUNCTION("""COMPUTED_VALUE"""),"PR060")</f>
        <v>PR060</v>
      </c>
      <c r="B914" s="1" t="str">
        <f>IFERROR(__xludf.DUMMYFUNCTION("""COMPUTED_VALUE"""),"VD021")</f>
        <v>VD021</v>
      </c>
      <c r="C914" s="1">
        <f>IFERROR(__xludf.DUMMYFUNCTION("""COMPUTED_VALUE"""),12.0)</f>
        <v>12</v>
      </c>
      <c r="D914" s="1">
        <f>IFERROR(__xludf.DUMMYFUNCTION("""COMPUTED_VALUE"""),2246.4)</f>
        <v>2246.4</v>
      </c>
    </row>
    <row r="915">
      <c r="A915" s="1" t="str">
        <f>IFERROR(__xludf.DUMMYFUNCTION("""COMPUTED_VALUE"""),"PR053")</f>
        <v>PR053</v>
      </c>
      <c r="B915" s="1" t="str">
        <f>IFERROR(__xludf.DUMMYFUNCTION("""COMPUTED_VALUE"""),"VD047")</f>
        <v>VD047</v>
      </c>
      <c r="C915" s="1">
        <f>IFERROR(__xludf.DUMMYFUNCTION("""COMPUTED_VALUE"""),6.0)</f>
        <v>6</v>
      </c>
      <c r="D915" s="1">
        <f>IFERROR(__xludf.DUMMYFUNCTION("""COMPUTED_VALUE"""),317.36)</f>
        <v>317.36</v>
      </c>
    </row>
    <row r="916">
      <c r="A916" s="1" t="str">
        <f>IFERROR(__xludf.DUMMYFUNCTION("""COMPUTED_VALUE"""),"PR051")</f>
        <v>PR051</v>
      </c>
      <c r="B916" s="1" t="str">
        <f>IFERROR(__xludf.DUMMYFUNCTION("""COMPUTED_VALUE"""),"VD016")</f>
        <v>VD016</v>
      </c>
      <c r="C916" s="1">
        <f>IFERROR(__xludf.DUMMYFUNCTION("""COMPUTED_VALUE"""),8.0)</f>
        <v>8</v>
      </c>
      <c r="D916" s="1">
        <f>IFERROR(__xludf.DUMMYFUNCTION("""COMPUTED_VALUE"""),263.2)</f>
        <v>263.2</v>
      </c>
    </row>
    <row r="917">
      <c r="A917" s="1" t="str">
        <f>IFERROR(__xludf.DUMMYFUNCTION("""COMPUTED_VALUE"""),"PR035")</f>
        <v>PR035</v>
      </c>
      <c r="B917" s="1" t="str">
        <f>IFERROR(__xludf.DUMMYFUNCTION("""COMPUTED_VALUE"""),"VD016")</f>
        <v>VD016</v>
      </c>
      <c r="C917" s="1">
        <f>IFERROR(__xludf.DUMMYFUNCTION("""COMPUTED_VALUE"""),12.0)</f>
        <v>12</v>
      </c>
      <c r="D917" s="1">
        <f>IFERROR(__xludf.DUMMYFUNCTION("""COMPUTED_VALUE"""),1107.77)</f>
        <v>1107.77</v>
      </c>
    </row>
    <row r="918">
      <c r="A918" s="1" t="str">
        <f>IFERROR(__xludf.DUMMYFUNCTION("""COMPUTED_VALUE"""),"PR046")</f>
        <v>PR046</v>
      </c>
      <c r="B918" s="1" t="str">
        <f>IFERROR(__xludf.DUMMYFUNCTION("""COMPUTED_VALUE"""),"VD031")</f>
        <v>VD031</v>
      </c>
      <c r="C918" s="1">
        <f>IFERROR(__xludf.DUMMYFUNCTION("""COMPUTED_VALUE"""),14.0)</f>
        <v>14</v>
      </c>
      <c r="D918" s="1">
        <f>IFERROR(__xludf.DUMMYFUNCTION("""COMPUTED_VALUE"""),4099.19)</f>
        <v>4099.19</v>
      </c>
    </row>
    <row r="919">
      <c r="A919" s="1" t="str">
        <f>IFERROR(__xludf.DUMMYFUNCTION("""COMPUTED_VALUE"""),"PR057")</f>
        <v>PR057</v>
      </c>
      <c r="B919" s="1" t="str">
        <f>IFERROR(__xludf.DUMMYFUNCTION("""COMPUTED_VALUE"""),"VD047")</f>
        <v>VD047</v>
      </c>
      <c r="C919" s="1">
        <f>IFERROR(__xludf.DUMMYFUNCTION("""COMPUTED_VALUE"""),12.0)</f>
        <v>12</v>
      </c>
      <c r="D919" s="1">
        <f>IFERROR(__xludf.DUMMYFUNCTION("""COMPUTED_VALUE"""),1121.95)</f>
        <v>1121.95</v>
      </c>
    </row>
    <row r="920">
      <c r="A920" s="1" t="str">
        <f>IFERROR(__xludf.DUMMYFUNCTION("""COMPUTED_VALUE"""),"PR050")</f>
        <v>PR050</v>
      </c>
      <c r="B920" s="1" t="str">
        <f>IFERROR(__xludf.DUMMYFUNCTION("""COMPUTED_VALUE"""),"VD031")</f>
        <v>VD031</v>
      </c>
      <c r="C920" s="1">
        <f>IFERROR(__xludf.DUMMYFUNCTION("""COMPUTED_VALUE"""),20.0)</f>
        <v>20</v>
      </c>
      <c r="D920" s="1">
        <f>IFERROR(__xludf.DUMMYFUNCTION("""COMPUTED_VALUE"""),697.48)</f>
        <v>697.48</v>
      </c>
    </row>
    <row r="921">
      <c r="A921" s="1" t="str">
        <f>IFERROR(__xludf.DUMMYFUNCTION("""COMPUTED_VALUE"""),"PR012")</f>
        <v>PR012</v>
      </c>
      <c r="B921" s="1" t="str">
        <f>IFERROR(__xludf.DUMMYFUNCTION("""COMPUTED_VALUE"""),"VD020")</f>
        <v>VD020</v>
      </c>
      <c r="C921" s="1">
        <f>IFERROR(__xludf.DUMMYFUNCTION("""COMPUTED_VALUE"""),14.0)</f>
        <v>14</v>
      </c>
      <c r="D921" s="1">
        <f>IFERROR(__xludf.DUMMYFUNCTION("""COMPUTED_VALUE"""),711.98)</f>
        <v>711.98</v>
      </c>
    </row>
    <row r="922">
      <c r="A922" s="1" t="str">
        <f>IFERROR(__xludf.DUMMYFUNCTION("""COMPUTED_VALUE"""),"PR011")</f>
        <v>PR011</v>
      </c>
      <c r="B922" s="1" t="str">
        <f>IFERROR(__xludf.DUMMYFUNCTION("""COMPUTED_VALUE"""),"VD038")</f>
        <v>VD038</v>
      </c>
      <c r="C922" s="1">
        <f>IFERROR(__xludf.DUMMYFUNCTION("""COMPUTED_VALUE"""),10.0)</f>
        <v>10</v>
      </c>
      <c r="D922" s="1">
        <f>IFERROR(__xludf.DUMMYFUNCTION("""COMPUTED_VALUE"""),492.45)</f>
        <v>492.45</v>
      </c>
    </row>
    <row r="923">
      <c r="A923" s="1" t="str">
        <f>IFERROR(__xludf.DUMMYFUNCTION("""COMPUTED_VALUE"""),"PR024")</f>
        <v>PR024</v>
      </c>
      <c r="B923" s="1" t="str">
        <f>IFERROR(__xludf.DUMMYFUNCTION("""COMPUTED_VALUE"""),"VD041")</f>
        <v>VD041</v>
      </c>
      <c r="C923" s="1">
        <f>IFERROR(__xludf.DUMMYFUNCTION("""COMPUTED_VALUE"""),2.0)</f>
        <v>2</v>
      </c>
      <c r="D923" s="1">
        <f>IFERROR(__xludf.DUMMYFUNCTION("""COMPUTED_VALUE"""),550.99)</f>
        <v>550.99</v>
      </c>
    </row>
    <row r="924">
      <c r="A924" s="1" t="str">
        <f>IFERROR(__xludf.DUMMYFUNCTION("""COMPUTED_VALUE"""),"PR049")</f>
        <v>PR049</v>
      </c>
      <c r="B924" s="1" t="str">
        <f>IFERROR(__xludf.DUMMYFUNCTION("""COMPUTED_VALUE"""),"VD017")</f>
        <v>VD017</v>
      </c>
      <c r="C924" s="1">
        <f>IFERROR(__xludf.DUMMYFUNCTION("""COMPUTED_VALUE"""),20.0)</f>
        <v>20</v>
      </c>
      <c r="D924" s="1">
        <f>IFERROR(__xludf.DUMMYFUNCTION("""COMPUTED_VALUE"""),671.16)</f>
        <v>671.16</v>
      </c>
    </row>
    <row r="925">
      <c r="A925" s="1" t="str">
        <f>IFERROR(__xludf.DUMMYFUNCTION("""COMPUTED_VALUE"""),"PR050")</f>
        <v>PR050</v>
      </c>
      <c r="B925" s="1" t="str">
        <f>IFERROR(__xludf.DUMMYFUNCTION("""COMPUTED_VALUE"""),"VD011")</f>
        <v>VD011</v>
      </c>
      <c r="C925" s="1">
        <f>IFERROR(__xludf.DUMMYFUNCTION("""COMPUTED_VALUE"""),2.0)</f>
        <v>2</v>
      </c>
      <c r="D925" s="1">
        <f>IFERROR(__xludf.DUMMYFUNCTION("""COMPUTED_VALUE"""),71.06)</f>
        <v>71.06</v>
      </c>
    </row>
    <row r="926">
      <c r="A926" s="1" t="str">
        <f>IFERROR(__xludf.DUMMYFUNCTION("""COMPUTED_VALUE"""),"PR008")</f>
        <v>PR008</v>
      </c>
      <c r="B926" s="1" t="str">
        <f>IFERROR(__xludf.DUMMYFUNCTION("""COMPUTED_VALUE"""),"VD046")</f>
        <v>VD046</v>
      </c>
      <c r="C926" s="1">
        <f>IFERROR(__xludf.DUMMYFUNCTION("""COMPUTED_VALUE"""),2.0)</f>
        <v>2</v>
      </c>
      <c r="D926" s="1">
        <f>IFERROR(__xludf.DUMMYFUNCTION("""COMPUTED_VALUE"""),186.99)</f>
        <v>186.99</v>
      </c>
    </row>
    <row r="927">
      <c r="A927" s="1" t="str">
        <f>IFERROR(__xludf.DUMMYFUNCTION("""COMPUTED_VALUE"""),"PR024")</f>
        <v>PR024</v>
      </c>
      <c r="B927" s="1" t="str">
        <f>IFERROR(__xludf.DUMMYFUNCTION("""COMPUTED_VALUE"""),"VD039")</f>
        <v>VD039</v>
      </c>
      <c r="C927" s="1">
        <f>IFERROR(__xludf.DUMMYFUNCTION("""COMPUTED_VALUE"""),2.0)</f>
        <v>2</v>
      </c>
      <c r="D927" s="1">
        <f>IFERROR(__xludf.DUMMYFUNCTION("""COMPUTED_VALUE"""),561.38)</f>
        <v>561.38</v>
      </c>
    </row>
    <row r="928">
      <c r="A928" s="1" t="str">
        <f>IFERROR(__xludf.DUMMYFUNCTION("""COMPUTED_VALUE"""),"PR016")</f>
        <v>PR016</v>
      </c>
      <c r="B928" s="1" t="str">
        <f>IFERROR(__xludf.DUMMYFUNCTION("""COMPUTED_VALUE"""),"VD028")</f>
        <v>VD028</v>
      </c>
      <c r="C928" s="1">
        <f>IFERROR(__xludf.DUMMYFUNCTION("""COMPUTED_VALUE"""),5.0)</f>
        <v>5</v>
      </c>
      <c r="D928" s="1">
        <f>IFERROR(__xludf.DUMMYFUNCTION("""COMPUTED_VALUE"""),132.09)</f>
        <v>132.09</v>
      </c>
    </row>
    <row r="929">
      <c r="A929" s="1" t="str">
        <f>IFERROR(__xludf.DUMMYFUNCTION("""COMPUTED_VALUE"""),"PR025")</f>
        <v>PR025</v>
      </c>
      <c r="B929" s="1" t="str">
        <f>IFERROR(__xludf.DUMMYFUNCTION("""COMPUTED_VALUE"""),"VD047")</f>
        <v>VD047</v>
      </c>
      <c r="C929" s="1">
        <f>IFERROR(__xludf.DUMMYFUNCTION("""COMPUTED_VALUE"""),20.0)</f>
        <v>20</v>
      </c>
      <c r="D929" s="1">
        <f>IFERROR(__xludf.DUMMYFUNCTION("""COMPUTED_VALUE"""),6297.9)</f>
        <v>6297.9</v>
      </c>
    </row>
    <row r="930">
      <c r="A930" s="1" t="str">
        <f>IFERROR(__xludf.DUMMYFUNCTION("""COMPUTED_VALUE"""),"PR055")</f>
        <v>PR055</v>
      </c>
      <c r="B930" s="1" t="str">
        <f>IFERROR(__xludf.DUMMYFUNCTION("""COMPUTED_VALUE"""),"VD047")</f>
        <v>VD047</v>
      </c>
      <c r="C930" s="1">
        <f>IFERROR(__xludf.DUMMYFUNCTION("""COMPUTED_VALUE"""),8.0)</f>
        <v>8</v>
      </c>
      <c r="D930" s="1">
        <f>IFERROR(__xludf.DUMMYFUNCTION("""COMPUTED_VALUE"""),783.93)</f>
        <v>783.93</v>
      </c>
    </row>
    <row r="931">
      <c r="A931" s="1" t="str">
        <f>IFERROR(__xludf.DUMMYFUNCTION("""COMPUTED_VALUE"""),"PR047")</f>
        <v>PR047</v>
      </c>
      <c r="B931" s="1" t="str">
        <f>IFERROR(__xludf.DUMMYFUNCTION("""COMPUTED_VALUE"""),"VD025")</f>
        <v>VD025</v>
      </c>
      <c r="C931" s="1">
        <f>IFERROR(__xludf.DUMMYFUNCTION("""COMPUTED_VALUE"""),7.0)</f>
        <v>7</v>
      </c>
      <c r="D931" s="1">
        <f>IFERROR(__xludf.DUMMYFUNCTION("""COMPUTED_VALUE"""),2110.47)</f>
        <v>2110.47</v>
      </c>
    </row>
    <row r="932">
      <c r="A932" s="1" t="str">
        <f>IFERROR(__xludf.DUMMYFUNCTION("""COMPUTED_VALUE"""),"PR001")</f>
        <v>PR001</v>
      </c>
      <c r="B932" s="1" t="str">
        <f>IFERROR(__xludf.DUMMYFUNCTION("""COMPUTED_VALUE"""),"VD012")</f>
        <v>VD012</v>
      </c>
      <c r="C932" s="1">
        <f>IFERROR(__xludf.DUMMYFUNCTION("""COMPUTED_VALUE"""),12.0)</f>
        <v>12</v>
      </c>
      <c r="D932" s="1">
        <f>IFERROR(__xludf.DUMMYFUNCTION("""COMPUTED_VALUE"""),846.16)</f>
        <v>846.16</v>
      </c>
    </row>
    <row r="933">
      <c r="A933" s="1" t="str">
        <f>IFERROR(__xludf.DUMMYFUNCTION("""COMPUTED_VALUE"""),"PR017")</f>
        <v>PR017</v>
      </c>
      <c r="B933" s="1" t="str">
        <f>IFERROR(__xludf.DUMMYFUNCTION("""COMPUTED_VALUE"""),"VD032")</f>
        <v>VD032</v>
      </c>
      <c r="C933" s="1">
        <f>IFERROR(__xludf.DUMMYFUNCTION("""COMPUTED_VALUE"""),18.0)</f>
        <v>18</v>
      </c>
      <c r="D933" s="1">
        <f>IFERROR(__xludf.DUMMYFUNCTION("""COMPUTED_VALUE"""),559.73)</f>
        <v>559.73</v>
      </c>
    </row>
    <row r="934">
      <c r="A934" s="1" t="str">
        <f>IFERROR(__xludf.DUMMYFUNCTION("""COMPUTED_VALUE"""),"PR031")</f>
        <v>PR031</v>
      </c>
      <c r="B934" s="1" t="str">
        <f>IFERROR(__xludf.DUMMYFUNCTION("""COMPUTED_VALUE"""),"VD039")</f>
        <v>VD039</v>
      </c>
      <c r="C934" s="1">
        <f>IFERROR(__xludf.DUMMYFUNCTION("""COMPUTED_VALUE"""),2.0)</f>
        <v>2</v>
      </c>
      <c r="D934" s="1">
        <f>IFERROR(__xludf.DUMMYFUNCTION("""COMPUTED_VALUE"""),529.2)</f>
        <v>529.2</v>
      </c>
    </row>
    <row r="935">
      <c r="A935" s="1" t="str">
        <f>IFERROR(__xludf.DUMMYFUNCTION("""COMPUTED_VALUE"""),"PR059")</f>
        <v>PR059</v>
      </c>
      <c r="B935" s="1" t="str">
        <f>IFERROR(__xludf.DUMMYFUNCTION("""COMPUTED_VALUE"""),"VD024")</f>
        <v>VD024</v>
      </c>
      <c r="C935" s="1">
        <f>IFERROR(__xludf.DUMMYFUNCTION("""COMPUTED_VALUE"""),14.0)</f>
        <v>14</v>
      </c>
      <c r="D935" s="1">
        <f>IFERROR(__xludf.DUMMYFUNCTION("""COMPUTED_VALUE"""),2570.4)</f>
        <v>2570.4</v>
      </c>
    </row>
    <row r="936">
      <c r="A936" s="1" t="str">
        <f>IFERROR(__xludf.DUMMYFUNCTION("""COMPUTED_VALUE"""),"PR008")</f>
        <v>PR008</v>
      </c>
      <c r="B936" s="1" t="str">
        <f>IFERROR(__xludf.DUMMYFUNCTION("""COMPUTED_VALUE"""),"VD046")</f>
        <v>VD046</v>
      </c>
      <c r="C936" s="1">
        <f>IFERROR(__xludf.DUMMYFUNCTION("""COMPUTED_VALUE"""),8.0)</f>
        <v>8</v>
      </c>
      <c r="D936" s="1">
        <f>IFERROR(__xludf.DUMMYFUNCTION("""COMPUTED_VALUE"""),776.74)</f>
        <v>776.74</v>
      </c>
    </row>
    <row r="937">
      <c r="A937" s="1" t="str">
        <f>IFERROR(__xludf.DUMMYFUNCTION("""COMPUTED_VALUE"""),"PR044")</f>
        <v>PR044</v>
      </c>
      <c r="B937" s="1" t="str">
        <f>IFERROR(__xludf.DUMMYFUNCTION("""COMPUTED_VALUE"""),"VD037")</f>
        <v>VD037</v>
      </c>
      <c r="C937" s="1">
        <f>IFERROR(__xludf.DUMMYFUNCTION("""COMPUTED_VALUE"""),8.0)</f>
        <v>8</v>
      </c>
      <c r="D937" s="1">
        <f>IFERROR(__xludf.DUMMYFUNCTION("""COMPUTED_VALUE"""),585.8)</f>
        <v>585.8</v>
      </c>
    </row>
    <row r="938">
      <c r="A938" s="1" t="str">
        <f>IFERROR(__xludf.DUMMYFUNCTION("""COMPUTED_VALUE"""),"PR034")</f>
        <v>PR034</v>
      </c>
      <c r="B938" s="1" t="str">
        <f>IFERROR(__xludf.DUMMYFUNCTION("""COMPUTED_VALUE"""),"VD020")</f>
        <v>VD020</v>
      </c>
      <c r="C938" s="1">
        <f>IFERROR(__xludf.DUMMYFUNCTION("""COMPUTED_VALUE"""),2.0)</f>
        <v>2</v>
      </c>
      <c r="D938" s="1">
        <f>IFERROR(__xludf.DUMMYFUNCTION("""COMPUTED_VALUE"""),183.4)</f>
        <v>183.4</v>
      </c>
    </row>
    <row r="939">
      <c r="A939" s="1" t="str">
        <f>IFERROR(__xludf.DUMMYFUNCTION("""COMPUTED_VALUE"""),"PR020")</f>
        <v>PR020</v>
      </c>
      <c r="B939" s="1" t="str">
        <f>IFERROR(__xludf.DUMMYFUNCTION("""COMPUTED_VALUE"""),"VD014")</f>
        <v>VD014</v>
      </c>
      <c r="C939" s="1">
        <f>IFERROR(__xludf.DUMMYFUNCTION("""COMPUTED_VALUE"""),8.0)</f>
        <v>8</v>
      </c>
      <c r="D939" s="1">
        <f>IFERROR(__xludf.DUMMYFUNCTION("""COMPUTED_VALUE"""),2639.12)</f>
        <v>2639.12</v>
      </c>
    </row>
    <row r="940">
      <c r="A940" s="1" t="str">
        <f>IFERROR(__xludf.DUMMYFUNCTION("""COMPUTED_VALUE"""),"PR056")</f>
        <v>PR056</v>
      </c>
      <c r="B940" s="1" t="str">
        <f>IFERROR(__xludf.DUMMYFUNCTION("""COMPUTED_VALUE"""),"VD013")</f>
        <v>VD013</v>
      </c>
      <c r="C940" s="1">
        <f>IFERROR(__xludf.DUMMYFUNCTION("""COMPUTED_VALUE"""),16.0)</f>
        <v>16</v>
      </c>
      <c r="D940" s="1">
        <f>IFERROR(__xludf.DUMMYFUNCTION("""COMPUTED_VALUE"""),1438.4)</f>
        <v>1438.4</v>
      </c>
    </row>
    <row r="941">
      <c r="A941" s="1" t="str">
        <f>IFERROR(__xludf.DUMMYFUNCTION("""COMPUTED_VALUE"""),"PR057")</f>
        <v>PR057</v>
      </c>
      <c r="B941" s="1" t="str">
        <f>IFERROR(__xludf.DUMMYFUNCTION("""COMPUTED_VALUE"""),"VD018")</f>
        <v>VD018</v>
      </c>
      <c r="C941" s="1">
        <f>IFERROR(__xludf.DUMMYFUNCTION("""COMPUTED_VALUE"""),14.0)</f>
        <v>14</v>
      </c>
      <c r="D941" s="1">
        <f>IFERROR(__xludf.DUMMYFUNCTION("""COMPUTED_VALUE"""),1346.7)</f>
        <v>1346.7</v>
      </c>
    </row>
    <row r="942">
      <c r="A942" s="1" t="str">
        <f>IFERROR(__xludf.DUMMYFUNCTION("""COMPUTED_VALUE"""),"PR038")</f>
        <v>PR038</v>
      </c>
      <c r="B942" s="1" t="str">
        <f>IFERROR(__xludf.DUMMYFUNCTION("""COMPUTED_VALUE"""),"VD031")</f>
        <v>VD031</v>
      </c>
      <c r="C942" s="1">
        <f>IFERROR(__xludf.DUMMYFUNCTION("""COMPUTED_VALUE"""),14.0)</f>
        <v>14</v>
      </c>
      <c r="D942" s="1">
        <f>IFERROR(__xludf.DUMMYFUNCTION("""COMPUTED_VALUE"""),2180.65)</f>
        <v>2180.65</v>
      </c>
    </row>
    <row r="943">
      <c r="A943" s="1" t="str">
        <f>IFERROR(__xludf.DUMMYFUNCTION("""COMPUTED_VALUE"""),"PR033")</f>
        <v>PR033</v>
      </c>
      <c r="B943" s="1" t="str">
        <f>IFERROR(__xludf.DUMMYFUNCTION("""COMPUTED_VALUE"""),"VD041")</f>
        <v>VD041</v>
      </c>
      <c r="C943" s="1">
        <f>IFERROR(__xludf.DUMMYFUNCTION("""COMPUTED_VALUE"""),2.0)</f>
        <v>2</v>
      </c>
      <c r="D943" s="1">
        <f>IFERROR(__xludf.DUMMYFUNCTION("""COMPUTED_VALUE"""),535.39)</f>
        <v>535.39</v>
      </c>
    </row>
    <row r="944">
      <c r="A944" s="1" t="str">
        <f>IFERROR(__xludf.DUMMYFUNCTION("""COMPUTED_VALUE"""),"PR008")</f>
        <v>PR008</v>
      </c>
      <c r="B944" s="1" t="str">
        <f>IFERROR(__xludf.DUMMYFUNCTION("""COMPUTED_VALUE"""),"VD019")</f>
        <v>VD019</v>
      </c>
      <c r="C944" s="1">
        <f>IFERROR(__xludf.DUMMYFUNCTION("""COMPUTED_VALUE"""),10.0)</f>
        <v>10</v>
      </c>
      <c r="D944" s="1">
        <f>IFERROR(__xludf.DUMMYFUNCTION("""COMPUTED_VALUE"""),934.96)</f>
        <v>934.96</v>
      </c>
    </row>
    <row r="945">
      <c r="A945" s="1" t="str">
        <f>IFERROR(__xludf.DUMMYFUNCTION("""COMPUTED_VALUE"""),"PR051")</f>
        <v>PR051</v>
      </c>
      <c r="B945" s="1" t="str">
        <f>IFERROR(__xludf.DUMMYFUNCTION("""COMPUTED_VALUE"""),"VD037")</f>
        <v>VD037</v>
      </c>
      <c r="C945" s="1">
        <f>IFERROR(__xludf.DUMMYFUNCTION("""COMPUTED_VALUE"""),4.0)</f>
        <v>4</v>
      </c>
      <c r="D945" s="1">
        <f>IFERROR(__xludf.DUMMYFUNCTION("""COMPUTED_VALUE"""),135.55)</f>
        <v>135.55</v>
      </c>
    </row>
    <row r="946">
      <c r="A946" s="1" t="str">
        <f>IFERROR(__xludf.DUMMYFUNCTION("""COMPUTED_VALUE"""),"PR038")</f>
        <v>PR038</v>
      </c>
      <c r="B946" s="1" t="str">
        <f>IFERROR(__xludf.DUMMYFUNCTION("""COMPUTED_VALUE"""),"VD022")</f>
        <v>VD022</v>
      </c>
      <c r="C946" s="1">
        <f>IFERROR(__xludf.DUMMYFUNCTION("""COMPUTED_VALUE"""),7.0)</f>
        <v>7</v>
      </c>
      <c r="D946" s="1">
        <f>IFERROR(__xludf.DUMMYFUNCTION("""COMPUTED_VALUE"""),1100.33)</f>
        <v>1100.33</v>
      </c>
    </row>
    <row r="947">
      <c r="A947" s="1" t="str">
        <f>IFERROR(__xludf.DUMMYFUNCTION("""COMPUTED_VALUE"""),"PR009")</f>
        <v>PR009</v>
      </c>
      <c r="B947" s="1" t="str">
        <f>IFERROR(__xludf.DUMMYFUNCTION("""COMPUTED_VALUE"""),"VD013")</f>
        <v>VD013</v>
      </c>
      <c r="C947" s="1">
        <f>IFERROR(__xludf.DUMMYFUNCTION("""COMPUTED_VALUE"""),2.0)</f>
        <v>2</v>
      </c>
      <c r="D947" s="1">
        <f>IFERROR(__xludf.DUMMYFUNCTION("""COMPUTED_VALUE"""),195.09)</f>
        <v>195.09</v>
      </c>
    </row>
    <row r="948">
      <c r="A948" s="1" t="str">
        <f>IFERROR(__xludf.DUMMYFUNCTION("""COMPUTED_VALUE"""),"PR017")</f>
        <v>PR017</v>
      </c>
      <c r="B948" s="1" t="str">
        <f>IFERROR(__xludf.DUMMYFUNCTION("""COMPUTED_VALUE"""),"VD022")</f>
        <v>VD022</v>
      </c>
      <c r="C948" s="1">
        <f>IFERROR(__xludf.DUMMYFUNCTION("""COMPUTED_VALUE"""),8.0)</f>
        <v>8</v>
      </c>
      <c r="D948" s="1">
        <f>IFERROR(__xludf.DUMMYFUNCTION("""COMPUTED_VALUE"""),263.12)</f>
        <v>263.12</v>
      </c>
    </row>
    <row r="949">
      <c r="A949" s="1" t="str">
        <f>IFERROR(__xludf.DUMMYFUNCTION("""COMPUTED_VALUE"""),"PR036")</f>
        <v>PR036</v>
      </c>
      <c r="B949" s="1" t="str">
        <f>IFERROR(__xludf.DUMMYFUNCTION("""COMPUTED_VALUE"""),"VD048")</f>
        <v>VD048</v>
      </c>
      <c r="C949" s="1">
        <f>IFERROR(__xludf.DUMMYFUNCTION("""COMPUTED_VALUE"""),14.0)</f>
        <v>14</v>
      </c>
      <c r="D949" s="1">
        <f>IFERROR(__xludf.DUMMYFUNCTION("""COMPUTED_VALUE"""),1374.45)</f>
        <v>1374.45</v>
      </c>
    </row>
    <row r="950">
      <c r="A950" s="1" t="str">
        <f>IFERROR(__xludf.DUMMYFUNCTION("""COMPUTED_VALUE"""),"PR008")</f>
        <v>PR008</v>
      </c>
      <c r="B950" s="1" t="str">
        <f>IFERROR(__xludf.DUMMYFUNCTION("""COMPUTED_VALUE"""),"VD014")</f>
        <v>VD014</v>
      </c>
      <c r="C950" s="1">
        <f>IFERROR(__xludf.DUMMYFUNCTION("""COMPUTED_VALUE"""),8.0)</f>
        <v>8</v>
      </c>
      <c r="D950" s="1">
        <f>IFERROR(__xludf.DUMMYFUNCTION("""COMPUTED_VALUE"""),783.93)</f>
        <v>783.93</v>
      </c>
    </row>
    <row r="951">
      <c r="A951" s="1" t="str">
        <f>IFERROR(__xludf.DUMMYFUNCTION("""COMPUTED_VALUE"""),"PR047")</f>
        <v>PR047</v>
      </c>
      <c r="B951" s="1" t="str">
        <f>IFERROR(__xludf.DUMMYFUNCTION("""COMPUTED_VALUE"""),"VD019")</f>
        <v>VD019</v>
      </c>
      <c r="C951" s="1">
        <f>IFERROR(__xludf.DUMMYFUNCTION("""COMPUTED_VALUE"""),5.0)</f>
        <v>5</v>
      </c>
      <c r="D951" s="1">
        <f>IFERROR(__xludf.DUMMYFUNCTION("""COMPUTED_VALUE"""),1550.97)</f>
        <v>1550.97</v>
      </c>
    </row>
    <row r="952">
      <c r="A952" s="1" t="str">
        <f>IFERROR(__xludf.DUMMYFUNCTION("""COMPUTED_VALUE"""),"PR046")</f>
        <v>PR046</v>
      </c>
      <c r="B952" s="1" t="str">
        <f>IFERROR(__xludf.DUMMYFUNCTION("""COMPUTED_VALUE"""),"VD021")</f>
        <v>VD021</v>
      </c>
      <c r="C952" s="1">
        <f>IFERROR(__xludf.DUMMYFUNCTION("""COMPUTED_VALUE"""),3.0)</f>
        <v>3</v>
      </c>
      <c r="D952" s="1">
        <f>IFERROR(__xludf.DUMMYFUNCTION("""COMPUTED_VALUE"""),930.58)</f>
        <v>930.58</v>
      </c>
    </row>
    <row r="953">
      <c r="A953" s="1" t="str">
        <f>IFERROR(__xludf.DUMMYFUNCTION("""COMPUTED_VALUE"""),"PR050")</f>
        <v>PR050</v>
      </c>
      <c r="B953" s="1" t="str">
        <f>IFERROR(__xludf.DUMMYFUNCTION("""COMPUTED_VALUE"""),"VD018")</f>
        <v>VD018</v>
      </c>
      <c r="C953" s="1">
        <f>IFERROR(__xludf.DUMMYFUNCTION("""COMPUTED_VALUE"""),4.0)</f>
        <v>4</v>
      </c>
      <c r="D953" s="1">
        <f>IFERROR(__xludf.DUMMYFUNCTION("""COMPUTED_VALUE"""),144.76)</f>
        <v>144.76</v>
      </c>
    </row>
    <row r="954">
      <c r="A954" s="1" t="str">
        <f>IFERROR(__xludf.DUMMYFUNCTION("""COMPUTED_VALUE"""),"PR038")</f>
        <v>PR038</v>
      </c>
      <c r="B954" s="1" t="str">
        <f>IFERROR(__xludf.DUMMYFUNCTION("""COMPUTED_VALUE"""),"VD034")</f>
        <v>VD034</v>
      </c>
      <c r="C954" s="1">
        <f>IFERROR(__xludf.DUMMYFUNCTION("""COMPUTED_VALUE"""),1.0)</f>
        <v>1</v>
      </c>
      <c r="D954" s="1">
        <f>IFERROR(__xludf.DUMMYFUNCTION("""COMPUTED_VALUE"""),148.62)</f>
        <v>148.62</v>
      </c>
    </row>
    <row r="955">
      <c r="A955" s="1" t="str">
        <f>IFERROR(__xludf.DUMMYFUNCTION("""COMPUTED_VALUE"""),"PR046")</f>
        <v>PR046</v>
      </c>
      <c r="B955" s="1" t="str">
        <f>IFERROR(__xludf.DUMMYFUNCTION("""COMPUTED_VALUE"""),"VD018")</f>
        <v>VD018</v>
      </c>
      <c r="C955" s="1">
        <f>IFERROR(__xludf.DUMMYFUNCTION("""COMPUTED_VALUE"""),3.0)</f>
        <v>3</v>
      </c>
      <c r="D955" s="1">
        <f>IFERROR(__xludf.DUMMYFUNCTION("""COMPUTED_VALUE"""),947.97)</f>
        <v>947.97</v>
      </c>
    </row>
    <row r="956">
      <c r="A956" s="1" t="str">
        <f>IFERROR(__xludf.DUMMYFUNCTION("""COMPUTED_VALUE"""),"PR004")</f>
        <v>PR004</v>
      </c>
      <c r="B956" s="1" t="str">
        <f>IFERROR(__xludf.DUMMYFUNCTION("""COMPUTED_VALUE"""),"VD026")</f>
        <v>VD026</v>
      </c>
      <c r="C956" s="1">
        <f>IFERROR(__xludf.DUMMYFUNCTION("""COMPUTED_VALUE"""),2.0)</f>
        <v>2</v>
      </c>
      <c r="D956" s="1">
        <f>IFERROR(__xludf.DUMMYFUNCTION("""COMPUTED_VALUE"""),301.6)</f>
        <v>301.6</v>
      </c>
    </row>
    <row r="957">
      <c r="A957" s="1" t="str">
        <f>IFERROR(__xludf.DUMMYFUNCTION("""COMPUTED_VALUE"""),"PR030")</f>
        <v>PR030</v>
      </c>
      <c r="B957" s="1" t="str">
        <f>IFERROR(__xludf.DUMMYFUNCTION("""COMPUTED_VALUE"""),"VD012")</f>
        <v>VD012</v>
      </c>
      <c r="C957" s="1">
        <f>IFERROR(__xludf.DUMMYFUNCTION("""COMPUTED_VALUE"""),9.0)</f>
        <v>9</v>
      </c>
      <c r="D957" s="1">
        <f>IFERROR(__xludf.DUMMYFUNCTION("""COMPUTED_VALUE"""),2339.1)</f>
        <v>2339.1</v>
      </c>
    </row>
    <row r="958">
      <c r="A958" s="1" t="str">
        <f>IFERROR(__xludf.DUMMYFUNCTION("""COMPUTED_VALUE"""),"PR019")</f>
        <v>PR019</v>
      </c>
      <c r="B958" s="1" t="str">
        <f>IFERROR(__xludf.DUMMYFUNCTION("""COMPUTED_VALUE"""),"VD027")</f>
        <v>VD027</v>
      </c>
      <c r="C958" s="1">
        <f>IFERROR(__xludf.DUMMYFUNCTION("""COMPUTED_VALUE"""),1.0)</f>
        <v>1</v>
      </c>
      <c r="D958" s="1">
        <f>IFERROR(__xludf.DUMMYFUNCTION("""COMPUTED_VALUE"""),49.9)</f>
        <v>49.9</v>
      </c>
    </row>
    <row r="959">
      <c r="A959" s="1" t="str">
        <f>IFERROR(__xludf.DUMMYFUNCTION("""COMPUTED_VALUE"""),"PR019")</f>
        <v>PR019</v>
      </c>
      <c r="B959" s="1" t="str">
        <f>IFERROR(__xludf.DUMMYFUNCTION("""COMPUTED_VALUE"""),"VD019")</f>
        <v>VD019</v>
      </c>
      <c r="C959" s="1">
        <f>IFERROR(__xludf.DUMMYFUNCTION("""COMPUTED_VALUE"""),20.0)</f>
        <v>20</v>
      </c>
      <c r="D959" s="1">
        <f>IFERROR(__xludf.DUMMYFUNCTION("""COMPUTED_VALUE"""),1027.94)</f>
        <v>1027.94</v>
      </c>
    </row>
    <row r="960">
      <c r="A960" s="1" t="str">
        <f>IFERROR(__xludf.DUMMYFUNCTION("""COMPUTED_VALUE"""),"PR020")</f>
        <v>PR020</v>
      </c>
      <c r="B960" s="1" t="str">
        <f>IFERROR(__xludf.DUMMYFUNCTION("""COMPUTED_VALUE"""),"VD038")</f>
        <v>VD038</v>
      </c>
      <c r="C960" s="1">
        <f>IFERROR(__xludf.DUMMYFUNCTION("""COMPUTED_VALUE"""),7.0)</f>
        <v>7</v>
      </c>
      <c r="D960" s="1">
        <f>IFERROR(__xludf.DUMMYFUNCTION("""COMPUTED_VALUE"""),2225.26)</f>
        <v>2225.26</v>
      </c>
    </row>
    <row r="961">
      <c r="A961" s="1" t="str">
        <f>IFERROR(__xludf.DUMMYFUNCTION("""COMPUTED_VALUE"""),"PR041")</f>
        <v>PR041</v>
      </c>
      <c r="B961" s="1" t="str">
        <f>IFERROR(__xludf.DUMMYFUNCTION("""COMPUTED_VALUE"""),"VD023")</f>
        <v>VD023</v>
      </c>
      <c r="C961" s="1">
        <f>IFERROR(__xludf.DUMMYFUNCTION("""COMPUTED_VALUE"""),16.0)</f>
        <v>16</v>
      </c>
      <c r="D961" s="1">
        <f>IFERROR(__xludf.DUMMYFUNCTION("""COMPUTED_VALUE"""),887.18)</f>
        <v>887.18</v>
      </c>
    </row>
    <row r="962">
      <c r="A962" s="1" t="str">
        <f>IFERROR(__xludf.DUMMYFUNCTION("""COMPUTED_VALUE"""),"PR004")</f>
        <v>PR004</v>
      </c>
      <c r="B962" s="1" t="str">
        <f>IFERROR(__xludf.DUMMYFUNCTION("""COMPUTED_VALUE"""),"VD039")</f>
        <v>VD039</v>
      </c>
      <c r="C962" s="1">
        <f>IFERROR(__xludf.DUMMYFUNCTION("""COMPUTED_VALUE"""),8.0)</f>
        <v>8</v>
      </c>
      <c r="D962" s="1">
        <f>IFERROR(__xludf.DUMMYFUNCTION("""COMPUTED_VALUE"""),1160.0)</f>
        <v>1160</v>
      </c>
    </row>
    <row r="963">
      <c r="A963" s="1" t="str">
        <f>IFERROR(__xludf.DUMMYFUNCTION("""COMPUTED_VALUE"""),"PR028")</f>
        <v>PR028</v>
      </c>
      <c r="B963" s="1" t="str">
        <f>IFERROR(__xludf.DUMMYFUNCTION("""COMPUTED_VALUE"""),"VD038")</f>
        <v>VD038</v>
      </c>
      <c r="C963" s="1">
        <f>IFERROR(__xludf.DUMMYFUNCTION("""COMPUTED_VALUE"""),6.0)</f>
        <v>6</v>
      </c>
      <c r="D963" s="1">
        <f>IFERROR(__xludf.DUMMYFUNCTION("""COMPUTED_VALUE"""),1544.38)</f>
        <v>1544.38</v>
      </c>
    </row>
    <row r="964">
      <c r="A964" s="1" t="str">
        <f>IFERROR(__xludf.DUMMYFUNCTION("""COMPUTED_VALUE"""),"PR023")</f>
        <v>PR023</v>
      </c>
      <c r="B964" s="1" t="str">
        <f>IFERROR(__xludf.DUMMYFUNCTION("""COMPUTED_VALUE"""),"VD012")</f>
        <v>VD012</v>
      </c>
      <c r="C964" s="1">
        <f>IFERROR(__xludf.DUMMYFUNCTION("""COMPUTED_VALUE"""),10.0)</f>
        <v>10</v>
      </c>
      <c r="D964" s="1">
        <f>IFERROR(__xludf.DUMMYFUNCTION("""COMPUTED_VALUE"""),2673.93)</f>
        <v>2673.93</v>
      </c>
    </row>
    <row r="965">
      <c r="A965" s="1" t="str">
        <f>IFERROR(__xludf.DUMMYFUNCTION("""COMPUTED_VALUE"""),"PR033")</f>
        <v>PR033</v>
      </c>
      <c r="B965" s="1" t="str">
        <f>IFERROR(__xludf.DUMMYFUNCTION("""COMPUTED_VALUE"""),"VD015")</f>
        <v>VD015</v>
      </c>
      <c r="C965" s="1">
        <f>IFERROR(__xludf.DUMMYFUNCTION("""COMPUTED_VALUE"""),7.0)</f>
        <v>7</v>
      </c>
      <c r="D965" s="1">
        <f>IFERROR(__xludf.DUMMYFUNCTION("""COMPUTED_VALUE"""),1910.27)</f>
        <v>1910.27</v>
      </c>
    </row>
    <row r="966">
      <c r="A966" s="1" t="str">
        <f>IFERROR(__xludf.DUMMYFUNCTION("""COMPUTED_VALUE"""),"PR014")</f>
        <v>PR014</v>
      </c>
      <c r="B966" s="1" t="str">
        <f>IFERROR(__xludf.DUMMYFUNCTION("""COMPUTED_VALUE"""),"VD028")</f>
        <v>VD028</v>
      </c>
      <c r="C966" s="1">
        <f>IFERROR(__xludf.DUMMYFUNCTION("""COMPUTED_VALUE"""),10.0)</f>
        <v>10</v>
      </c>
      <c r="D966" s="1">
        <f>IFERROR(__xludf.DUMMYFUNCTION("""COMPUTED_VALUE"""),430.92)</f>
        <v>430.92</v>
      </c>
    </row>
    <row r="967">
      <c r="A967" s="1" t="str">
        <f>IFERROR(__xludf.DUMMYFUNCTION("""COMPUTED_VALUE"""),"PR003")</f>
        <v>PR003</v>
      </c>
      <c r="B967" s="1" t="str">
        <f>IFERROR(__xludf.DUMMYFUNCTION("""COMPUTED_VALUE"""),"VD043")</f>
        <v>VD043</v>
      </c>
      <c r="C967" s="1">
        <f>IFERROR(__xludf.DUMMYFUNCTION("""COMPUTED_VALUE"""),12.0)</f>
        <v>12</v>
      </c>
      <c r="D967" s="1">
        <f>IFERROR(__xludf.DUMMYFUNCTION("""COMPUTED_VALUE"""),893.34)</f>
        <v>893.34</v>
      </c>
    </row>
    <row r="968">
      <c r="A968" s="1" t="str">
        <f>IFERROR(__xludf.DUMMYFUNCTION("""COMPUTED_VALUE"""),"PR037")</f>
        <v>PR037</v>
      </c>
      <c r="B968" s="1" t="str">
        <f>IFERROR(__xludf.DUMMYFUNCTION("""COMPUTED_VALUE"""),"VD047")</f>
        <v>VD047</v>
      </c>
      <c r="C968" s="1">
        <f>IFERROR(__xludf.DUMMYFUNCTION("""COMPUTED_VALUE"""),16.0)</f>
        <v>16</v>
      </c>
      <c r="D968" s="1">
        <f>IFERROR(__xludf.DUMMYFUNCTION("""COMPUTED_VALUE"""),2307.2)</f>
        <v>2307.2</v>
      </c>
    </row>
    <row r="969">
      <c r="A969" s="1" t="str">
        <f>IFERROR(__xludf.DUMMYFUNCTION("""COMPUTED_VALUE"""),"PR010")</f>
        <v>PR010</v>
      </c>
      <c r="B969" s="1" t="str">
        <f>IFERROR(__xludf.DUMMYFUNCTION("""COMPUTED_VALUE"""),"VD048")</f>
        <v>VD048</v>
      </c>
      <c r="C969" s="1">
        <f>IFERROR(__xludf.DUMMYFUNCTION("""COMPUTED_VALUE"""),20.0)</f>
        <v>20</v>
      </c>
      <c r="D969" s="1">
        <f>IFERROR(__xludf.DUMMYFUNCTION("""COMPUTED_VALUE"""),915.96)</f>
        <v>915.96</v>
      </c>
    </row>
    <row r="970">
      <c r="A970" s="1" t="str">
        <f>IFERROR(__xludf.DUMMYFUNCTION("""COMPUTED_VALUE"""),"PR023")</f>
        <v>PR023</v>
      </c>
      <c r="B970" s="1" t="str">
        <f>IFERROR(__xludf.DUMMYFUNCTION("""COMPUTED_VALUE"""),"VD034")</f>
        <v>VD034</v>
      </c>
      <c r="C970" s="1">
        <f>IFERROR(__xludf.DUMMYFUNCTION("""COMPUTED_VALUE"""),4.0)</f>
        <v>4</v>
      </c>
      <c r="D970" s="1">
        <f>IFERROR(__xludf.DUMMYFUNCTION("""COMPUTED_VALUE"""),1059.58)</f>
        <v>1059.58</v>
      </c>
    </row>
    <row r="971">
      <c r="A971" s="1" t="str">
        <f>IFERROR(__xludf.DUMMYFUNCTION("""COMPUTED_VALUE"""),"PR038")</f>
        <v>PR038</v>
      </c>
      <c r="B971" s="1" t="str">
        <f>IFERROR(__xludf.DUMMYFUNCTION("""COMPUTED_VALUE"""),"VD024")</f>
        <v>VD024</v>
      </c>
      <c r="C971" s="1">
        <f>IFERROR(__xludf.DUMMYFUNCTION("""COMPUTED_VALUE"""),1.0)</f>
        <v>1</v>
      </c>
      <c r="D971" s="1">
        <f>IFERROR(__xludf.DUMMYFUNCTION("""COMPUTED_VALUE"""),142.9)</f>
        <v>142.9</v>
      </c>
    </row>
    <row r="972">
      <c r="A972" s="1" t="str">
        <f>IFERROR(__xludf.DUMMYFUNCTION("""COMPUTED_VALUE"""),"PR021")</f>
        <v>PR021</v>
      </c>
      <c r="B972" s="1" t="str">
        <f>IFERROR(__xludf.DUMMYFUNCTION("""COMPUTED_VALUE"""),"VD018")</f>
        <v>VD018</v>
      </c>
      <c r="C972" s="1">
        <f>IFERROR(__xludf.DUMMYFUNCTION("""COMPUTED_VALUE"""),4.0)</f>
        <v>4</v>
      </c>
      <c r="D972" s="1">
        <f>IFERROR(__xludf.DUMMYFUNCTION("""COMPUTED_VALUE"""),1211.6)</f>
        <v>1211.6</v>
      </c>
    </row>
    <row r="973">
      <c r="A973" s="1" t="str">
        <f>IFERROR(__xludf.DUMMYFUNCTION("""COMPUTED_VALUE"""),"PR022")</f>
        <v>PR022</v>
      </c>
      <c r="B973" s="1" t="str">
        <f>IFERROR(__xludf.DUMMYFUNCTION("""COMPUTED_VALUE"""),"VD045")</f>
        <v>VD045</v>
      </c>
      <c r="C973" s="1">
        <f>IFERROR(__xludf.DUMMYFUNCTION("""COMPUTED_VALUE"""),20.0)</f>
        <v>20</v>
      </c>
      <c r="D973" s="1">
        <f>IFERROR(__xludf.DUMMYFUNCTION("""COMPUTED_VALUE"""),6000.0)</f>
        <v>6000</v>
      </c>
    </row>
    <row r="974">
      <c r="A974" s="1" t="str">
        <f>IFERROR(__xludf.DUMMYFUNCTION("""COMPUTED_VALUE"""),"PR002")</f>
        <v>PR002</v>
      </c>
      <c r="B974" s="1" t="str">
        <f>IFERROR(__xludf.DUMMYFUNCTION("""COMPUTED_VALUE"""),"VD023")</f>
        <v>VD023</v>
      </c>
      <c r="C974" s="1">
        <f>IFERROR(__xludf.DUMMYFUNCTION("""COMPUTED_VALUE"""),3.0)</f>
        <v>3</v>
      </c>
      <c r="D974" s="1">
        <f>IFERROR(__xludf.DUMMYFUNCTION("""COMPUTED_VALUE"""),220.19)</f>
        <v>220.19</v>
      </c>
    </row>
    <row r="975">
      <c r="A975" s="1" t="str">
        <f>IFERROR(__xludf.DUMMYFUNCTION("""COMPUTED_VALUE"""),"PR035")</f>
        <v>PR035</v>
      </c>
      <c r="B975" s="1" t="str">
        <f>IFERROR(__xludf.DUMMYFUNCTION("""COMPUTED_VALUE"""),"VD010")</f>
        <v>VD010</v>
      </c>
      <c r="C975" s="1">
        <f>IFERROR(__xludf.DUMMYFUNCTION("""COMPUTED_VALUE"""),6.0)</f>
        <v>6</v>
      </c>
      <c r="D975" s="1">
        <f>IFERROR(__xludf.DUMMYFUNCTION("""COMPUTED_VALUE"""),559.37)</f>
        <v>559.37</v>
      </c>
    </row>
    <row r="976">
      <c r="A976" s="1" t="str">
        <f>IFERROR(__xludf.DUMMYFUNCTION("""COMPUTED_VALUE"""),"PR045")</f>
        <v>PR045</v>
      </c>
      <c r="B976" s="1" t="str">
        <f>IFERROR(__xludf.DUMMYFUNCTION("""COMPUTED_VALUE"""),"VD031")</f>
        <v>VD031</v>
      </c>
      <c r="C976" s="1">
        <f>IFERROR(__xludf.DUMMYFUNCTION("""COMPUTED_VALUE"""),2.0)</f>
        <v>2</v>
      </c>
      <c r="D976" s="1">
        <f>IFERROR(__xludf.DUMMYFUNCTION("""COMPUTED_VALUE"""),146.45)</f>
        <v>146.45</v>
      </c>
    </row>
    <row r="977">
      <c r="A977" s="1" t="str">
        <f>IFERROR(__xludf.DUMMYFUNCTION("""COMPUTED_VALUE"""),"PR011")</f>
        <v>PR011</v>
      </c>
      <c r="B977" s="1" t="str">
        <f>IFERROR(__xludf.DUMMYFUNCTION("""COMPUTED_VALUE"""),"VD040")</f>
        <v>VD040</v>
      </c>
      <c r="C977" s="1">
        <f>IFERROR(__xludf.DUMMYFUNCTION("""COMPUTED_VALUE"""),4.0)</f>
        <v>4</v>
      </c>
      <c r="D977" s="1">
        <f>IFERROR(__xludf.DUMMYFUNCTION("""COMPUTED_VALUE"""),202.61)</f>
        <v>202.61</v>
      </c>
    </row>
    <row r="978">
      <c r="A978" s="1" t="str">
        <f>IFERROR(__xludf.DUMMYFUNCTION("""COMPUTED_VALUE"""),"PR028")</f>
        <v>PR028</v>
      </c>
      <c r="B978" s="1" t="str">
        <f>IFERROR(__xludf.DUMMYFUNCTION("""COMPUTED_VALUE"""),"VD010")</f>
        <v>VD010</v>
      </c>
      <c r="C978" s="1">
        <f>IFERROR(__xludf.DUMMYFUNCTION("""COMPUTED_VALUE"""),10.0)</f>
        <v>10</v>
      </c>
      <c r="D978" s="1">
        <f>IFERROR(__xludf.DUMMYFUNCTION("""COMPUTED_VALUE"""),2673.93)</f>
        <v>2673.93</v>
      </c>
    </row>
    <row r="979">
      <c r="A979" s="1" t="str">
        <f>IFERROR(__xludf.DUMMYFUNCTION("""COMPUTED_VALUE"""),"PR007")</f>
        <v>PR007</v>
      </c>
      <c r="B979" s="1" t="str">
        <f>IFERROR(__xludf.DUMMYFUNCTION("""COMPUTED_VALUE"""),"VD017")</f>
        <v>VD017</v>
      </c>
      <c r="C979" s="1">
        <f>IFERROR(__xludf.DUMMYFUNCTION("""COMPUTED_VALUE"""),14.0)</f>
        <v>14</v>
      </c>
      <c r="D979" s="1">
        <f>IFERROR(__xludf.DUMMYFUNCTION("""COMPUTED_VALUE"""),1274.76)</f>
        <v>1274.76</v>
      </c>
    </row>
    <row r="980">
      <c r="A980" s="1" t="str">
        <f>IFERROR(__xludf.DUMMYFUNCTION("""COMPUTED_VALUE"""),"PR052")</f>
        <v>PR052</v>
      </c>
      <c r="B980" s="1" t="str">
        <f>IFERROR(__xludf.DUMMYFUNCTION("""COMPUTED_VALUE"""),"VD029")</f>
        <v>VD029</v>
      </c>
      <c r="C980" s="1">
        <f>IFERROR(__xludf.DUMMYFUNCTION("""COMPUTED_VALUE"""),6.0)</f>
        <v>6</v>
      </c>
      <c r="D980" s="1">
        <f>IFERROR(__xludf.DUMMYFUNCTION("""COMPUTED_VALUE"""),326.35)</f>
        <v>326.35</v>
      </c>
    </row>
    <row r="981">
      <c r="A981" s="1" t="str">
        <f>IFERROR(__xludf.DUMMYFUNCTION("""COMPUTED_VALUE"""),"PR046")</f>
        <v>PR046</v>
      </c>
      <c r="B981" s="1" t="str">
        <f>IFERROR(__xludf.DUMMYFUNCTION("""COMPUTED_VALUE"""),"VD022")</f>
        <v>VD022</v>
      </c>
      <c r="C981" s="1">
        <f>IFERROR(__xludf.DUMMYFUNCTION("""COMPUTED_VALUE"""),4.0)</f>
        <v>4</v>
      </c>
      <c r="D981" s="1">
        <f>IFERROR(__xludf.DUMMYFUNCTION("""COMPUTED_VALUE"""),1263.96)</f>
        <v>1263.96</v>
      </c>
    </row>
    <row r="982">
      <c r="A982" s="1" t="str">
        <f>IFERROR(__xludf.DUMMYFUNCTION("""COMPUTED_VALUE"""),"PR008")</f>
        <v>PR008</v>
      </c>
      <c r="B982" s="1" t="str">
        <f>IFERROR(__xludf.DUMMYFUNCTION("""COMPUTED_VALUE"""),"VD038")</f>
        <v>VD038</v>
      </c>
      <c r="C982" s="1">
        <f>IFERROR(__xludf.DUMMYFUNCTION("""COMPUTED_VALUE"""),8.0)</f>
        <v>8</v>
      </c>
      <c r="D982" s="1">
        <f>IFERROR(__xludf.DUMMYFUNCTION("""COMPUTED_VALUE"""),769.54)</f>
        <v>769.54</v>
      </c>
    </row>
    <row r="983">
      <c r="A983" s="1" t="str">
        <f>IFERROR(__xludf.DUMMYFUNCTION("""COMPUTED_VALUE"""),"PR039")</f>
        <v>PR039</v>
      </c>
      <c r="B983" s="1" t="str">
        <f>IFERROR(__xludf.DUMMYFUNCTION("""COMPUTED_VALUE"""),"VD038")</f>
        <v>VD038</v>
      </c>
      <c r="C983" s="1">
        <f>IFERROR(__xludf.DUMMYFUNCTION("""COMPUTED_VALUE"""),1.0)</f>
        <v>1</v>
      </c>
      <c r="D983" s="1">
        <f>IFERROR(__xludf.DUMMYFUNCTION("""COMPUTED_VALUE"""),146.0)</f>
        <v>146</v>
      </c>
    </row>
    <row r="984">
      <c r="A984" s="1" t="str">
        <f>IFERROR(__xludf.DUMMYFUNCTION("""COMPUTED_VALUE"""),"PR038")</f>
        <v>PR038</v>
      </c>
      <c r="B984" s="1" t="str">
        <f>IFERROR(__xludf.DUMMYFUNCTION("""COMPUTED_VALUE"""),"VD012")</f>
        <v>VD012</v>
      </c>
      <c r="C984" s="1">
        <f>IFERROR(__xludf.DUMMYFUNCTION("""COMPUTED_VALUE"""),4.0)</f>
        <v>4</v>
      </c>
      <c r="D984" s="1">
        <f>IFERROR(__xludf.DUMMYFUNCTION("""COMPUTED_VALUE"""),577.32)</f>
        <v>577.32</v>
      </c>
    </row>
    <row r="985">
      <c r="A985" s="1" t="str">
        <f>IFERROR(__xludf.DUMMYFUNCTION("""COMPUTED_VALUE"""),"PR030")</f>
        <v>PR030</v>
      </c>
      <c r="B985" s="1" t="str">
        <f>IFERROR(__xludf.DUMMYFUNCTION("""COMPUTED_VALUE"""),"VD035")</f>
        <v>VD035</v>
      </c>
      <c r="C985" s="1">
        <f>IFERROR(__xludf.DUMMYFUNCTION("""COMPUTED_VALUE"""),2.0)</f>
        <v>2</v>
      </c>
      <c r="D985" s="1">
        <f>IFERROR(__xludf.DUMMYFUNCTION("""COMPUTED_VALUE"""),571.78)</f>
        <v>571.78</v>
      </c>
    </row>
    <row r="986">
      <c r="A986" s="1" t="str">
        <f>IFERROR(__xludf.DUMMYFUNCTION("""COMPUTED_VALUE"""),"PR015")</f>
        <v>PR015</v>
      </c>
      <c r="B986" s="1" t="str">
        <f>IFERROR(__xludf.DUMMYFUNCTION("""COMPUTED_VALUE"""),"VD013")</f>
        <v>VD013</v>
      </c>
      <c r="C986" s="1">
        <f>IFERROR(__xludf.DUMMYFUNCTION("""COMPUTED_VALUE"""),20.0)</f>
        <v>20</v>
      </c>
      <c r="D986" s="1">
        <f>IFERROR(__xludf.DUMMYFUNCTION("""COMPUTED_VALUE"""),901.0)</f>
        <v>901</v>
      </c>
    </row>
    <row r="987">
      <c r="A987" s="1" t="str">
        <f>IFERROR(__xludf.DUMMYFUNCTION("""COMPUTED_VALUE"""),"PR025")</f>
        <v>PR025</v>
      </c>
      <c r="B987" s="1" t="str">
        <f>IFERROR(__xludf.DUMMYFUNCTION("""COMPUTED_VALUE"""),"VD021")</f>
        <v>VD021</v>
      </c>
      <c r="C987" s="1">
        <f>IFERROR(__xludf.DUMMYFUNCTION("""COMPUTED_VALUE"""),12.0)</f>
        <v>12</v>
      </c>
      <c r="D987" s="1">
        <f>IFERROR(__xludf.DUMMYFUNCTION("""COMPUTED_VALUE"""),3850.72)</f>
        <v>3850.72</v>
      </c>
    </row>
    <row r="988">
      <c r="A988" s="1" t="str">
        <f>IFERROR(__xludf.DUMMYFUNCTION("""COMPUTED_VALUE"""),"PR016")</f>
        <v>PR016</v>
      </c>
      <c r="B988" s="1" t="str">
        <f>IFERROR(__xludf.DUMMYFUNCTION("""COMPUTED_VALUE"""),"VD023")</f>
        <v>VD023</v>
      </c>
      <c r="C988" s="1">
        <f>IFERROR(__xludf.DUMMYFUNCTION("""COMPUTED_VALUE"""),14.0)</f>
        <v>14</v>
      </c>
      <c r="D988" s="1">
        <f>IFERROR(__xludf.DUMMYFUNCTION("""COMPUTED_VALUE"""),398.86)</f>
        <v>398.86</v>
      </c>
    </row>
    <row r="989">
      <c r="A989" s="1" t="str">
        <f>IFERROR(__xludf.DUMMYFUNCTION("""COMPUTED_VALUE"""),"PR048")</f>
        <v>PR048</v>
      </c>
      <c r="B989" s="1" t="str">
        <f>IFERROR(__xludf.DUMMYFUNCTION("""COMPUTED_VALUE"""),"VD038")</f>
        <v>VD038</v>
      </c>
      <c r="C989" s="1">
        <f>IFERROR(__xludf.DUMMYFUNCTION("""COMPUTED_VALUE"""),2.0)</f>
        <v>2</v>
      </c>
      <c r="D989" s="1">
        <f>IFERROR(__xludf.DUMMYFUNCTION("""COMPUTED_VALUE"""),620.39)</f>
        <v>620.39</v>
      </c>
    </row>
    <row r="990">
      <c r="A990" s="1" t="str">
        <f>IFERROR(__xludf.DUMMYFUNCTION("""COMPUTED_VALUE"""),"PR051")</f>
        <v>PR051</v>
      </c>
      <c r="B990" s="1" t="str">
        <f>IFERROR(__xludf.DUMMYFUNCTION("""COMPUTED_VALUE"""),"VD010")</f>
        <v>VD010</v>
      </c>
      <c r="C990" s="1">
        <f>IFERROR(__xludf.DUMMYFUNCTION("""COMPUTED_VALUE"""),10.0)</f>
        <v>10</v>
      </c>
      <c r="D990" s="1">
        <f>IFERROR(__xludf.DUMMYFUNCTION("""COMPUTED_VALUE"""),342.16)</f>
        <v>342.16</v>
      </c>
    </row>
    <row r="991">
      <c r="A991" s="1" t="str">
        <f>IFERROR(__xludf.DUMMYFUNCTION("""COMPUTED_VALUE"""),"PR060")</f>
        <v>PR060</v>
      </c>
      <c r="B991" s="1" t="str">
        <f>IFERROR(__xludf.DUMMYFUNCTION("""COMPUTED_VALUE"""),"VD025")</f>
        <v>VD025</v>
      </c>
      <c r="C991" s="1">
        <f>IFERROR(__xludf.DUMMYFUNCTION("""COMPUTED_VALUE"""),7.0)</f>
        <v>7</v>
      </c>
      <c r="D991" s="1">
        <f>IFERROR(__xludf.DUMMYFUNCTION("""COMPUTED_VALUE"""),1335.6)</f>
        <v>1335.6</v>
      </c>
    </row>
    <row r="992">
      <c r="A992" s="1" t="str">
        <f>IFERROR(__xludf.DUMMYFUNCTION("""COMPUTED_VALUE"""),"PR056")</f>
        <v>PR056</v>
      </c>
      <c r="B992" s="1" t="str">
        <f>IFERROR(__xludf.DUMMYFUNCTION("""COMPUTED_VALUE"""),"VD035")</f>
        <v>VD035</v>
      </c>
      <c r="C992" s="1">
        <f>IFERROR(__xludf.DUMMYFUNCTION("""COMPUTED_VALUE"""),4.0)</f>
        <v>4</v>
      </c>
      <c r="D992" s="1">
        <f>IFERROR(__xludf.DUMMYFUNCTION("""COMPUTED_VALUE"""),370.39)</f>
        <v>370.39</v>
      </c>
    </row>
    <row r="993">
      <c r="A993" s="1" t="str">
        <f>IFERROR(__xludf.DUMMYFUNCTION("""COMPUTED_VALUE"""),"PR033")</f>
        <v>PR033</v>
      </c>
      <c r="B993" s="1" t="str">
        <f>IFERROR(__xludf.DUMMYFUNCTION("""COMPUTED_VALUE"""),"VD036")</f>
        <v>VD036</v>
      </c>
      <c r="C993" s="1">
        <f>IFERROR(__xludf.DUMMYFUNCTION("""COMPUTED_VALUE"""),1.0)</f>
        <v>1</v>
      </c>
      <c r="D993" s="1">
        <f>IFERROR(__xludf.DUMMYFUNCTION("""COMPUTED_VALUE"""),262.5)</f>
        <v>262.5</v>
      </c>
    </row>
    <row r="994">
      <c r="A994" s="1" t="str">
        <f>IFERROR(__xludf.DUMMYFUNCTION("""COMPUTED_VALUE"""),"PR040")</f>
        <v>PR040</v>
      </c>
      <c r="B994" s="1" t="str">
        <f>IFERROR(__xludf.DUMMYFUNCTION("""COMPUTED_VALUE"""),"VD036")</f>
        <v>VD036</v>
      </c>
      <c r="C994" s="1">
        <f>IFERROR(__xludf.DUMMYFUNCTION("""COMPUTED_VALUE"""),8.0)</f>
        <v>8</v>
      </c>
      <c r="D994" s="1">
        <f>IFERROR(__xludf.DUMMYFUNCTION("""COMPUTED_VALUE"""),576.8)</f>
        <v>576.8</v>
      </c>
    </row>
    <row r="995">
      <c r="A995" s="1" t="str">
        <f>IFERROR(__xludf.DUMMYFUNCTION("""COMPUTED_VALUE"""),"PR045")</f>
        <v>PR045</v>
      </c>
      <c r="B995" s="1" t="str">
        <f>IFERROR(__xludf.DUMMYFUNCTION("""COMPUTED_VALUE"""),"VD020")</f>
        <v>VD020</v>
      </c>
      <c r="C995" s="1">
        <f>IFERROR(__xludf.DUMMYFUNCTION("""COMPUTED_VALUE"""),6.0)</f>
        <v>6</v>
      </c>
      <c r="D995" s="1">
        <f>IFERROR(__xludf.DUMMYFUNCTION("""COMPUTED_VALUE"""),435.0)</f>
        <v>435</v>
      </c>
    </row>
    <row r="996">
      <c r="A996" s="1" t="str">
        <f>IFERROR(__xludf.DUMMYFUNCTION("""COMPUTED_VALUE"""),"PR017")</f>
        <v>PR017</v>
      </c>
      <c r="B996" s="1" t="str">
        <f>IFERROR(__xludf.DUMMYFUNCTION("""COMPUTED_VALUE"""),"VD022")</f>
        <v>VD022</v>
      </c>
      <c r="C996" s="1">
        <f>IFERROR(__xludf.DUMMYFUNCTION("""COMPUTED_VALUE"""),10.0)</f>
        <v>10</v>
      </c>
      <c r="D996" s="1">
        <f>IFERROR(__xludf.DUMMYFUNCTION("""COMPUTED_VALUE"""),325.91)</f>
        <v>325.91</v>
      </c>
    </row>
    <row r="997">
      <c r="A997" s="1" t="str">
        <f>IFERROR(__xludf.DUMMYFUNCTION("""COMPUTED_VALUE"""),"PR033")</f>
        <v>PR033</v>
      </c>
      <c r="B997" s="1" t="str">
        <f>IFERROR(__xludf.DUMMYFUNCTION("""COMPUTED_VALUE"""),"VD036")</f>
        <v>VD036</v>
      </c>
      <c r="C997" s="1">
        <f>IFERROR(__xludf.DUMMYFUNCTION("""COMPUTED_VALUE"""),10.0)</f>
        <v>10</v>
      </c>
      <c r="D997" s="1">
        <f>IFERROR(__xludf.DUMMYFUNCTION("""COMPUTED_VALUE"""),2780.93)</f>
        <v>2780.93</v>
      </c>
    </row>
    <row r="998">
      <c r="A998" s="1" t="str">
        <f>IFERROR(__xludf.DUMMYFUNCTION("""COMPUTED_VALUE"""),"PR017")</f>
        <v>PR017</v>
      </c>
      <c r="B998" s="1" t="str">
        <f>IFERROR(__xludf.DUMMYFUNCTION("""COMPUTED_VALUE"""),"VD025")</f>
        <v>VD025</v>
      </c>
      <c r="C998" s="1">
        <f>IFERROR(__xludf.DUMMYFUNCTION("""COMPUTED_VALUE"""),1.0)</f>
        <v>1</v>
      </c>
      <c r="D998" s="1">
        <f>IFERROR(__xludf.DUMMYFUNCTION("""COMPUTED_VALUE"""),30.2)</f>
        <v>30.2</v>
      </c>
    </row>
    <row r="999">
      <c r="A999" s="1" t="str">
        <f>IFERROR(__xludf.DUMMYFUNCTION("""COMPUTED_VALUE"""),"PR055")</f>
        <v>PR055</v>
      </c>
      <c r="B999" s="1" t="str">
        <f>IFERROR(__xludf.DUMMYFUNCTION("""COMPUTED_VALUE"""),"VD037")</f>
        <v>VD037</v>
      </c>
      <c r="C999" s="1">
        <f>IFERROR(__xludf.DUMMYFUNCTION("""COMPUTED_VALUE"""),3.0)</f>
        <v>3</v>
      </c>
      <c r="D999" s="1">
        <f>IFERROR(__xludf.DUMMYFUNCTION("""COMPUTED_VALUE"""),296.67)</f>
        <v>296.67</v>
      </c>
    </row>
    <row r="1000">
      <c r="A1000" s="1" t="str">
        <f>IFERROR(__xludf.DUMMYFUNCTION("""COMPUTED_VALUE"""),"PR019")</f>
        <v>PR019</v>
      </c>
      <c r="B1000" s="1" t="str">
        <f>IFERROR(__xludf.DUMMYFUNCTION("""COMPUTED_VALUE"""),"VD027")</f>
        <v>VD027</v>
      </c>
      <c r="C1000" s="1">
        <f>IFERROR(__xludf.DUMMYFUNCTION("""COMPUTED_VALUE"""),4.0)</f>
        <v>4</v>
      </c>
      <c r="D1000" s="1">
        <f>IFERROR(__xludf.DUMMYFUNCTION("""COMPUTED_VALUE"""),217.56)</f>
        <v>217.56</v>
      </c>
    </row>
    <row r="1001">
      <c r="A1001" s="1" t="str">
        <f>IFERROR(__xludf.DUMMYFUNCTION("""COMPUTED_VALUE"""),"PR014")</f>
        <v>PR014</v>
      </c>
      <c r="B1001" s="1" t="str">
        <f>IFERROR(__xludf.DUMMYFUNCTION("""COMPUTED_VALUE"""),"VD018")</f>
        <v>VD018</v>
      </c>
      <c r="C1001" s="1">
        <f>IFERROR(__xludf.DUMMYFUNCTION("""COMPUTED_VALUE"""),18.0)</f>
        <v>18</v>
      </c>
      <c r="D1001" s="1">
        <f>IFERROR(__xludf.DUMMYFUNCTION("""COMPUTED_VALUE"""),775.66)</f>
        <v>775.66</v>
      </c>
    </row>
    <row r="1002">
      <c r="A1002" s="1" t="str">
        <f>IFERROR(__xludf.DUMMYFUNCTION("""COMPUTED_VALUE"""),"PR045")</f>
        <v>PR045</v>
      </c>
      <c r="B1002" s="1" t="str">
        <f>IFERROR(__xludf.DUMMYFUNCTION("""COMPUTED_VALUE"""),"VD036")</f>
        <v>VD036</v>
      </c>
      <c r="C1002" s="1">
        <f>IFERROR(__xludf.DUMMYFUNCTION("""COMPUTED_VALUE"""),14.0)</f>
        <v>14</v>
      </c>
      <c r="D1002" s="1">
        <f>IFERROR(__xludf.DUMMYFUNCTION("""COMPUTED_VALUE"""),1025.15)</f>
        <v>1025.15</v>
      </c>
    </row>
    <row r="1003">
      <c r="A1003" s="1" t="str">
        <f>IFERROR(__xludf.DUMMYFUNCTION("""COMPUTED_VALUE"""),"PR036")</f>
        <v>PR036</v>
      </c>
      <c r="B1003" s="1" t="str">
        <f>IFERROR(__xludf.DUMMYFUNCTION("""COMPUTED_VALUE"""),"VD034")</f>
        <v>VD034</v>
      </c>
      <c r="C1003" s="1">
        <f>IFERROR(__xludf.DUMMYFUNCTION("""COMPUTED_VALUE"""),8.0)</f>
        <v>8</v>
      </c>
      <c r="D1003" s="1">
        <f>IFERROR(__xludf.DUMMYFUNCTION("""COMPUTED_VALUE"""),770.44)</f>
        <v>770.44</v>
      </c>
    </row>
    <row r="1004">
      <c r="A1004" s="1" t="str">
        <f>IFERROR(__xludf.DUMMYFUNCTION("""COMPUTED_VALUE"""),"PR007")</f>
        <v>PR007</v>
      </c>
      <c r="B1004" s="1" t="str">
        <f>IFERROR(__xludf.DUMMYFUNCTION("""COMPUTED_VALUE"""),"VD013")</f>
        <v>VD013</v>
      </c>
      <c r="C1004" s="1">
        <f>IFERROR(__xludf.DUMMYFUNCTION("""COMPUTED_VALUE"""),3.0)</f>
        <v>3</v>
      </c>
      <c r="D1004" s="1">
        <f>IFERROR(__xludf.DUMMYFUNCTION("""COMPUTED_VALUE"""),278.32)</f>
        <v>278.32</v>
      </c>
    </row>
    <row r="1005">
      <c r="A1005" s="1" t="str">
        <f>IFERROR(__xludf.DUMMYFUNCTION("""COMPUTED_VALUE"""),"PR051")</f>
        <v>PR051</v>
      </c>
      <c r="B1005" s="1" t="str">
        <f>IFERROR(__xludf.DUMMYFUNCTION("""COMPUTED_VALUE"""),"VD028")</f>
        <v>VD028</v>
      </c>
      <c r="C1005" s="1">
        <f>IFERROR(__xludf.DUMMYFUNCTION("""COMPUTED_VALUE"""),7.0)</f>
        <v>7</v>
      </c>
      <c r="D1005" s="1">
        <f>IFERROR(__xludf.DUMMYFUNCTION("""COMPUTED_VALUE"""),230.3)</f>
        <v>230.3</v>
      </c>
    </row>
    <row r="1006">
      <c r="A1006" s="1" t="str">
        <f>IFERROR(__xludf.DUMMYFUNCTION("""COMPUTED_VALUE"""),"PR020")</f>
        <v>PR020</v>
      </c>
      <c r="B1006" s="1" t="str">
        <f>IFERROR(__xludf.DUMMYFUNCTION("""COMPUTED_VALUE"""),"VD013")</f>
        <v>VD013</v>
      </c>
      <c r="C1006" s="1">
        <f>IFERROR(__xludf.DUMMYFUNCTION("""COMPUTED_VALUE"""),20.0)</f>
        <v>20</v>
      </c>
      <c r="D1006" s="1">
        <f>IFERROR(__xludf.DUMMYFUNCTION("""COMPUTED_VALUE"""),6597.8)</f>
        <v>6597.8</v>
      </c>
    </row>
    <row r="1007">
      <c r="A1007" s="1" t="str">
        <f>IFERROR(__xludf.DUMMYFUNCTION("""COMPUTED_VALUE"""),"PR021")</f>
        <v>PR021</v>
      </c>
      <c r="B1007" s="1" t="str">
        <f>IFERROR(__xludf.DUMMYFUNCTION("""COMPUTED_VALUE"""),"VD033")</f>
        <v>VD033</v>
      </c>
      <c r="C1007" s="1">
        <f>IFERROR(__xludf.DUMMYFUNCTION("""COMPUTED_VALUE"""),6.0)</f>
        <v>6</v>
      </c>
      <c r="D1007" s="1">
        <f>IFERROR(__xludf.DUMMYFUNCTION("""COMPUTED_VALUE"""),1999.14)</f>
        <v>1999.14</v>
      </c>
    </row>
    <row r="1008">
      <c r="A1008" s="1" t="str">
        <f>IFERROR(__xludf.DUMMYFUNCTION("""COMPUTED_VALUE"""),"PR034")</f>
        <v>PR034</v>
      </c>
      <c r="B1008" s="1" t="str">
        <f>IFERROR(__xludf.DUMMYFUNCTION("""COMPUTED_VALUE"""),"VD017")</f>
        <v>VD017</v>
      </c>
      <c r="C1008" s="1">
        <f>IFERROR(__xludf.DUMMYFUNCTION("""COMPUTED_VALUE"""),8.0)</f>
        <v>8</v>
      </c>
      <c r="D1008" s="1">
        <f>IFERROR(__xludf.DUMMYFUNCTION("""COMPUTED_VALUE"""),726.39)</f>
        <v>726.39</v>
      </c>
    </row>
    <row r="1009">
      <c r="A1009" s="1" t="str">
        <f>IFERROR(__xludf.DUMMYFUNCTION("""COMPUTED_VALUE"""),"PR032")</f>
        <v>PR032</v>
      </c>
      <c r="B1009" s="1" t="str">
        <f>IFERROR(__xludf.DUMMYFUNCTION("""COMPUTED_VALUE"""),"VD016")</f>
        <v>VD016</v>
      </c>
      <c r="C1009" s="1">
        <f>IFERROR(__xludf.DUMMYFUNCTION("""COMPUTED_VALUE"""),12.0)</f>
        <v>12</v>
      </c>
      <c r="D1009" s="1">
        <f>IFERROR(__xludf.DUMMYFUNCTION("""COMPUTED_VALUE"""),3150.0)</f>
        <v>3150</v>
      </c>
    </row>
    <row r="1010">
      <c r="A1010" s="1" t="str">
        <f>IFERROR(__xludf.DUMMYFUNCTION("""COMPUTED_VALUE"""),"PR032")</f>
        <v>PR032</v>
      </c>
      <c r="B1010" s="1" t="str">
        <f>IFERROR(__xludf.DUMMYFUNCTION("""COMPUTED_VALUE"""),"VD014")</f>
        <v>VD014</v>
      </c>
      <c r="C1010" s="1">
        <f>IFERROR(__xludf.DUMMYFUNCTION("""COMPUTED_VALUE"""),5.0)</f>
        <v>5</v>
      </c>
      <c r="D1010" s="1">
        <f>IFERROR(__xludf.DUMMYFUNCTION("""COMPUTED_VALUE"""),1325.0)</f>
        <v>1325</v>
      </c>
    </row>
    <row r="1011">
      <c r="A1011" s="1" t="str">
        <f>IFERROR(__xludf.DUMMYFUNCTION("""COMPUTED_VALUE"""),"PR053")</f>
        <v>PR053</v>
      </c>
      <c r="B1011" s="1" t="str">
        <f>IFERROR(__xludf.DUMMYFUNCTION("""COMPUTED_VALUE"""),"VD029")</f>
        <v>VD029</v>
      </c>
      <c r="C1011" s="1">
        <f>IFERROR(__xludf.DUMMYFUNCTION("""COMPUTED_VALUE"""),8.0)</f>
        <v>8</v>
      </c>
      <c r="D1011" s="1">
        <f>IFERROR(__xludf.DUMMYFUNCTION("""COMPUTED_VALUE"""),431.14)</f>
        <v>431.14</v>
      </c>
    </row>
    <row r="1012">
      <c r="A1012" s="1" t="str">
        <f>IFERROR(__xludf.DUMMYFUNCTION("""COMPUTED_VALUE"""),"PR014")</f>
        <v>PR014</v>
      </c>
      <c r="B1012" s="1" t="str">
        <f>IFERROR(__xludf.DUMMYFUNCTION("""COMPUTED_VALUE"""),"VD029")</f>
        <v>VD029</v>
      </c>
      <c r="C1012" s="1">
        <f>IFERROR(__xludf.DUMMYFUNCTION("""COMPUTED_VALUE"""),20.0)</f>
        <v>20</v>
      </c>
      <c r="D1012" s="1">
        <f>IFERROR(__xludf.DUMMYFUNCTION("""COMPUTED_VALUE"""),805.98)</f>
        <v>805.98</v>
      </c>
    </row>
    <row r="1013">
      <c r="A1013" s="1" t="str">
        <f>IFERROR(__xludf.DUMMYFUNCTION("""COMPUTED_VALUE"""),"PR005")</f>
        <v>PR005</v>
      </c>
      <c r="B1013" s="1" t="str">
        <f>IFERROR(__xludf.DUMMYFUNCTION("""COMPUTED_VALUE"""),"VD047")</f>
        <v>VD047</v>
      </c>
      <c r="C1013" s="1">
        <f>IFERROR(__xludf.DUMMYFUNCTION("""COMPUTED_VALUE"""),2.0)</f>
        <v>2</v>
      </c>
      <c r="D1013" s="1">
        <f>IFERROR(__xludf.DUMMYFUNCTION("""COMPUTED_VALUE"""),566.58)</f>
        <v>566.58</v>
      </c>
    </row>
    <row r="1014">
      <c r="A1014" s="1" t="str">
        <f>IFERROR(__xludf.DUMMYFUNCTION("""COMPUTED_VALUE"""),"PR008")</f>
        <v>PR008</v>
      </c>
      <c r="B1014" s="1" t="str">
        <f>IFERROR(__xludf.DUMMYFUNCTION("""COMPUTED_VALUE"""),"VD032")</f>
        <v>VD032</v>
      </c>
      <c r="C1014" s="1">
        <f>IFERROR(__xludf.DUMMYFUNCTION("""COMPUTED_VALUE"""),18.0)</f>
        <v>18</v>
      </c>
      <c r="D1014" s="1">
        <f>IFERROR(__xludf.DUMMYFUNCTION("""COMPUTED_VALUE"""),1715.29)</f>
        <v>1715.29</v>
      </c>
    </row>
    <row r="1015">
      <c r="A1015" s="1" t="str">
        <f>IFERROR(__xludf.DUMMYFUNCTION("""COMPUTED_VALUE"""),"PR048")</f>
        <v>PR048</v>
      </c>
      <c r="B1015" s="1" t="str">
        <f>IFERROR(__xludf.DUMMYFUNCTION("""COMPUTED_VALUE"""),"VD044")</f>
        <v>VD044</v>
      </c>
      <c r="C1015" s="1">
        <f>IFERROR(__xludf.DUMMYFUNCTION("""COMPUTED_VALUE"""),18.0)</f>
        <v>18</v>
      </c>
      <c r="D1015" s="1">
        <f>IFERROR(__xludf.DUMMYFUNCTION("""COMPUTED_VALUE"""),5740.02)</f>
        <v>5740.02</v>
      </c>
    </row>
    <row r="1016">
      <c r="A1016" s="1" t="str">
        <f>IFERROR(__xludf.DUMMYFUNCTION("""COMPUTED_VALUE"""),"PR011")</f>
        <v>PR011</v>
      </c>
      <c r="B1016" s="1" t="str">
        <f>IFERROR(__xludf.DUMMYFUNCTION("""COMPUTED_VALUE"""),"VD030")</f>
        <v>VD030</v>
      </c>
      <c r="C1016" s="1">
        <f>IFERROR(__xludf.DUMMYFUNCTION("""COMPUTED_VALUE"""),8.0)</f>
        <v>8</v>
      </c>
      <c r="D1016" s="1">
        <f>IFERROR(__xludf.DUMMYFUNCTION("""COMPUTED_VALUE"""),390.21)</f>
        <v>390.21</v>
      </c>
    </row>
    <row r="1017">
      <c r="A1017" s="1" t="str">
        <f>IFERROR(__xludf.DUMMYFUNCTION("""COMPUTED_VALUE"""),"PR057")</f>
        <v>PR057</v>
      </c>
      <c r="B1017" s="1" t="str">
        <f>IFERROR(__xludf.DUMMYFUNCTION("""COMPUTED_VALUE"""),"VD025")</f>
        <v>VD025</v>
      </c>
      <c r="C1017" s="1">
        <f>IFERROR(__xludf.DUMMYFUNCTION("""COMPUTED_VALUE"""),14.0)</f>
        <v>14</v>
      </c>
      <c r="D1017" s="1">
        <f>IFERROR(__xludf.DUMMYFUNCTION("""COMPUTED_VALUE"""),1346.7)</f>
        <v>1346.7</v>
      </c>
    </row>
    <row r="1018">
      <c r="A1018" s="1" t="str">
        <f>IFERROR(__xludf.DUMMYFUNCTION("""COMPUTED_VALUE"""),"PR029")</f>
        <v>PR029</v>
      </c>
      <c r="B1018" s="1" t="str">
        <f>IFERROR(__xludf.DUMMYFUNCTION("""COMPUTED_VALUE"""),"VD033")</f>
        <v>VD033</v>
      </c>
      <c r="C1018" s="1">
        <f>IFERROR(__xludf.DUMMYFUNCTION("""COMPUTED_VALUE"""),3.0)</f>
        <v>3</v>
      </c>
      <c r="D1018" s="1">
        <f>IFERROR(__xludf.DUMMYFUNCTION("""COMPUTED_VALUE"""),787.95)</f>
        <v>787.95</v>
      </c>
    </row>
    <row r="1019">
      <c r="A1019" s="1" t="str">
        <f>IFERROR(__xludf.DUMMYFUNCTION("""COMPUTED_VALUE"""),"PR053")</f>
        <v>PR053</v>
      </c>
      <c r="B1019" s="1" t="str">
        <f>IFERROR(__xludf.DUMMYFUNCTION("""COMPUTED_VALUE"""),"VD031")</f>
        <v>VD031</v>
      </c>
      <c r="C1019" s="1">
        <f>IFERROR(__xludf.DUMMYFUNCTION("""COMPUTED_VALUE"""),7.0)</f>
        <v>7</v>
      </c>
      <c r="D1019" s="1">
        <f>IFERROR(__xludf.DUMMYFUNCTION("""COMPUTED_VALUE"""),349.3)</f>
        <v>349.3</v>
      </c>
    </row>
    <row r="1020">
      <c r="A1020" s="1" t="str">
        <f>IFERROR(__xludf.DUMMYFUNCTION("""COMPUTED_VALUE"""),"PR018")</f>
        <v>PR018</v>
      </c>
      <c r="B1020" s="1" t="str">
        <f>IFERROR(__xludf.DUMMYFUNCTION("""COMPUTED_VALUE"""),"VD027")</f>
        <v>VD027</v>
      </c>
      <c r="C1020" s="1">
        <f>IFERROR(__xludf.DUMMYFUNCTION("""COMPUTED_VALUE"""),10.0)</f>
        <v>10</v>
      </c>
      <c r="D1020" s="1">
        <f>IFERROR(__xludf.DUMMYFUNCTION("""COMPUTED_VALUE"""),335.58)</f>
        <v>335.58</v>
      </c>
    </row>
    <row r="1021">
      <c r="A1021" s="1" t="str">
        <f>IFERROR(__xludf.DUMMYFUNCTION("""COMPUTED_VALUE"""),"PR048")</f>
        <v>PR048</v>
      </c>
      <c r="B1021" s="1" t="str">
        <f>IFERROR(__xludf.DUMMYFUNCTION("""COMPUTED_VALUE"""),"VD046")</f>
        <v>VD046</v>
      </c>
      <c r="C1021" s="1">
        <f>IFERROR(__xludf.DUMMYFUNCTION("""COMPUTED_VALUE"""),12.0)</f>
        <v>12</v>
      </c>
      <c r="D1021" s="1">
        <f>IFERROR(__xludf.DUMMYFUNCTION("""COMPUTED_VALUE"""),3757.1)</f>
        <v>3757.1</v>
      </c>
    </row>
    <row r="1022">
      <c r="A1022" s="1" t="str">
        <f>IFERROR(__xludf.DUMMYFUNCTION("""COMPUTED_VALUE"""),"PR031")</f>
        <v>PR031</v>
      </c>
      <c r="B1022" s="1" t="str">
        <f>IFERROR(__xludf.DUMMYFUNCTION("""COMPUTED_VALUE"""),"VD011")</f>
        <v>VD011</v>
      </c>
      <c r="C1022" s="1">
        <f>IFERROR(__xludf.DUMMYFUNCTION("""COMPUTED_VALUE"""),10.0)</f>
        <v>10</v>
      </c>
      <c r="D1022" s="1">
        <f>IFERROR(__xludf.DUMMYFUNCTION("""COMPUTED_VALUE"""),2474.5)</f>
        <v>2474.5</v>
      </c>
    </row>
    <row r="1023">
      <c r="A1023" s="1" t="str">
        <f>IFERROR(__xludf.DUMMYFUNCTION("""COMPUTED_VALUE"""),"PR042")</f>
        <v>PR042</v>
      </c>
      <c r="B1023" s="1" t="str">
        <f>IFERROR(__xludf.DUMMYFUNCTION("""COMPUTED_VALUE"""),"VD020")</f>
        <v>VD020</v>
      </c>
      <c r="C1023" s="1">
        <f>IFERROR(__xludf.DUMMYFUNCTION("""COMPUTED_VALUE"""),3.0)</f>
        <v>3</v>
      </c>
      <c r="D1023" s="1">
        <f>IFERROR(__xludf.DUMMYFUNCTION("""COMPUTED_VALUE"""),169.64)</f>
        <v>169.64</v>
      </c>
    </row>
    <row r="1024">
      <c r="A1024" s="1" t="str">
        <f>IFERROR(__xludf.DUMMYFUNCTION("""COMPUTED_VALUE"""),"PR053")</f>
        <v>PR053</v>
      </c>
      <c r="B1024" s="1" t="str">
        <f>IFERROR(__xludf.DUMMYFUNCTION("""COMPUTED_VALUE"""),"VD027")</f>
        <v>VD027</v>
      </c>
      <c r="C1024" s="1">
        <f>IFERROR(__xludf.DUMMYFUNCTION("""COMPUTED_VALUE"""),12.0)</f>
        <v>12</v>
      </c>
      <c r="D1024" s="1">
        <f>IFERROR(__xludf.DUMMYFUNCTION("""COMPUTED_VALUE"""),604.79)</f>
        <v>604.79</v>
      </c>
    </row>
    <row r="1025">
      <c r="A1025" s="1" t="str">
        <f>IFERROR(__xludf.DUMMYFUNCTION("""COMPUTED_VALUE"""),"PR032")</f>
        <v>PR032</v>
      </c>
      <c r="B1025" s="1" t="str">
        <f>IFERROR(__xludf.DUMMYFUNCTION("""COMPUTED_VALUE"""),"VD047")</f>
        <v>VD047</v>
      </c>
      <c r="C1025" s="1">
        <f>IFERROR(__xludf.DUMMYFUNCTION("""COMPUTED_VALUE"""),18.0)</f>
        <v>18</v>
      </c>
      <c r="D1025" s="1">
        <f>IFERROR(__xludf.DUMMYFUNCTION("""COMPUTED_VALUE"""),4860.0)</f>
        <v>4860</v>
      </c>
    </row>
    <row r="1026">
      <c r="A1026" s="1" t="str">
        <f>IFERROR(__xludf.DUMMYFUNCTION("""COMPUTED_VALUE"""),"PR015")</f>
        <v>PR015</v>
      </c>
      <c r="B1026" s="1" t="str">
        <f>IFERROR(__xludf.DUMMYFUNCTION("""COMPUTED_VALUE"""),"VD038")</f>
        <v>VD038</v>
      </c>
      <c r="C1026" s="1">
        <f>IFERROR(__xludf.DUMMYFUNCTION("""COMPUTED_VALUE"""),12.0)</f>
        <v>12</v>
      </c>
      <c r="D1026" s="1">
        <f>IFERROR(__xludf.DUMMYFUNCTION("""COMPUTED_VALUE"""),535.5)</f>
        <v>535.5</v>
      </c>
    </row>
    <row r="1027">
      <c r="A1027" s="1" t="str">
        <f>IFERROR(__xludf.DUMMYFUNCTION("""COMPUTED_VALUE"""),"PR059")</f>
        <v>PR059</v>
      </c>
      <c r="B1027" s="1" t="str">
        <f>IFERROR(__xludf.DUMMYFUNCTION("""COMPUTED_VALUE"""),"VD047")</f>
        <v>VD047</v>
      </c>
      <c r="C1027" s="1">
        <f>IFERROR(__xludf.DUMMYFUNCTION("""COMPUTED_VALUE"""),14.0)</f>
        <v>14</v>
      </c>
      <c r="D1027" s="1">
        <f>IFERROR(__xludf.DUMMYFUNCTION("""COMPUTED_VALUE"""),2671.2)</f>
        <v>2671.2</v>
      </c>
    </row>
    <row r="1028">
      <c r="A1028" s="1" t="str">
        <f>IFERROR(__xludf.DUMMYFUNCTION("""COMPUTED_VALUE"""),"PR004")</f>
        <v>PR004</v>
      </c>
      <c r="B1028" s="1" t="str">
        <f>IFERROR(__xludf.DUMMYFUNCTION("""COMPUTED_VALUE"""),"VD022")</f>
        <v>VD022</v>
      </c>
      <c r="C1028" s="1">
        <f>IFERROR(__xludf.DUMMYFUNCTION("""COMPUTED_VALUE"""),6.0)</f>
        <v>6</v>
      </c>
      <c r="D1028" s="1">
        <f>IFERROR(__xludf.DUMMYFUNCTION("""COMPUTED_VALUE"""),887.4)</f>
        <v>887.4</v>
      </c>
    </row>
    <row r="1029">
      <c r="A1029" s="1" t="str">
        <f>IFERROR(__xludf.DUMMYFUNCTION("""COMPUTED_VALUE"""),"PR028")</f>
        <v>PR028</v>
      </c>
      <c r="B1029" s="1" t="str">
        <f>IFERROR(__xludf.DUMMYFUNCTION("""COMPUTED_VALUE"""),"VD026")</f>
        <v>VD026</v>
      </c>
      <c r="C1029" s="1">
        <f>IFERROR(__xludf.DUMMYFUNCTION("""COMPUTED_VALUE"""),5.0)</f>
        <v>5</v>
      </c>
      <c r="D1029" s="1">
        <f>IFERROR(__xludf.DUMMYFUNCTION("""COMPUTED_VALUE"""),1361.96)</f>
        <v>1361.96</v>
      </c>
    </row>
    <row r="1030">
      <c r="A1030" s="1" t="str">
        <f>IFERROR(__xludf.DUMMYFUNCTION("""COMPUTED_VALUE"""),"PR037")</f>
        <v>PR037</v>
      </c>
      <c r="B1030" s="1" t="str">
        <f>IFERROR(__xludf.DUMMYFUNCTION("""COMPUTED_VALUE"""),"VD019")</f>
        <v>VD019</v>
      </c>
      <c r="C1030" s="1">
        <f>IFERROR(__xludf.DUMMYFUNCTION("""COMPUTED_VALUE"""),12.0)</f>
        <v>12</v>
      </c>
      <c r="D1030" s="1">
        <f>IFERROR(__xludf.DUMMYFUNCTION("""COMPUTED_VALUE"""),1747.2)</f>
        <v>1747.2</v>
      </c>
    </row>
    <row r="1031">
      <c r="A1031" s="1" t="str">
        <f>IFERROR(__xludf.DUMMYFUNCTION("""COMPUTED_VALUE"""),"PR031")</f>
        <v>PR031</v>
      </c>
      <c r="B1031" s="1" t="str">
        <f>IFERROR(__xludf.DUMMYFUNCTION("""COMPUTED_VALUE"""),"VD036")</f>
        <v>VD036</v>
      </c>
      <c r="C1031" s="1">
        <f>IFERROR(__xludf.DUMMYFUNCTION("""COMPUTED_VALUE"""),6.0)</f>
        <v>6</v>
      </c>
      <c r="D1031" s="1">
        <f>IFERROR(__xludf.DUMMYFUNCTION("""COMPUTED_VALUE"""),1499.4)</f>
        <v>1499.4</v>
      </c>
    </row>
    <row r="1032">
      <c r="A1032" s="1" t="str">
        <f>IFERROR(__xludf.DUMMYFUNCTION("""COMPUTED_VALUE"""),"PR038")</f>
        <v>PR038</v>
      </c>
      <c r="B1032" s="1" t="str">
        <f>IFERROR(__xludf.DUMMYFUNCTION("""COMPUTED_VALUE"""),"VD033")</f>
        <v>VD033</v>
      </c>
      <c r="C1032" s="1">
        <f>IFERROR(__xludf.DUMMYFUNCTION("""COMPUTED_VALUE"""),10.0)</f>
        <v>10</v>
      </c>
      <c r="D1032" s="1">
        <f>IFERROR(__xludf.DUMMYFUNCTION("""COMPUTED_VALUE"""),1443.29)</f>
        <v>1443.29</v>
      </c>
    </row>
    <row r="1033">
      <c r="A1033" s="1" t="str">
        <f>IFERROR(__xludf.DUMMYFUNCTION("""COMPUTED_VALUE"""),"PR009")</f>
        <v>PR009</v>
      </c>
      <c r="B1033" s="1" t="str">
        <f>IFERROR(__xludf.DUMMYFUNCTION("""COMPUTED_VALUE"""),"VD035")</f>
        <v>VD035</v>
      </c>
      <c r="C1033" s="1">
        <f>IFERROR(__xludf.DUMMYFUNCTION("""COMPUTED_VALUE"""),16.0)</f>
        <v>16</v>
      </c>
      <c r="D1033" s="1">
        <f>IFERROR(__xludf.DUMMYFUNCTION("""COMPUTED_VALUE"""),1545.86)</f>
        <v>1545.86</v>
      </c>
    </row>
    <row r="1034">
      <c r="A1034" s="1" t="str">
        <f>IFERROR(__xludf.DUMMYFUNCTION("""COMPUTED_VALUE"""),"PR041")</f>
        <v>PR041</v>
      </c>
      <c r="B1034" s="1" t="str">
        <f>IFERROR(__xludf.DUMMYFUNCTION("""COMPUTED_VALUE"""),"VD019")</f>
        <v>VD019</v>
      </c>
      <c r="C1034" s="1">
        <f>IFERROR(__xludf.DUMMYFUNCTION("""COMPUTED_VALUE"""),3.0)</f>
        <v>3</v>
      </c>
      <c r="D1034" s="1">
        <f>IFERROR(__xludf.DUMMYFUNCTION("""COMPUTED_VALUE"""),171.29)</f>
        <v>171.29</v>
      </c>
    </row>
    <row r="1035">
      <c r="A1035" s="1" t="str">
        <f>IFERROR(__xludf.DUMMYFUNCTION("""COMPUTED_VALUE"""),"PR026")</f>
        <v>PR026</v>
      </c>
      <c r="B1035" s="1" t="str">
        <f>IFERROR(__xludf.DUMMYFUNCTION("""COMPUTED_VALUE"""),"VD027")</f>
        <v>VD027</v>
      </c>
      <c r="C1035" s="1">
        <f>IFERROR(__xludf.DUMMYFUNCTION("""COMPUTED_VALUE"""),12.0)</f>
        <v>12</v>
      </c>
      <c r="D1035" s="1">
        <f>IFERROR(__xludf.DUMMYFUNCTION("""COMPUTED_VALUE"""),4618.68)</f>
        <v>4618.68</v>
      </c>
    </row>
    <row r="1036">
      <c r="A1036" s="1" t="str">
        <f>IFERROR(__xludf.DUMMYFUNCTION("""COMPUTED_VALUE"""),"PR026")</f>
        <v>PR026</v>
      </c>
      <c r="B1036" s="1" t="str">
        <f>IFERROR(__xludf.DUMMYFUNCTION("""COMPUTED_VALUE"""),"VD030")</f>
        <v>VD030</v>
      </c>
      <c r="C1036" s="1">
        <f>IFERROR(__xludf.DUMMYFUNCTION("""COMPUTED_VALUE"""),2.0)</f>
        <v>2</v>
      </c>
      <c r="D1036" s="1">
        <f>IFERROR(__xludf.DUMMYFUNCTION("""COMPUTED_VALUE"""),713.8)</f>
        <v>713.8</v>
      </c>
    </row>
    <row r="1037">
      <c r="A1037" s="1" t="str">
        <f>IFERROR(__xludf.DUMMYFUNCTION("""COMPUTED_VALUE"""),"PR012")</f>
        <v>PR012</v>
      </c>
      <c r="B1037" s="1" t="str">
        <f>IFERROR(__xludf.DUMMYFUNCTION("""COMPUTED_VALUE"""),"VD027")</f>
        <v>VD027</v>
      </c>
      <c r="C1037" s="1">
        <f>IFERROR(__xludf.DUMMYFUNCTION("""COMPUTED_VALUE"""),18.0)</f>
        <v>18</v>
      </c>
      <c r="D1037" s="1">
        <f>IFERROR(__xludf.DUMMYFUNCTION("""COMPUTED_VALUE"""),933.01)</f>
        <v>933.01</v>
      </c>
    </row>
    <row r="1038">
      <c r="A1038" s="1" t="str">
        <f>IFERROR(__xludf.DUMMYFUNCTION("""COMPUTED_VALUE"""),"PR010")</f>
        <v>PR010</v>
      </c>
      <c r="B1038" s="1" t="str">
        <f>IFERROR(__xludf.DUMMYFUNCTION("""COMPUTED_VALUE"""),"VD025")</f>
        <v>VD025</v>
      </c>
      <c r="C1038" s="1">
        <f>IFERROR(__xludf.DUMMYFUNCTION("""COMPUTED_VALUE"""),14.0)</f>
        <v>14</v>
      </c>
      <c r="D1038" s="1">
        <f>IFERROR(__xludf.DUMMYFUNCTION("""COMPUTED_VALUE"""),672.6)</f>
        <v>672.6</v>
      </c>
    </row>
    <row r="1039">
      <c r="A1039" s="1" t="str">
        <f>IFERROR(__xludf.DUMMYFUNCTION("""COMPUTED_VALUE"""),"PR060")</f>
        <v>PR060</v>
      </c>
      <c r="B1039" s="1" t="str">
        <f>IFERROR(__xludf.DUMMYFUNCTION("""COMPUTED_VALUE"""),"VD033")</f>
        <v>VD033</v>
      </c>
      <c r="C1039" s="1">
        <f>IFERROR(__xludf.DUMMYFUNCTION("""COMPUTED_VALUE"""),10.0)</f>
        <v>10</v>
      </c>
      <c r="D1039" s="1">
        <f>IFERROR(__xludf.DUMMYFUNCTION("""COMPUTED_VALUE"""),1962.0)</f>
        <v>1962</v>
      </c>
    </row>
    <row r="1040">
      <c r="A1040" s="1" t="str">
        <f>IFERROR(__xludf.DUMMYFUNCTION("""COMPUTED_VALUE"""),"PR016")</f>
        <v>PR016</v>
      </c>
      <c r="B1040" s="1" t="str">
        <f>IFERROR(__xludf.DUMMYFUNCTION("""COMPUTED_VALUE"""),"VD011")</f>
        <v>VD011</v>
      </c>
      <c r="C1040" s="1">
        <f>IFERROR(__xludf.DUMMYFUNCTION("""COMPUTED_VALUE"""),2.0)</f>
        <v>2</v>
      </c>
      <c r="D1040" s="1">
        <f>IFERROR(__xludf.DUMMYFUNCTION("""COMPUTED_VALUE"""),51.8)</f>
        <v>51.8</v>
      </c>
    </row>
    <row r="1041">
      <c r="A1041" s="1" t="str">
        <f>IFERROR(__xludf.DUMMYFUNCTION("""COMPUTED_VALUE"""),"PR044")</f>
        <v>PR044</v>
      </c>
      <c r="B1041" s="1" t="str">
        <f>IFERROR(__xludf.DUMMYFUNCTION("""COMPUTED_VALUE"""),"VD044")</f>
        <v>VD044</v>
      </c>
      <c r="C1041" s="1">
        <f>IFERROR(__xludf.DUMMYFUNCTION("""COMPUTED_VALUE"""),8.0)</f>
        <v>8</v>
      </c>
      <c r="D1041" s="1">
        <f>IFERROR(__xludf.DUMMYFUNCTION("""COMPUTED_VALUE"""),580.0)</f>
        <v>580</v>
      </c>
    </row>
    <row r="1042">
      <c r="A1042" s="1" t="str">
        <f>IFERROR(__xludf.DUMMYFUNCTION("""COMPUTED_VALUE"""),"PR001")</f>
        <v>PR001</v>
      </c>
      <c r="B1042" s="1" t="str">
        <f>IFERROR(__xludf.DUMMYFUNCTION("""COMPUTED_VALUE"""),"VD027")</f>
        <v>VD027</v>
      </c>
      <c r="C1042" s="1">
        <f>IFERROR(__xludf.DUMMYFUNCTION("""COMPUTED_VALUE"""),2.0)</f>
        <v>2</v>
      </c>
      <c r="D1042" s="1">
        <f>IFERROR(__xludf.DUMMYFUNCTION("""COMPUTED_VALUE"""),133.12)</f>
        <v>133.12</v>
      </c>
    </row>
    <row r="1043">
      <c r="A1043" s="1" t="str">
        <f>IFERROR(__xludf.DUMMYFUNCTION("""COMPUTED_VALUE"""),"PR013")</f>
        <v>PR013</v>
      </c>
      <c r="B1043" s="1" t="str">
        <f>IFERROR(__xludf.DUMMYFUNCTION("""COMPUTED_VALUE"""),"VD044")</f>
        <v>VD044</v>
      </c>
      <c r="C1043" s="1">
        <f>IFERROR(__xludf.DUMMYFUNCTION("""COMPUTED_VALUE"""),5.0)</f>
        <v>5</v>
      </c>
      <c r="D1043" s="1">
        <f>IFERROR(__xludf.DUMMYFUNCTION("""COMPUTED_VALUE"""),215.46)</f>
        <v>215.46</v>
      </c>
    </row>
    <row r="1044">
      <c r="A1044" s="1" t="str">
        <f>IFERROR(__xludf.DUMMYFUNCTION("""COMPUTED_VALUE"""),"PR017")</f>
        <v>PR017</v>
      </c>
      <c r="B1044" s="1" t="str">
        <f>IFERROR(__xludf.DUMMYFUNCTION("""COMPUTED_VALUE"""),"VD020")</f>
        <v>VD020</v>
      </c>
      <c r="C1044" s="1">
        <f>IFERROR(__xludf.DUMMYFUNCTION("""COMPUTED_VALUE"""),2.0)</f>
        <v>2</v>
      </c>
      <c r="D1044" s="1">
        <f>IFERROR(__xludf.DUMMYFUNCTION("""COMPUTED_VALUE"""),61.59)</f>
        <v>61.59</v>
      </c>
    </row>
    <row r="1045">
      <c r="A1045" s="1" t="str">
        <f>IFERROR(__xludf.DUMMYFUNCTION("""COMPUTED_VALUE"""),"PR036")</f>
        <v>PR036</v>
      </c>
      <c r="B1045" s="1" t="str">
        <f>IFERROR(__xludf.DUMMYFUNCTION("""COMPUTED_VALUE"""),"VD010")</f>
        <v>VD010</v>
      </c>
      <c r="C1045" s="1">
        <f>IFERROR(__xludf.DUMMYFUNCTION("""COMPUTED_VALUE"""),10.0)</f>
        <v>10</v>
      </c>
      <c r="D1045" s="1">
        <f>IFERROR(__xludf.DUMMYFUNCTION("""COMPUTED_VALUE"""),935.0)</f>
        <v>935</v>
      </c>
    </row>
    <row r="1046">
      <c r="A1046" s="1" t="str">
        <f>IFERROR(__xludf.DUMMYFUNCTION("""COMPUTED_VALUE"""),"PR009")</f>
        <v>PR009</v>
      </c>
      <c r="B1046" s="1" t="str">
        <f>IFERROR(__xludf.DUMMYFUNCTION("""COMPUTED_VALUE"""),"VD048")</f>
        <v>VD048</v>
      </c>
      <c r="C1046" s="1">
        <f>IFERROR(__xludf.DUMMYFUNCTION("""COMPUTED_VALUE"""),16.0)</f>
        <v>16</v>
      </c>
      <c r="D1046" s="1">
        <f>IFERROR(__xludf.DUMMYFUNCTION("""COMPUTED_VALUE"""),1560.72)</f>
        <v>1560.72</v>
      </c>
    </row>
    <row r="1047">
      <c r="A1047" s="1" t="str">
        <f>IFERROR(__xludf.DUMMYFUNCTION("""COMPUTED_VALUE"""),"PR009")</f>
        <v>PR009</v>
      </c>
      <c r="B1047" s="1" t="str">
        <f>IFERROR(__xludf.DUMMYFUNCTION("""COMPUTED_VALUE"""),"VD043")</f>
        <v>VD043</v>
      </c>
      <c r="C1047" s="1">
        <f>IFERROR(__xludf.DUMMYFUNCTION("""COMPUTED_VALUE"""),2.0)</f>
        <v>2</v>
      </c>
      <c r="D1047" s="1">
        <f>IFERROR(__xludf.DUMMYFUNCTION("""COMPUTED_VALUE"""),198.81)</f>
        <v>198.81</v>
      </c>
    </row>
    <row r="1048">
      <c r="A1048" s="1" t="str">
        <f>IFERROR(__xludf.DUMMYFUNCTION("""COMPUTED_VALUE"""),"PR001")</f>
        <v>PR001</v>
      </c>
      <c r="B1048" s="1" t="str">
        <f>IFERROR(__xludf.DUMMYFUNCTION("""COMPUTED_VALUE"""),"VD044")</f>
        <v>VD044</v>
      </c>
      <c r="C1048" s="1">
        <f>IFERROR(__xludf.DUMMYFUNCTION("""COMPUTED_VALUE"""),1.0)</f>
        <v>1</v>
      </c>
      <c r="D1048" s="1">
        <f>IFERROR(__xludf.DUMMYFUNCTION("""COMPUTED_VALUE"""),66.56)</f>
        <v>66.56</v>
      </c>
    </row>
    <row r="1049">
      <c r="A1049" s="1" t="str">
        <f>IFERROR(__xludf.DUMMYFUNCTION("""COMPUTED_VALUE"""),"PR056")</f>
        <v>PR056</v>
      </c>
      <c r="B1049" s="1" t="str">
        <f>IFERROR(__xludf.DUMMYFUNCTION("""COMPUTED_VALUE"""),"VD020")</f>
        <v>VD020</v>
      </c>
      <c r="C1049" s="1">
        <f>IFERROR(__xludf.DUMMYFUNCTION("""COMPUTED_VALUE"""),10.0)</f>
        <v>10</v>
      </c>
      <c r="D1049" s="1">
        <f>IFERROR(__xludf.DUMMYFUNCTION("""COMPUTED_VALUE"""),916.98)</f>
        <v>916.98</v>
      </c>
    </row>
    <row r="1050">
      <c r="A1050" s="1" t="str">
        <f>IFERROR(__xludf.DUMMYFUNCTION("""COMPUTED_VALUE"""),"PR008")</f>
        <v>PR008</v>
      </c>
      <c r="B1050" s="1" t="str">
        <f>IFERROR(__xludf.DUMMYFUNCTION("""COMPUTED_VALUE"""),"VD023")</f>
        <v>VD023</v>
      </c>
      <c r="C1050" s="1">
        <f>IFERROR(__xludf.DUMMYFUNCTION("""COMPUTED_VALUE"""),2.0)</f>
        <v>2</v>
      </c>
      <c r="D1050" s="1">
        <f>IFERROR(__xludf.DUMMYFUNCTION("""COMPUTED_VALUE"""),194.18)</f>
        <v>194.18</v>
      </c>
    </row>
    <row r="1051">
      <c r="A1051" s="1" t="str">
        <f>IFERROR(__xludf.DUMMYFUNCTION("""COMPUTED_VALUE"""),"PR051")</f>
        <v>PR051</v>
      </c>
      <c r="B1051" s="1" t="str">
        <f>IFERROR(__xludf.DUMMYFUNCTION("""COMPUTED_VALUE"""),"VD011")</f>
        <v>VD011</v>
      </c>
      <c r="C1051" s="1">
        <f>IFERROR(__xludf.DUMMYFUNCTION("""COMPUTED_VALUE"""),10.0)</f>
        <v>10</v>
      </c>
      <c r="D1051" s="1">
        <f>IFERROR(__xludf.DUMMYFUNCTION("""COMPUTED_VALUE"""),338.87)</f>
        <v>338.87</v>
      </c>
    </row>
    <row r="1052">
      <c r="A1052" s="1" t="str">
        <f>IFERROR(__xludf.DUMMYFUNCTION("""COMPUTED_VALUE"""),"PR037")</f>
        <v>PR037</v>
      </c>
      <c r="B1052" s="1" t="str">
        <f>IFERROR(__xludf.DUMMYFUNCTION("""COMPUTED_VALUE"""),"VD019")</f>
        <v>VD019</v>
      </c>
      <c r="C1052" s="1">
        <f>IFERROR(__xludf.DUMMYFUNCTION("""COMPUTED_VALUE"""),4.0)</f>
        <v>4</v>
      </c>
      <c r="D1052" s="1">
        <f>IFERROR(__xludf.DUMMYFUNCTION("""COMPUTED_VALUE"""),616.0)</f>
        <v>616</v>
      </c>
    </row>
    <row r="1053">
      <c r="A1053" s="1" t="str">
        <f>IFERROR(__xludf.DUMMYFUNCTION("""COMPUTED_VALUE"""),"PR055")</f>
        <v>PR055</v>
      </c>
      <c r="B1053" s="1" t="str">
        <f>IFERROR(__xludf.DUMMYFUNCTION("""COMPUTED_VALUE"""),"VD038")</f>
        <v>VD038</v>
      </c>
      <c r="C1053" s="1">
        <f>IFERROR(__xludf.DUMMYFUNCTION("""COMPUTED_VALUE"""),20.0)</f>
        <v>20</v>
      </c>
      <c r="D1053" s="1">
        <f>IFERROR(__xludf.DUMMYFUNCTION("""COMPUTED_VALUE"""),1923.86)</f>
        <v>1923.86</v>
      </c>
    </row>
    <row r="1054">
      <c r="A1054" s="1" t="str">
        <f>IFERROR(__xludf.DUMMYFUNCTION("""COMPUTED_VALUE"""),"PR005")</f>
        <v>PR005</v>
      </c>
      <c r="B1054" s="1" t="str">
        <f>IFERROR(__xludf.DUMMYFUNCTION("""COMPUTED_VALUE"""),"VD049")</f>
        <v>VD049</v>
      </c>
      <c r="C1054" s="1">
        <f>IFERROR(__xludf.DUMMYFUNCTION("""COMPUTED_VALUE"""),5.0)</f>
        <v>5</v>
      </c>
      <c r="D1054" s="1">
        <f>IFERROR(__xludf.DUMMYFUNCTION("""COMPUTED_VALUE"""),1364.48)</f>
        <v>1364.48</v>
      </c>
    </row>
    <row r="1055">
      <c r="A1055" s="1" t="str">
        <f>IFERROR(__xludf.DUMMYFUNCTION("""COMPUTED_VALUE"""),"PR025")</f>
        <v>PR025</v>
      </c>
      <c r="B1055" s="1" t="str">
        <f>IFERROR(__xludf.DUMMYFUNCTION("""COMPUTED_VALUE"""),"VD018")</f>
        <v>VD018</v>
      </c>
      <c r="C1055" s="1">
        <f>IFERROR(__xludf.DUMMYFUNCTION("""COMPUTED_VALUE"""),8.0)</f>
        <v>8</v>
      </c>
      <c r="D1055" s="1">
        <f>IFERROR(__xludf.DUMMYFUNCTION("""COMPUTED_VALUE"""),2519.16)</f>
        <v>2519.16</v>
      </c>
    </row>
    <row r="1056">
      <c r="A1056" s="1" t="str">
        <f>IFERROR(__xludf.DUMMYFUNCTION("""COMPUTED_VALUE"""),"PR034")</f>
        <v>PR034</v>
      </c>
      <c r="B1056" s="1" t="str">
        <f>IFERROR(__xludf.DUMMYFUNCTION("""COMPUTED_VALUE"""),"VD015")</f>
        <v>VD015</v>
      </c>
      <c r="C1056" s="1">
        <f>IFERROR(__xludf.DUMMYFUNCTION("""COMPUTED_VALUE"""),2.0)</f>
        <v>2</v>
      </c>
      <c r="D1056" s="1">
        <f>IFERROR(__xludf.DUMMYFUNCTION("""COMPUTED_VALUE"""),192.39)</f>
        <v>192.39</v>
      </c>
    </row>
    <row r="1057">
      <c r="A1057" s="1" t="str">
        <f>IFERROR(__xludf.DUMMYFUNCTION("""COMPUTED_VALUE"""),"PR048")</f>
        <v>PR048</v>
      </c>
      <c r="B1057" s="1" t="str">
        <f>IFERROR(__xludf.DUMMYFUNCTION("""COMPUTED_VALUE"""),"VD034")</f>
        <v>VD034</v>
      </c>
      <c r="C1057" s="1">
        <f>IFERROR(__xludf.DUMMYFUNCTION("""COMPUTED_VALUE"""),20.0)</f>
        <v>20</v>
      </c>
      <c r="D1057" s="1">
        <f>IFERROR(__xludf.DUMMYFUNCTION("""COMPUTED_VALUE"""),5855.98)</f>
        <v>5855.98</v>
      </c>
    </row>
    <row r="1058">
      <c r="A1058" s="1" t="str">
        <f>IFERROR(__xludf.DUMMYFUNCTION("""COMPUTED_VALUE"""),"PR024")</f>
        <v>PR024</v>
      </c>
      <c r="B1058" s="1" t="str">
        <f>IFERROR(__xludf.DUMMYFUNCTION("""COMPUTED_VALUE"""),"VD046")</f>
        <v>VD046</v>
      </c>
      <c r="C1058" s="1">
        <f>IFERROR(__xludf.DUMMYFUNCTION("""COMPUTED_VALUE"""),2.0)</f>
        <v>2</v>
      </c>
      <c r="D1058" s="1">
        <f>IFERROR(__xludf.DUMMYFUNCTION("""COMPUTED_VALUE"""),530.2)</f>
        <v>530.2</v>
      </c>
    </row>
    <row r="1059">
      <c r="A1059" s="1" t="str">
        <f>IFERROR(__xludf.DUMMYFUNCTION("""COMPUTED_VALUE"""),"PR028")</f>
        <v>PR028</v>
      </c>
      <c r="B1059" s="1" t="str">
        <f>IFERROR(__xludf.DUMMYFUNCTION("""COMPUTED_VALUE"""),"VD014")</f>
        <v>VD014</v>
      </c>
      <c r="C1059" s="1">
        <f>IFERROR(__xludf.DUMMYFUNCTION("""COMPUTED_VALUE"""),4.0)</f>
        <v>4</v>
      </c>
      <c r="D1059" s="1">
        <f>IFERROR(__xludf.DUMMYFUNCTION("""COMPUTED_VALUE"""),1069.57)</f>
        <v>1069.57</v>
      </c>
    </row>
    <row r="1060">
      <c r="A1060" s="1" t="str">
        <f>IFERROR(__xludf.DUMMYFUNCTION("""COMPUTED_VALUE"""),"PR018")</f>
        <v>PR018</v>
      </c>
      <c r="B1060" s="1" t="str">
        <f>IFERROR(__xludf.DUMMYFUNCTION("""COMPUTED_VALUE"""),"VD041")</f>
        <v>VD041</v>
      </c>
      <c r="C1060" s="1">
        <f>IFERROR(__xludf.DUMMYFUNCTION("""COMPUTED_VALUE"""),3.0)</f>
        <v>3</v>
      </c>
      <c r="D1060" s="1">
        <f>IFERROR(__xludf.DUMMYFUNCTION("""COMPUTED_VALUE"""),102.65)</f>
        <v>102.65</v>
      </c>
    </row>
    <row r="1061">
      <c r="A1061" s="1" t="str">
        <f>IFERROR(__xludf.DUMMYFUNCTION("""COMPUTED_VALUE"""),"PR001")</f>
        <v>PR001</v>
      </c>
      <c r="B1061" s="1" t="str">
        <f>IFERROR(__xludf.DUMMYFUNCTION("""COMPUTED_VALUE"""),"VD027")</f>
        <v>VD027</v>
      </c>
      <c r="C1061" s="1">
        <f>IFERROR(__xludf.DUMMYFUNCTION("""COMPUTED_VALUE"""),18.0)</f>
        <v>18</v>
      </c>
      <c r="D1061" s="1">
        <f>IFERROR(__xludf.DUMMYFUNCTION("""COMPUTED_VALUE"""),1221.79)</f>
        <v>1221.79</v>
      </c>
    </row>
    <row r="1062">
      <c r="A1062" s="1" t="str">
        <f>IFERROR(__xludf.DUMMYFUNCTION("""COMPUTED_VALUE"""),"PR021")</f>
        <v>PR021</v>
      </c>
      <c r="B1062" s="1" t="str">
        <f>IFERROR(__xludf.DUMMYFUNCTION("""COMPUTED_VALUE"""),"VD048")</f>
        <v>VD048</v>
      </c>
      <c r="C1062" s="1">
        <f>IFERROR(__xludf.DUMMYFUNCTION("""COMPUTED_VALUE"""),2.0)</f>
        <v>2</v>
      </c>
      <c r="D1062" s="1">
        <f>IFERROR(__xludf.DUMMYFUNCTION("""COMPUTED_VALUE"""),617.92)</f>
        <v>617.92</v>
      </c>
    </row>
    <row r="1063">
      <c r="A1063" s="1" t="str">
        <f>IFERROR(__xludf.DUMMYFUNCTION("""COMPUTED_VALUE"""),"PR012")</f>
        <v>PR012</v>
      </c>
      <c r="B1063" s="1" t="str">
        <f>IFERROR(__xludf.DUMMYFUNCTION("""COMPUTED_VALUE"""),"VD012")</f>
        <v>VD012</v>
      </c>
      <c r="C1063" s="1">
        <f>IFERROR(__xludf.DUMMYFUNCTION("""COMPUTED_VALUE"""),3.0)</f>
        <v>3</v>
      </c>
      <c r="D1063" s="1">
        <f>IFERROR(__xludf.DUMMYFUNCTION("""COMPUTED_VALUE"""),152.57)</f>
        <v>152.57</v>
      </c>
    </row>
    <row r="1064">
      <c r="A1064" s="1" t="str">
        <f>IFERROR(__xludf.DUMMYFUNCTION("""COMPUTED_VALUE"""),"PR035")</f>
        <v>PR035</v>
      </c>
      <c r="B1064" s="1" t="str">
        <f>IFERROR(__xludf.DUMMYFUNCTION("""COMPUTED_VALUE"""),"VD023")</f>
        <v>VD023</v>
      </c>
      <c r="C1064" s="1">
        <f>IFERROR(__xludf.DUMMYFUNCTION("""COMPUTED_VALUE"""),1.0)</f>
        <v>1</v>
      </c>
      <c r="D1064" s="1">
        <f>IFERROR(__xludf.DUMMYFUNCTION("""COMPUTED_VALUE"""),99.63)</f>
        <v>99.63</v>
      </c>
    </row>
    <row r="1065">
      <c r="A1065" s="1" t="str">
        <f>IFERROR(__xludf.DUMMYFUNCTION("""COMPUTED_VALUE"""),"PR006")</f>
        <v>PR006</v>
      </c>
      <c r="B1065" s="1" t="str">
        <f>IFERROR(__xludf.DUMMYFUNCTION("""COMPUTED_VALUE"""),"VD030")</f>
        <v>VD030</v>
      </c>
      <c r="C1065" s="1">
        <f>IFERROR(__xludf.DUMMYFUNCTION("""COMPUTED_VALUE"""),16.0)</f>
        <v>16</v>
      </c>
      <c r="D1065" s="1">
        <f>IFERROR(__xludf.DUMMYFUNCTION("""COMPUTED_VALUE"""),689.47)</f>
        <v>689.47</v>
      </c>
    </row>
    <row r="1066">
      <c r="A1066" s="1" t="str">
        <f>IFERROR(__xludf.DUMMYFUNCTION("""COMPUTED_VALUE"""),"PR053")</f>
        <v>PR053</v>
      </c>
      <c r="B1066" s="1" t="str">
        <f>IFERROR(__xludf.DUMMYFUNCTION("""COMPUTED_VALUE"""),"VD011")</f>
        <v>VD011</v>
      </c>
      <c r="C1066" s="1">
        <f>IFERROR(__xludf.DUMMYFUNCTION("""COMPUTED_VALUE"""),8.0)</f>
        <v>8</v>
      </c>
      <c r="D1066" s="1">
        <f>IFERROR(__xludf.DUMMYFUNCTION("""COMPUTED_VALUE"""),415.17)</f>
        <v>415.17</v>
      </c>
    </row>
    <row r="1067">
      <c r="A1067" s="1" t="str">
        <f>IFERROR(__xludf.DUMMYFUNCTION("""COMPUTED_VALUE"""),"PR009")</f>
        <v>PR009</v>
      </c>
      <c r="B1067" s="1" t="str">
        <f>IFERROR(__xludf.DUMMYFUNCTION("""COMPUTED_VALUE"""),"VD028")</f>
        <v>VD028</v>
      </c>
      <c r="C1067" s="1">
        <f>IFERROR(__xludf.DUMMYFUNCTION("""COMPUTED_VALUE"""),8.0)</f>
        <v>8</v>
      </c>
      <c r="D1067" s="1">
        <f>IFERROR(__xludf.DUMMYFUNCTION("""COMPUTED_VALUE"""),765.5)</f>
        <v>765.5</v>
      </c>
    </row>
    <row r="1068">
      <c r="A1068" s="1" t="str">
        <f>IFERROR(__xludf.DUMMYFUNCTION("""COMPUTED_VALUE"""),"PR004")</f>
        <v>PR004</v>
      </c>
      <c r="B1068" s="1" t="str">
        <f>IFERROR(__xludf.DUMMYFUNCTION("""COMPUTED_VALUE"""),"VD043")</f>
        <v>VD043</v>
      </c>
      <c r="C1068" s="1">
        <f>IFERROR(__xludf.DUMMYFUNCTION("""COMPUTED_VALUE"""),8.0)</f>
        <v>8</v>
      </c>
      <c r="D1068" s="1">
        <f>IFERROR(__xludf.DUMMYFUNCTION("""COMPUTED_VALUE"""),1194.8)</f>
        <v>1194.8</v>
      </c>
    </row>
    <row r="1069">
      <c r="A1069" s="1" t="str">
        <f>IFERROR(__xludf.DUMMYFUNCTION("""COMPUTED_VALUE"""),"PR024")</f>
        <v>PR024</v>
      </c>
      <c r="B1069" s="1" t="str">
        <f>IFERROR(__xludf.DUMMYFUNCTION("""COMPUTED_VALUE"""),"VD027")</f>
        <v>VD027</v>
      </c>
      <c r="C1069" s="1">
        <f>IFERROR(__xludf.DUMMYFUNCTION("""COMPUTED_VALUE"""),4.0)</f>
        <v>4</v>
      </c>
      <c r="D1069" s="1">
        <f>IFERROR(__xludf.DUMMYFUNCTION("""COMPUTED_VALUE"""),1070.79)</f>
        <v>1070.79</v>
      </c>
    </row>
    <row r="1070">
      <c r="A1070" s="1" t="str">
        <f>IFERROR(__xludf.DUMMYFUNCTION("""COMPUTED_VALUE"""),"PR035")</f>
        <v>PR035</v>
      </c>
      <c r="B1070" s="1" t="str">
        <f>IFERROR(__xludf.DUMMYFUNCTION("""COMPUTED_VALUE"""),"VD046")</f>
        <v>VD046</v>
      </c>
      <c r="C1070" s="1">
        <f>IFERROR(__xludf.DUMMYFUNCTION("""COMPUTED_VALUE"""),2.0)</f>
        <v>2</v>
      </c>
      <c r="D1070" s="1">
        <f>IFERROR(__xludf.DUMMYFUNCTION("""COMPUTED_VALUE"""),190.11)</f>
        <v>190.11</v>
      </c>
    </row>
    <row r="1071">
      <c r="A1071" s="1" t="str">
        <f>IFERROR(__xludf.DUMMYFUNCTION("""COMPUTED_VALUE"""),"PR031")</f>
        <v>PR031</v>
      </c>
      <c r="B1071" s="1" t="str">
        <f>IFERROR(__xludf.DUMMYFUNCTION("""COMPUTED_VALUE"""),"VD029")</f>
        <v>VD029</v>
      </c>
      <c r="C1071" s="1">
        <f>IFERROR(__xludf.DUMMYFUNCTION("""COMPUTED_VALUE"""),16.0)</f>
        <v>16</v>
      </c>
      <c r="D1071" s="1">
        <f>IFERROR(__xludf.DUMMYFUNCTION("""COMPUTED_VALUE"""),3998.4)</f>
        <v>3998.4</v>
      </c>
    </row>
    <row r="1072">
      <c r="A1072" s="1" t="str">
        <f>IFERROR(__xludf.DUMMYFUNCTION("""COMPUTED_VALUE"""),"PR052")</f>
        <v>PR052</v>
      </c>
      <c r="B1072" s="1" t="str">
        <f>IFERROR(__xludf.DUMMYFUNCTION("""COMPUTED_VALUE"""),"VD043")</f>
        <v>VD043</v>
      </c>
      <c r="C1072" s="1">
        <f>IFERROR(__xludf.DUMMYFUNCTION("""COMPUTED_VALUE"""),10.0)</f>
        <v>10</v>
      </c>
      <c r="D1072" s="1">
        <f>IFERROR(__xludf.DUMMYFUNCTION("""COMPUTED_VALUE"""),528.94)</f>
        <v>528.94</v>
      </c>
    </row>
    <row r="1073">
      <c r="A1073" s="1" t="str">
        <f>IFERROR(__xludf.DUMMYFUNCTION("""COMPUTED_VALUE"""),"PR044")</f>
        <v>PR044</v>
      </c>
      <c r="B1073" s="1" t="str">
        <f>IFERROR(__xludf.DUMMYFUNCTION("""COMPUTED_VALUE"""),"VD023")</f>
        <v>VD023</v>
      </c>
      <c r="C1073" s="1">
        <f>IFERROR(__xludf.DUMMYFUNCTION("""COMPUTED_VALUE"""),1.0)</f>
        <v>1</v>
      </c>
      <c r="D1073" s="1">
        <f>IFERROR(__xludf.DUMMYFUNCTION("""COMPUTED_VALUE"""),77.58)</f>
        <v>77.58</v>
      </c>
    </row>
    <row r="1074">
      <c r="A1074" s="1" t="str">
        <f>IFERROR(__xludf.DUMMYFUNCTION("""COMPUTED_VALUE"""),"PR047")</f>
        <v>PR047</v>
      </c>
      <c r="B1074" s="1" t="str">
        <f>IFERROR(__xludf.DUMMYFUNCTION("""COMPUTED_VALUE"""),"VD041")</f>
        <v>VD041</v>
      </c>
      <c r="C1074" s="1">
        <f>IFERROR(__xludf.DUMMYFUNCTION("""COMPUTED_VALUE"""),9.0)</f>
        <v>9</v>
      </c>
      <c r="D1074" s="1">
        <f>IFERROR(__xludf.DUMMYFUNCTION("""COMPUTED_VALUE"""),2870.01)</f>
        <v>2870.01</v>
      </c>
    </row>
    <row r="1075">
      <c r="A1075" s="1" t="str">
        <f>IFERROR(__xludf.DUMMYFUNCTION("""COMPUTED_VALUE"""),"PR023")</f>
        <v>PR023</v>
      </c>
      <c r="B1075" s="1" t="str">
        <f>IFERROR(__xludf.DUMMYFUNCTION("""COMPUTED_VALUE"""),"VD021")</f>
        <v>VD021</v>
      </c>
      <c r="C1075" s="1">
        <f>IFERROR(__xludf.DUMMYFUNCTION("""COMPUTED_VALUE"""),3.0)</f>
        <v>3</v>
      </c>
      <c r="D1075" s="1">
        <f>IFERROR(__xludf.DUMMYFUNCTION("""COMPUTED_VALUE"""),764.69)</f>
        <v>764.69</v>
      </c>
    </row>
    <row r="1076">
      <c r="A1076" s="1" t="str">
        <f>IFERROR(__xludf.DUMMYFUNCTION("""COMPUTED_VALUE"""),"PR036")</f>
        <v>PR036</v>
      </c>
      <c r="B1076" s="1" t="str">
        <f>IFERROR(__xludf.DUMMYFUNCTION("""COMPUTED_VALUE"""),"VD022")</f>
        <v>VD022</v>
      </c>
      <c r="C1076" s="1">
        <f>IFERROR(__xludf.DUMMYFUNCTION("""COMPUTED_VALUE"""),20.0)</f>
        <v>20</v>
      </c>
      <c r="D1076" s="1">
        <f>IFERROR(__xludf.DUMMYFUNCTION("""COMPUTED_VALUE"""),1926.1)</f>
        <v>1926.1</v>
      </c>
    </row>
    <row r="1077">
      <c r="A1077" s="1" t="str">
        <f>IFERROR(__xludf.DUMMYFUNCTION("""COMPUTED_VALUE"""),"PR048")</f>
        <v>PR048</v>
      </c>
      <c r="B1077" s="1" t="str">
        <f>IFERROR(__xludf.DUMMYFUNCTION("""COMPUTED_VALUE"""),"VD013")</f>
        <v>VD013</v>
      </c>
      <c r="C1077" s="1">
        <f>IFERROR(__xludf.DUMMYFUNCTION("""COMPUTED_VALUE"""),10.0)</f>
        <v>10</v>
      </c>
      <c r="D1077" s="1">
        <f>IFERROR(__xludf.DUMMYFUNCTION("""COMPUTED_VALUE"""),3043.95)</f>
        <v>3043.95</v>
      </c>
    </row>
    <row r="1078">
      <c r="A1078" s="1" t="str">
        <f>IFERROR(__xludf.DUMMYFUNCTION("""COMPUTED_VALUE"""),"PR056")</f>
        <v>PR056</v>
      </c>
      <c r="B1078" s="1" t="str">
        <f>IFERROR(__xludf.DUMMYFUNCTION("""COMPUTED_VALUE"""),"VD036")</f>
        <v>VD036</v>
      </c>
      <c r="C1078" s="1">
        <f>IFERROR(__xludf.DUMMYFUNCTION("""COMPUTED_VALUE"""),10.0)</f>
        <v>10</v>
      </c>
      <c r="D1078" s="1">
        <f>IFERROR(__xludf.DUMMYFUNCTION("""COMPUTED_VALUE"""),943.95)</f>
        <v>943.95</v>
      </c>
    </row>
    <row r="1079">
      <c r="A1079" s="1" t="str">
        <f>IFERROR(__xludf.DUMMYFUNCTION("""COMPUTED_VALUE"""),"PR018")</f>
        <v>PR018</v>
      </c>
      <c r="B1079" s="1" t="str">
        <f>IFERROR(__xludf.DUMMYFUNCTION("""COMPUTED_VALUE"""),"VD011")</f>
        <v>VD011</v>
      </c>
      <c r="C1079" s="1">
        <f>IFERROR(__xludf.DUMMYFUNCTION("""COMPUTED_VALUE"""),9.0)</f>
        <v>9</v>
      </c>
      <c r="D1079" s="1">
        <f>IFERROR(__xludf.DUMMYFUNCTION("""COMPUTED_VALUE"""),319.79)</f>
        <v>319.79</v>
      </c>
    </row>
    <row r="1080">
      <c r="A1080" s="1" t="str">
        <f>IFERROR(__xludf.DUMMYFUNCTION("""COMPUTED_VALUE"""),"PR017")</f>
        <v>PR017</v>
      </c>
      <c r="B1080" s="1" t="str">
        <f>IFERROR(__xludf.DUMMYFUNCTION("""COMPUTED_VALUE"""),"VD020")</f>
        <v>VD020</v>
      </c>
      <c r="C1080" s="1">
        <f>IFERROR(__xludf.DUMMYFUNCTION("""COMPUTED_VALUE"""),8.0)</f>
        <v>8</v>
      </c>
      <c r="D1080" s="1">
        <f>IFERROR(__xludf.DUMMYFUNCTION("""COMPUTED_VALUE"""),241.59)</f>
        <v>241.59</v>
      </c>
    </row>
    <row r="1081">
      <c r="A1081" s="1" t="str">
        <f>IFERROR(__xludf.DUMMYFUNCTION("""COMPUTED_VALUE"""),"PR048")</f>
        <v>PR048</v>
      </c>
      <c r="B1081" s="1" t="str">
        <f>IFERROR(__xludf.DUMMYFUNCTION("""COMPUTED_VALUE"""),"VD046")</f>
        <v>VD046</v>
      </c>
      <c r="C1081" s="1">
        <f>IFERROR(__xludf.DUMMYFUNCTION("""COMPUTED_VALUE"""),10.0)</f>
        <v>10</v>
      </c>
      <c r="D1081" s="1">
        <f>IFERROR(__xludf.DUMMYFUNCTION("""COMPUTED_VALUE"""),3101.93)</f>
        <v>3101.93</v>
      </c>
    </row>
    <row r="1082">
      <c r="A1082" s="1" t="str">
        <f>IFERROR(__xludf.DUMMYFUNCTION("""COMPUTED_VALUE"""),"PR014")</f>
        <v>PR014</v>
      </c>
      <c r="B1082" s="1" t="str">
        <f>IFERROR(__xludf.DUMMYFUNCTION("""COMPUTED_VALUE"""),"VD029")</f>
        <v>VD029</v>
      </c>
      <c r="C1082" s="1">
        <f>IFERROR(__xludf.DUMMYFUNCTION("""COMPUTED_VALUE"""),18.0)</f>
        <v>18</v>
      </c>
      <c r="D1082" s="1">
        <f>IFERROR(__xludf.DUMMYFUNCTION("""COMPUTED_VALUE"""),718.2)</f>
        <v>718.2</v>
      </c>
    </row>
    <row r="1083">
      <c r="A1083" s="1" t="str">
        <f>IFERROR(__xludf.DUMMYFUNCTION("""COMPUTED_VALUE"""),"PR008")</f>
        <v>PR008</v>
      </c>
      <c r="B1083" s="1" t="str">
        <f>IFERROR(__xludf.DUMMYFUNCTION("""COMPUTED_VALUE"""),"VD020")</f>
        <v>VD020</v>
      </c>
      <c r="C1083" s="1">
        <f>IFERROR(__xludf.DUMMYFUNCTION("""COMPUTED_VALUE"""),1.0)</f>
        <v>1</v>
      </c>
      <c r="D1083" s="1">
        <f>IFERROR(__xludf.DUMMYFUNCTION("""COMPUTED_VALUE"""),90.8)</f>
        <v>90.8</v>
      </c>
    </row>
    <row r="1084">
      <c r="A1084" s="1" t="str">
        <f>IFERROR(__xludf.DUMMYFUNCTION("""COMPUTED_VALUE"""),"PR032")</f>
        <v>PR032</v>
      </c>
      <c r="B1084" s="1" t="str">
        <f>IFERROR(__xludf.DUMMYFUNCTION("""COMPUTED_VALUE"""),"VD042")</f>
        <v>VD042</v>
      </c>
      <c r="C1084" s="1">
        <f>IFERROR(__xludf.DUMMYFUNCTION("""COMPUTED_VALUE"""),7.0)</f>
        <v>7</v>
      </c>
      <c r="D1084" s="1">
        <f>IFERROR(__xludf.DUMMYFUNCTION("""COMPUTED_VALUE"""),1872.5)</f>
        <v>1872.5</v>
      </c>
    </row>
    <row r="1085">
      <c r="A1085" s="1" t="str">
        <f>IFERROR(__xludf.DUMMYFUNCTION("""COMPUTED_VALUE"""),"PR024")</f>
        <v>PR024</v>
      </c>
      <c r="B1085" s="1" t="str">
        <f>IFERROR(__xludf.DUMMYFUNCTION("""COMPUTED_VALUE"""),"VD028")</f>
        <v>VD028</v>
      </c>
      <c r="C1085" s="1">
        <f>IFERROR(__xludf.DUMMYFUNCTION("""COMPUTED_VALUE"""),20.0)</f>
        <v>20</v>
      </c>
      <c r="D1085" s="1">
        <f>IFERROR(__xludf.DUMMYFUNCTION("""COMPUTED_VALUE"""),5561.86)</f>
        <v>5561.86</v>
      </c>
    </row>
    <row r="1086">
      <c r="A1086" s="1" t="str">
        <f>IFERROR(__xludf.DUMMYFUNCTION("""COMPUTED_VALUE"""),"PR047")</f>
        <v>PR047</v>
      </c>
      <c r="B1086" s="1" t="str">
        <f>IFERROR(__xludf.DUMMYFUNCTION("""COMPUTED_VALUE"""),"VD020")</f>
        <v>VD020</v>
      </c>
      <c r="C1086" s="1">
        <f>IFERROR(__xludf.DUMMYFUNCTION("""COMPUTED_VALUE"""),12.0)</f>
        <v>12</v>
      </c>
      <c r="D1086" s="1">
        <f>IFERROR(__xludf.DUMMYFUNCTION("""COMPUTED_VALUE"""),3722.32)</f>
        <v>3722.32</v>
      </c>
    </row>
    <row r="1087">
      <c r="A1087" s="1" t="str">
        <f>IFERROR(__xludf.DUMMYFUNCTION("""COMPUTED_VALUE"""),"PR033")</f>
        <v>PR033</v>
      </c>
      <c r="B1087" s="1" t="str">
        <f>IFERROR(__xludf.DUMMYFUNCTION("""COMPUTED_VALUE"""),"VD031")</f>
        <v>VD031</v>
      </c>
      <c r="C1087" s="1">
        <f>IFERROR(__xludf.DUMMYFUNCTION("""COMPUTED_VALUE"""),4.0)</f>
        <v>4</v>
      </c>
      <c r="D1087" s="1">
        <f>IFERROR(__xludf.DUMMYFUNCTION("""COMPUTED_VALUE"""),1091.58)</f>
        <v>1091.58</v>
      </c>
    </row>
    <row r="1088">
      <c r="A1088" s="1" t="str">
        <f>IFERROR(__xludf.DUMMYFUNCTION("""COMPUTED_VALUE"""),"PR017")</f>
        <v>PR017</v>
      </c>
      <c r="B1088" s="1" t="str">
        <f>IFERROR(__xludf.DUMMYFUNCTION("""COMPUTED_VALUE"""),"VD024")</f>
        <v>VD024</v>
      </c>
      <c r="C1088" s="1">
        <f>IFERROR(__xludf.DUMMYFUNCTION("""COMPUTED_VALUE"""),2.0)</f>
        <v>2</v>
      </c>
      <c r="D1088" s="1">
        <f>IFERROR(__xludf.DUMMYFUNCTION("""COMPUTED_VALUE"""),65.18)</f>
        <v>65.18</v>
      </c>
    </row>
    <row r="1089">
      <c r="A1089" s="1" t="str">
        <f>IFERROR(__xludf.DUMMYFUNCTION("""COMPUTED_VALUE"""),"PR022")</f>
        <v>PR022</v>
      </c>
      <c r="B1089" s="1" t="str">
        <f>IFERROR(__xludf.DUMMYFUNCTION("""COMPUTED_VALUE"""),"VD029")</f>
        <v>VD029</v>
      </c>
      <c r="C1089" s="1">
        <f>IFERROR(__xludf.DUMMYFUNCTION("""COMPUTED_VALUE"""),18.0)</f>
        <v>18</v>
      </c>
      <c r="D1089" s="1">
        <f>IFERROR(__xludf.DUMMYFUNCTION("""COMPUTED_VALUE"""),5832.0)</f>
        <v>5832</v>
      </c>
    </row>
    <row r="1090">
      <c r="A1090" s="1" t="str">
        <f>IFERROR(__xludf.DUMMYFUNCTION("""COMPUTED_VALUE"""),"PR022")</f>
        <v>PR022</v>
      </c>
      <c r="B1090" s="1" t="str">
        <f>IFERROR(__xludf.DUMMYFUNCTION("""COMPUTED_VALUE"""),"VD011")</f>
        <v>VD011</v>
      </c>
      <c r="C1090" s="1">
        <f>IFERROR(__xludf.DUMMYFUNCTION("""COMPUTED_VALUE"""),2.0)</f>
        <v>2</v>
      </c>
      <c r="D1090" s="1">
        <f>IFERROR(__xludf.DUMMYFUNCTION("""COMPUTED_VALUE"""),624.0)</f>
        <v>624</v>
      </c>
    </row>
    <row r="1091">
      <c r="A1091" s="1" t="str">
        <f>IFERROR(__xludf.DUMMYFUNCTION("""COMPUTED_VALUE"""),"PR038")</f>
        <v>PR038</v>
      </c>
      <c r="B1091" s="1" t="str">
        <f>IFERROR(__xludf.DUMMYFUNCTION("""COMPUTED_VALUE"""),"VD032")</f>
        <v>VD032</v>
      </c>
      <c r="C1091" s="1">
        <f>IFERROR(__xludf.DUMMYFUNCTION("""COMPUTED_VALUE"""),8.0)</f>
        <v>8</v>
      </c>
      <c r="D1091" s="1">
        <f>IFERROR(__xludf.DUMMYFUNCTION("""COMPUTED_VALUE"""),1188.93)</f>
        <v>1188.93</v>
      </c>
    </row>
    <row r="1092">
      <c r="A1092" s="1" t="str">
        <f>IFERROR(__xludf.DUMMYFUNCTION("""COMPUTED_VALUE"""),"PR060")</f>
        <v>PR060</v>
      </c>
      <c r="B1092" s="1" t="str">
        <f>IFERROR(__xludf.DUMMYFUNCTION("""COMPUTED_VALUE"""),"VD047")</f>
        <v>VD047</v>
      </c>
      <c r="C1092" s="1">
        <f>IFERROR(__xludf.DUMMYFUNCTION("""COMPUTED_VALUE"""),16.0)</f>
        <v>16</v>
      </c>
      <c r="D1092" s="1">
        <f>IFERROR(__xludf.DUMMYFUNCTION("""COMPUTED_VALUE"""),3139.2)</f>
        <v>3139.2</v>
      </c>
    </row>
    <row r="1093">
      <c r="A1093" s="1" t="str">
        <f>IFERROR(__xludf.DUMMYFUNCTION("""COMPUTED_VALUE"""),"PR049")</f>
        <v>PR049</v>
      </c>
      <c r="B1093" s="1" t="str">
        <f>IFERROR(__xludf.DUMMYFUNCTION("""COMPUTED_VALUE"""),"VD035")</f>
        <v>VD035</v>
      </c>
      <c r="C1093" s="1">
        <f>IFERROR(__xludf.DUMMYFUNCTION("""COMPUTED_VALUE"""),3.0)</f>
        <v>3</v>
      </c>
      <c r="D1093" s="1">
        <f>IFERROR(__xludf.DUMMYFUNCTION("""COMPUTED_VALUE"""),102.65)</f>
        <v>102.65</v>
      </c>
    </row>
    <row r="1094">
      <c r="A1094" s="1" t="str">
        <f>IFERROR(__xludf.DUMMYFUNCTION("""COMPUTED_VALUE"""),"PR035")</f>
        <v>PR035</v>
      </c>
      <c r="B1094" s="1" t="str">
        <f>IFERROR(__xludf.DUMMYFUNCTION("""COMPUTED_VALUE"""),"VD045")</f>
        <v>VD045</v>
      </c>
      <c r="C1094" s="1">
        <f>IFERROR(__xludf.DUMMYFUNCTION("""COMPUTED_VALUE"""),5.0)</f>
        <v>5</v>
      </c>
      <c r="D1094" s="1">
        <f>IFERROR(__xludf.DUMMYFUNCTION("""COMPUTED_VALUE"""),466.14)</f>
        <v>466.14</v>
      </c>
    </row>
    <row r="1095">
      <c r="A1095" s="1" t="str">
        <f>IFERROR(__xludf.DUMMYFUNCTION("""COMPUTED_VALUE"""),"PR017")</f>
        <v>PR017</v>
      </c>
      <c r="B1095" s="1" t="str">
        <f>IFERROR(__xludf.DUMMYFUNCTION("""COMPUTED_VALUE"""),"VD032")</f>
        <v>VD032</v>
      </c>
      <c r="C1095" s="1">
        <f>IFERROR(__xludf.DUMMYFUNCTION("""COMPUTED_VALUE"""),18.0)</f>
        <v>18</v>
      </c>
      <c r="D1095" s="1">
        <f>IFERROR(__xludf.DUMMYFUNCTION("""COMPUTED_VALUE"""),559.73)</f>
        <v>559.73</v>
      </c>
    </row>
    <row r="1096">
      <c r="A1096" s="1" t="str">
        <f>IFERROR(__xludf.DUMMYFUNCTION("""COMPUTED_VALUE"""),"PR060")</f>
        <v>PR060</v>
      </c>
      <c r="B1096" s="1" t="str">
        <f>IFERROR(__xludf.DUMMYFUNCTION("""COMPUTED_VALUE"""),"VD020")</f>
        <v>VD020</v>
      </c>
      <c r="C1096" s="1">
        <f>IFERROR(__xludf.DUMMYFUNCTION("""COMPUTED_VALUE"""),9.0)</f>
        <v>9</v>
      </c>
      <c r="D1096" s="1">
        <f>IFERROR(__xludf.DUMMYFUNCTION("""COMPUTED_VALUE"""),1684.8)</f>
        <v>1684.8</v>
      </c>
    </row>
    <row r="1097">
      <c r="A1097" s="1" t="str">
        <f>IFERROR(__xludf.DUMMYFUNCTION("""COMPUTED_VALUE"""),"PR036")</f>
        <v>PR036</v>
      </c>
      <c r="B1097" s="1" t="str">
        <f>IFERROR(__xludf.DUMMYFUNCTION("""COMPUTED_VALUE"""),"VD046")</f>
        <v>VD046</v>
      </c>
      <c r="C1097" s="1">
        <f>IFERROR(__xludf.DUMMYFUNCTION("""COMPUTED_VALUE"""),10.0)</f>
        <v>10</v>
      </c>
      <c r="D1097" s="1">
        <f>IFERROR(__xludf.DUMMYFUNCTION("""COMPUTED_VALUE"""),1028.5)</f>
        <v>1028.5</v>
      </c>
    </row>
    <row r="1098">
      <c r="A1098" s="1" t="str">
        <f>IFERROR(__xludf.DUMMYFUNCTION("""COMPUTED_VALUE"""),"PR043")</f>
        <v>PR043</v>
      </c>
      <c r="B1098" s="1" t="str">
        <f>IFERROR(__xludf.DUMMYFUNCTION("""COMPUTED_VALUE"""),"VD022")</f>
        <v>VD022</v>
      </c>
      <c r="C1098" s="1">
        <f>IFERROR(__xludf.DUMMYFUNCTION("""COMPUTED_VALUE"""),2.0)</f>
        <v>2</v>
      </c>
      <c r="D1098" s="1">
        <f>IFERROR(__xludf.DUMMYFUNCTION("""COMPUTED_VALUE"""),153.7)</f>
        <v>153.7</v>
      </c>
    </row>
    <row r="1099">
      <c r="A1099" s="1" t="str">
        <f>IFERROR(__xludf.DUMMYFUNCTION("""COMPUTED_VALUE"""),"PR007")</f>
        <v>PR007</v>
      </c>
      <c r="B1099" s="1" t="str">
        <f>IFERROR(__xludf.DUMMYFUNCTION("""COMPUTED_VALUE"""),"VD041")</f>
        <v>VD041</v>
      </c>
      <c r="C1099" s="1">
        <f>IFERROR(__xludf.DUMMYFUNCTION("""COMPUTED_VALUE"""),2.0)</f>
        <v>2</v>
      </c>
      <c r="D1099" s="1">
        <f>IFERROR(__xludf.DUMMYFUNCTION("""COMPUTED_VALUE"""),187.26)</f>
        <v>187.26</v>
      </c>
    </row>
    <row r="1100">
      <c r="A1100" s="1" t="str">
        <f>IFERROR(__xludf.DUMMYFUNCTION("""COMPUTED_VALUE"""),"PR037")</f>
        <v>PR037</v>
      </c>
      <c r="B1100" s="1" t="str">
        <f>IFERROR(__xludf.DUMMYFUNCTION("""COMPUTED_VALUE"""),"VD043")</f>
        <v>VD043</v>
      </c>
      <c r="C1100" s="1">
        <f>IFERROR(__xludf.DUMMYFUNCTION("""COMPUTED_VALUE"""),9.0)</f>
        <v>9</v>
      </c>
      <c r="D1100" s="1">
        <f>IFERROR(__xludf.DUMMYFUNCTION("""COMPUTED_VALUE"""),1297.8)</f>
        <v>1297.8</v>
      </c>
    </row>
    <row r="1101">
      <c r="A1101" s="1" t="str">
        <f>IFERROR(__xludf.DUMMYFUNCTION("""COMPUTED_VALUE"""),"PR030")</f>
        <v>PR030</v>
      </c>
      <c r="B1101" s="1" t="str">
        <f>IFERROR(__xludf.DUMMYFUNCTION("""COMPUTED_VALUE"""),"VD010")</f>
        <v>VD010</v>
      </c>
      <c r="C1101" s="1">
        <f>IFERROR(__xludf.DUMMYFUNCTION("""COMPUTED_VALUE"""),18.0)</f>
        <v>18</v>
      </c>
      <c r="D1101" s="1">
        <f>IFERROR(__xludf.DUMMYFUNCTION("""COMPUTED_VALUE"""),5146.02)</f>
        <v>5146.02</v>
      </c>
    </row>
    <row r="1102">
      <c r="A1102" s="1" t="str">
        <f>IFERROR(__xludf.DUMMYFUNCTION("""COMPUTED_VALUE"""),"PR049")</f>
        <v>PR049</v>
      </c>
      <c r="B1102" s="1" t="str">
        <f>IFERROR(__xludf.DUMMYFUNCTION("""COMPUTED_VALUE"""),"VD049")</f>
        <v>VD049</v>
      </c>
      <c r="C1102" s="1">
        <f>IFERROR(__xludf.DUMMYFUNCTION("""COMPUTED_VALUE"""),4.0)</f>
        <v>4</v>
      </c>
      <c r="D1102" s="1">
        <f>IFERROR(__xludf.DUMMYFUNCTION("""COMPUTED_VALUE"""),142.13)</f>
        <v>142.13</v>
      </c>
    </row>
    <row r="1103">
      <c r="A1103" s="1" t="str">
        <f>IFERROR(__xludf.DUMMYFUNCTION("""COMPUTED_VALUE"""),"PR024")</f>
        <v>PR024</v>
      </c>
      <c r="B1103" s="1" t="str">
        <f>IFERROR(__xludf.DUMMYFUNCTION("""COMPUTED_VALUE"""),"VD033")</f>
        <v>VD033</v>
      </c>
      <c r="C1103" s="1">
        <f>IFERROR(__xludf.DUMMYFUNCTION("""COMPUTED_VALUE"""),5.0)</f>
        <v>5</v>
      </c>
      <c r="D1103" s="1">
        <f>IFERROR(__xludf.DUMMYFUNCTION("""COMPUTED_VALUE"""),1312.5)</f>
        <v>1312.5</v>
      </c>
    </row>
    <row r="1104">
      <c r="A1104" s="1" t="str">
        <f>IFERROR(__xludf.DUMMYFUNCTION("""COMPUTED_VALUE"""),"PR025")</f>
        <v>PR025</v>
      </c>
      <c r="B1104" s="1" t="str">
        <f>IFERROR(__xludf.DUMMYFUNCTION("""COMPUTED_VALUE"""),"VD027")</f>
        <v>VD027</v>
      </c>
      <c r="C1104" s="1">
        <f>IFERROR(__xludf.DUMMYFUNCTION("""COMPUTED_VALUE"""),16.0)</f>
        <v>16</v>
      </c>
      <c r="D1104" s="1">
        <f>IFERROR(__xludf.DUMMYFUNCTION("""COMPUTED_VALUE"""),5278.24)</f>
        <v>5278.24</v>
      </c>
    </row>
    <row r="1105">
      <c r="A1105" s="1" t="str">
        <f>IFERROR(__xludf.DUMMYFUNCTION("""COMPUTED_VALUE"""),"PR040")</f>
        <v>PR040</v>
      </c>
      <c r="B1105" s="1" t="str">
        <f>IFERROR(__xludf.DUMMYFUNCTION("""COMPUTED_VALUE"""),"VD020")</f>
        <v>VD020</v>
      </c>
      <c r="C1105" s="1">
        <f>IFERROR(__xludf.DUMMYFUNCTION("""COMPUTED_VALUE"""),5.0)</f>
        <v>5</v>
      </c>
      <c r="D1105" s="1">
        <f>IFERROR(__xludf.DUMMYFUNCTION("""COMPUTED_VALUE"""),385.0)</f>
        <v>385</v>
      </c>
    </row>
    <row r="1106">
      <c r="A1106" s="1" t="str">
        <f>IFERROR(__xludf.DUMMYFUNCTION("""COMPUTED_VALUE"""),"PR012")</f>
        <v>PR012</v>
      </c>
      <c r="B1106" s="1" t="str">
        <f>IFERROR(__xludf.DUMMYFUNCTION("""COMPUTED_VALUE"""),"VD042")</f>
        <v>VD042</v>
      </c>
      <c r="C1106" s="1">
        <f>IFERROR(__xludf.DUMMYFUNCTION("""COMPUTED_VALUE"""),6.0)</f>
        <v>6</v>
      </c>
      <c r="D1106" s="1">
        <f>IFERROR(__xludf.DUMMYFUNCTION("""COMPUTED_VALUE"""),316.87)</f>
        <v>316.87</v>
      </c>
    </row>
    <row r="1107">
      <c r="A1107" s="1" t="str">
        <f>IFERROR(__xludf.DUMMYFUNCTION("""COMPUTED_VALUE"""),"PR050")</f>
        <v>PR050</v>
      </c>
      <c r="B1107" s="1" t="str">
        <f>IFERROR(__xludf.DUMMYFUNCTION("""COMPUTED_VALUE"""),"VD039")</f>
        <v>VD039</v>
      </c>
      <c r="C1107" s="1">
        <f>IFERROR(__xludf.DUMMYFUNCTION("""COMPUTED_VALUE"""),2.0)</f>
        <v>2</v>
      </c>
      <c r="D1107" s="1">
        <f>IFERROR(__xludf.DUMMYFUNCTION("""COMPUTED_VALUE"""),65.8)</f>
        <v>65.8</v>
      </c>
    </row>
    <row r="1108">
      <c r="A1108" s="1" t="str">
        <f>IFERROR(__xludf.DUMMYFUNCTION("""COMPUTED_VALUE"""),"PR036")</f>
        <v>PR036</v>
      </c>
      <c r="B1108" s="1" t="str">
        <f>IFERROR(__xludf.DUMMYFUNCTION("""COMPUTED_VALUE"""),"VD010")</f>
        <v>VD010</v>
      </c>
      <c r="C1108" s="1">
        <f>IFERROR(__xludf.DUMMYFUNCTION("""COMPUTED_VALUE"""),8.0)</f>
        <v>8</v>
      </c>
      <c r="D1108" s="1">
        <f>IFERROR(__xludf.DUMMYFUNCTION("""COMPUTED_VALUE"""),755.48)</f>
        <v>755.48</v>
      </c>
    </row>
    <row r="1109">
      <c r="A1109" s="1" t="str">
        <f>IFERROR(__xludf.DUMMYFUNCTION("""COMPUTED_VALUE"""),"PR031")</f>
        <v>PR031</v>
      </c>
      <c r="B1109" s="1" t="str">
        <f>IFERROR(__xludf.DUMMYFUNCTION("""COMPUTED_VALUE"""),"VD030")</f>
        <v>VD030</v>
      </c>
      <c r="C1109" s="1">
        <f>IFERROR(__xludf.DUMMYFUNCTION("""COMPUTED_VALUE"""),9.0)</f>
        <v>9</v>
      </c>
      <c r="D1109" s="1">
        <f>IFERROR(__xludf.DUMMYFUNCTION("""COMPUTED_VALUE"""),2227.05)</f>
        <v>2227.05</v>
      </c>
    </row>
    <row r="1110">
      <c r="A1110" s="1" t="str">
        <f>IFERROR(__xludf.DUMMYFUNCTION("""COMPUTED_VALUE"""),"PR060")</f>
        <v>PR060</v>
      </c>
      <c r="B1110" s="1" t="str">
        <f>IFERROR(__xludf.DUMMYFUNCTION("""COMPUTED_VALUE"""),"VD045")</f>
        <v>VD045</v>
      </c>
      <c r="C1110" s="1">
        <f>IFERROR(__xludf.DUMMYFUNCTION("""COMPUTED_VALUE"""),3.0)</f>
        <v>3</v>
      </c>
      <c r="D1110" s="1">
        <f>IFERROR(__xludf.DUMMYFUNCTION("""COMPUTED_VALUE"""),556.2)</f>
        <v>556.2</v>
      </c>
    </row>
    <row r="1111">
      <c r="A1111" s="1" t="str">
        <f>IFERROR(__xludf.DUMMYFUNCTION("""COMPUTED_VALUE"""),"PR028")</f>
        <v>PR028</v>
      </c>
      <c r="B1111" s="1" t="str">
        <f>IFERROR(__xludf.DUMMYFUNCTION("""COMPUTED_VALUE"""),"VD038")</f>
        <v>VD038</v>
      </c>
      <c r="C1111" s="1">
        <f>IFERROR(__xludf.DUMMYFUNCTION("""COMPUTED_VALUE"""),1.0)</f>
        <v>1</v>
      </c>
      <c r="D1111" s="1">
        <f>IFERROR(__xludf.DUMMYFUNCTION("""COMPUTED_VALUE"""),249.9)</f>
        <v>249.9</v>
      </c>
    </row>
    <row r="1112">
      <c r="A1112" s="1" t="str">
        <f>IFERROR(__xludf.DUMMYFUNCTION("""COMPUTED_VALUE"""),"PR056")</f>
        <v>PR056</v>
      </c>
      <c r="B1112" s="1" t="str">
        <f>IFERROR(__xludf.DUMMYFUNCTION("""COMPUTED_VALUE"""),"VD031")</f>
        <v>VD031</v>
      </c>
      <c r="C1112" s="1">
        <f>IFERROR(__xludf.DUMMYFUNCTION("""COMPUTED_VALUE"""),18.0)</f>
        <v>18</v>
      </c>
      <c r="D1112" s="1">
        <f>IFERROR(__xludf.DUMMYFUNCTION("""COMPUTED_VALUE"""),1747.66)</f>
        <v>1747.66</v>
      </c>
    </row>
    <row r="1113">
      <c r="A1113" s="1" t="str">
        <f>IFERROR(__xludf.DUMMYFUNCTION("""COMPUTED_VALUE"""),"PR055")</f>
        <v>PR055</v>
      </c>
      <c r="B1113" s="1" t="str">
        <f>IFERROR(__xludf.DUMMYFUNCTION("""COMPUTED_VALUE"""),"VD041")</f>
        <v>VD041</v>
      </c>
      <c r="C1113" s="1">
        <f>IFERROR(__xludf.DUMMYFUNCTION("""COMPUTED_VALUE"""),6.0)</f>
        <v>6</v>
      </c>
      <c r="D1113" s="1">
        <f>IFERROR(__xludf.DUMMYFUNCTION("""COMPUTED_VALUE"""),550.19)</f>
        <v>550.19</v>
      </c>
    </row>
    <row r="1114">
      <c r="A1114" s="1" t="str">
        <f>IFERROR(__xludf.DUMMYFUNCTION("""COMPUTED_VALUE"""),"PR058")</f>
        <v>PR058</v>
      </c>
      <c r="B1114" s="1" t="str">
        <f>IFERROR(__xludf.DUMMYFUNCTION("""COMPUTED_VALUE"""),"VD027")</f>
        <v>VD027</v>
      </c>
      <c r="C1114" s="1">
        <f>IFERROR(__xludf.DUMMYFUNCTION("""COMPUTED_VALUE"""),18.0)</f>
        <v>18</v>
      </c>
      <c r="D1114" s="1">
        <f>IFERROR(__xludf.DUMMYFUNCTION("""COMPUTED_VALUE"""),3531.6)</f>
        <v>3531.6</v>
      </c>
    </row>
    <row r="1115">
      <c r="A1115" s="1" t="str">
        <f>IFERROR(__xludf.DUMMYFUNCTION("""COMPUTED_VALUE"""),"PR021")</f>
        <v>PR021</v>
      </c>
      <c r="B1115" s="1" t="str">
        <f>IFERROR(__xludf.DUMMYFUNCTION("""COMPUTED_VALUE"""),"VD025")</f>
        <v>VD025</v>
      </c>
      <c r="C1115" s="1">
        <f>IFERROR(__xludf.DUMMYFUNCTION("""COMPUTED_VALUE"""),10.0)</f>
        <v>10</v>
      </c>
      <c r="D1115" s="1">
        <f>IFERROR(__xludf.DUMMYFUNCTION("""COMPUTED_VALUE"""),3271.32)</f>
        <v>3271.32</v>
      </c>
    </row>
    <row r="1116">
      <c r="A1116" s="1" t="str">
        <f>IFERROR(__xludf.DUMMYFUNCTION("""COMPUTED_VALUE"""),"PR019")</f>
        <v>PR019</v>
      </c>
      <c r="B1116" s="1" t="str">
        <f>IFERROR(__xludf.DUMMYFUNCTION("""COMPUTED_VALUE"""),"VD033")</f>
        <v>VD033</v>
      </c>
      <c r="C1116" s="1">
        <f>IFERROR(__xludf.DUMMYFUNCTION("""COMPUTED_VALUE"""),6.0)</f>
        <v>6</v>
      </c>
      <c r="D1116" s="1">
        <f>IFERROR(__xludf.DUMMYFUNCTION("""COMPUTED_VALUE"""),314.37)</f>
        <v>314.37</v>
      </c>
    </row>
    <row r="1117">
      <c r="A1117" s="1" t="str">
        <f>IFERROR(__xludf.DUMMYFUNCTION("""COMPUTED_VALUE"""),"PR024")</f>
        <v>PR024</v>
      </c>
      <c r="B1117" s="1" t="str">
        <f>IFERROR(__xludf.DUMMYFUNCTION("""COMPUTED_VALUE"""),"VD014")</f>
        <v>VD014</v>
      </c>
      <c r="C1117" s="1">
        <f>IFERROR(__xludf.DUMMYFUNCTION("""COMPUTED_VALUE"""),20.0)</f>
        <v>20</v>
      </c>
      <c r="D1117" s="1">
        <f>IFERROR(__xludf.DUMMYFUNCTION("""COMPUTED_VALUE"""),5613.84)</f>
        <v>5613.84</v>
      </c>
    </row>
    <row r="1118">
      <c r="A1118" s="1" t="str">
        <f>IFERROR(__xludf.DUMMYFUNCTION("""COMPUTED_VALUE"""),"PR042")</f>
        <v>PR042</v>
      </c>
      <c r="B1118" s="1" t="str">
        <f>IFERROR(__xludf.DUMMYFUNCTION("""COMPUTED_VALUE"""),"VD042")</f>
        <v>VD042</v>
      </c>
      <c r="C1118" s="1">
        <f>IFERROR(__xludf.DUMMYFUNCTION("""COMPUTED_VALUE"""),3.0)</f>
        <v>3</v>
      </c>
      <c r="D1118" s="1">
        <f>IFERROR(__xludf.DUMMYFUNCTION("""COMPUTED_VALUE"""),171.29)</f>
        <v>171.29</v>
      </c>
    </row>
    <row r="1119">
      <c r="A1119" s="1" t="str">
        <f>IFERROR(__xludf.DUMMYFUNCTION("""COMPUTED_VALUE"""),"PR041")</f>
        <v>PR041</v>
      </c>
      <c r="B1119" s="1" t="str">
        <f>IFERROR(__xludf.DUMMYFUNCTION("""COMPUTED_VALUE"""),"VD012")</f>
        <v>VD012</v>
      </c>
      <c r="C1119" s="1">
        <f>IFERROR(__xludf.DUMMYFUNCTION("""COMPUTED_VALUE"""),1.0)</f>
        <v>1</v>
      </c>
      <c r="D1119" s="1">
        <f>IFERROR(__xludf.DUMMYFUNCTION("""COMPUTED_VALUE"""),55.45)</f>
        <v>55.45</v>
      </c>
    </row>
    <row r="1120">
      <c r="A1120" s="1" t="str">
        <f>IFERROR(__xludf.DUMMYFUNCTION("""COMPUTED_VALUE"""),"PR055")</f>
        <v>PR055</v>
      </c>
      <c r="B1120" s="1" t="str">
        <f>IFERROR(__xludf.DUMMYFUNCTION("""COMPUTED_VALUE"""),"VD040")</f>
        <v>VD040</v>
      </c>
      <c r="C1120" s="1">
        <f>IFERROR(__xludf.DUMMYFUNCTION("""COMPUTED_VALUE"""),4.0)</f>
        <v>4</v>
      </c>
      <c r="D1120" s="1">
        <f>IFERROR(__xludf.DUMMYFUNCTION("""COMPUTED_VALUE"""),373.98)</f>
        <v>373.98</v>
      </c>
    </row>
    <row r="1121">
      <c r="A1121" s="1" t="str">
        <f>IFERROR(__xludf.DUMMYFUNCTION("""COMPUTED_VALUE"""),"PR011")</f>
        <v>PR011</v>
      </c>
      <c r="B1121" s="1" t="str">
        <f>IFERROR(__xludf.DUMMYFUNCTION("""COMPUTED_VALUE"""),"VD018")</f>
        <v>VD018</v>
      </c>
      <c r="C1121" s="1">
        <f>IFERROR(__xludf.DUMMYFUNCTION("""COMPUTED_VALUE"""),8.0)</f>
        <v>8</v>
      </c>
      <c r="D1121" s="1">
        <f>IFERROR(__xludf.DUMMYFUNCTION("""COMPUTED_VALUE"""),378.95)</f>
        <v>378.95</v>
      </c>
    </row>
    <row r="1122">
      <c r="A1122" s="1" t="str">
        <f>IFERROR(__xludf.DUMMYFUNCTION("""COMPUTED_VALUE"""),"PR053")</f>
        <v>PR053</v>
      </c>
      <c r="B1122" s="1" t="str">
        <f>IFERROR(__xludf.DUMMYFUNCTION("""COMPUTED_VALUE"""),"VD016")</f>
        <v>VD016</v>
      </c>
      <c r="C1122" s="1">
        <f>IFERROR(__xludf.DUMMYFUNCTION("""COMPUTED_VALUE"""),16.0)</f>
        <v>16</v>
      </c>
      <c r="D1122" s="1">
        <f>IFERROR(__xludf.DUMMYFUNCTION("""COMPUTED_VALUE"""),830.34)</f>
        <v>830.34</v>
      </c>
    </row>
    <row r="1123">
      <c r="A1123" s="1" t="str">
        <f>IFERROR(__xludf.DUMMYFUNCTION("""COMPUTED_VALUE"""),"PR044")</f>
        <v>PR044</v>
      </c>
      <c r="B1123" s="1" t="str">
        <f>IFERROR(__xludf.DUMMYFUNCTION("""COMPUTED_VALUE"""),"VD012")</f>
        <v>VD012</v>
      </c>
      <c r="C1123" s="1">
        <f>IFERROR(__xludf.DUMMYFUNCTION("""COMPUTED_VALUE"""),8.0)</f>
        <v>8</v>
      </c>
      <c r="D1123" s="1">
        <f>IFERROR(__xludf.DUMMYFUNCTION("""COMPUTED_VALUE"""),614.8)</f>
        <v>614.8</v>
      </c>
    </row>
    <row r="1124">
      <c r="A1124" s="1" t="str">
        <f>IFERROR(__xludf.DUMMYFUNCTION("""COMPUTED_VALUE"""),"PR024")</f>
        <v>PR024</v>
      </c>
      <c r="B1124" s="1" t="str">
        <f>IFERROR(__xludf.DUMMYFUNCTION("""COMPUTED_VALUE"""),"VD036")</f>
        <v>VD036</v>
      </c>
      <c r="C1124" s="1">
        <f>IFERROR(__xludf.DUMMYFUNCTION("""COMPUTED_VALUE"""),16.0)</f>
        <v>16</v>
      </c>
      <c r="D1124" s="1">
        <f>IFERROR(__xludf.DUMMYFUNCTION("""COMPUTED_VALUE"""),4283.15)</f>
        <v>4283.15</v>
      </c>
    </row>
    <row r="1125">
      <c r="A1125" s="1" t="str">
        <f>IFERROR(__xludf.DUMMYFUNCTION("""COMPUTED_VALUE"""),"PR029")</f>
        <v>PR029</v>
      </c>
      <c r="B1125" s="1" t="str">
        <f>IFERROR(__xludf.DUMMYFUNCTION("""COMPUTED_VALUE"""),"VD017")</f>
        <v>VD017</v>
      </c>
      <c r="C1125" s="1">
        <f>IFERROR(__xludf.DUMMYFUNCTION("""COMPUTED_VALUE"""),8.0)</f>
        <v>8</v>
      </c>
      <c r="D1125" s="1">
        <f>IFERROR(__xludf.DUMMYFUNCTION("""COMPUTED_VALUE"""),2182.8)</f>
        <v>2182.8</v>
      </c>
    </row>
    <row r="1126">
      <c r="A1126" s="1" t="str">
        <f>IFERROR(__xludf.DUMMYFUNCTION("""COMPUTED_VALUE"""),"PR039")</f>
        <v>PR039</v>
      </c>
      <c r="B1126" s="1" t="str">
        <f>IFERROR(__xludf.DUMMYFUNCTION("""COMPUTED_VALUE"""),"VD037")</f>
        <v>VD037</v>
      </c>
      <c r="C1126" s="1">
        <f>IFERROR(__xludf.DUMMYFUNCTION("""COMPUTED_VALUE"""),16.0)</f>
        <v>16</v>
      </c>
      <c r="D1126" s="1">
        <f>IFERROR(__xludf.DUMMYFUNCTION("""COMPUTED_VALUE"""),2429.44)</f>
        <v>2429.44</v>
      </c>
    </row>
    <row r="1127">
      <c r="A1127" s="1" t="str">
        <f>IFERROR(__xludf.DUMMYFUNCTION("""COMPUTED_VALUE"""),"PR002")</f>
        <v>PR002</v>
      </c>
      <c r="B1127" s="1" t="str">
        <f>IFERROR(__xludf.DUMMYFUNCTION("""COMPUTED_VALUE"""),"VD015")</f>
        <v>VD015</v>
      </c>
      <c r="C1127" s="1">
        <f>IFERROR(__xludf.DUMMYFUNCTION("""COMPUTED_VALUE"""),1.0)</f>
        <v>1</v>
      </c>
      <c r="D1127" s="1">
        <f>IFERROR(__xludf.DUMMYFUNCTION("""COMPUTED_VALUE"""),72.0)</f>
        <v>72</v>
      </c>
    </row>
    <row r="1128">
      <c r="A1128" s="1" t="str">
        <f>IFERROR(__xludf.DUMMYFUNCTION("""COMPUTED_VALUE"""),"PR007")</f>
        <v>PR007</v>
      </c>
      <c r="B1128" s="1" t="str">
        <f>IFERROR(__xludf.DUMMYFUNCTION("""COMPUTED_VALUE"""),"VD035")</f>
        <v>VD035</v>
      </c>
      <c r="C1128" s="1">
        <f>IFERROR(__xludf.DUMMYFUNCTION("""COMPUTED_VALUE"""),2.0)</f>
        <v>2</v>
      </c>
      <c r="D1128" s="1">
        <f>IFERROR(__xludf.DUMMYFUNCTION("""COMPUTED_VALUE"""),185.54)</f>
        <v>185.54</v>
      </c>
    </row>
    <row r="1129">
      <c r="A1129" s="1" t="str">
        <f>IFERROR(__xludf.DUMMYFUNCTION("""COMPUTED_VALUE"""),"PR012")</f>
        <v>PR012</v>
      </c>
      <c r="B1129" s="1" t="str">
        <f>IFERROR(__xludf.DUMMYFUNCTION("""COMPUTED_VALUE"""),"VD027")</f>
        <v>VD027</v>
      </c>
      <c r="C1129" s="1">
        <f>IFERROR(__xludf.DUMMYFUNCTION("""COMPUTED_VALUE"""),6.0)</f>
        <v>6</v>
      </c>
      <c r="D1129" s="1">
        <f>IFERROR(__xludf.DUMMYFUNCTION("""COMPUTED_VALUE"""),296.33)</f>
        <v>296.33</v>
      </c>
    </row>
    <row r="1130">
      <c r="A1130" s="1" t="str">
        <f>IFERROR(__xludf.DUMMYFUNCTION("""COMPUTED_VALUE"""),"PR034")</f>
        <v>PR034</v>
      </c>
      <c r="B1130" s="1" t="str">
        <f>IFERROR(__xludf.DUMMYFUNCTION("""COMPUTED_VALUE"""),"VD017")</f>
        <v>VD017</v>
      </c>
      <c r="C1130" s="1">
        <f>IFERROR(__xludf.DUMMYFUNCTION("""COMPUTED_VALUE"""),3.0)</f>
        <v>3</v>
      </c>
      <c r="D1130" s="1">
        <f>IFERROR(__xludf.DUMMYFUNCTION("""COMPUTED_VALUE"""),275.09)</f>
        <v>275.09</v>
      </c>
    </row>
    <row r="1131">
      <c r="A1131" s="1" t="str">
        <f>IFERROR(__xludf.DUMMYFUNCTION("""COMPUTED_VALUE"""),"PR039")</f>
        <v>PR039</v>
      </c>
      <c r="B1131" s="1" t="str">
        <f>IFERROR(__xludf.DUMMYFUNCTION("""COMPUTED_VALUE"""),"VD020")</f>
        <v>VD020</v>
      </c>
      <c r="C1131" s="1">
        <f>IFERROR(__xludf.DUMMYFUNCTION("""COMPUTED_VALUE"""),14.0)</f>
        <v>14</v>
      </c>
      <c r="D1131" s="1">
        <f>IFERROR(__xludf.DUMMYFUNCTION("""COMPUTED_VALUE"""),2125.76)</f>
        <v>2125.76</v>
      </c>
    </row>
    <row r="1132">
      <c r="A1132" s="1" t="str">
        <f>IFERROR(__xludf.DUMMYFUNCTION("""COMPUTED_VALUE"""),"PR015")</f>
        <v>PR015</v>
      </c>
      <c r="B1132" s="1" t="str">
        <f>IFERROR(__xludf.DUMMYFUNCTION("""COMPUTED_VALUE"""),"VD048")</f>
        <v>VD048</v>
      </c>
      <c r="C1132" s="1">
        <f>IFERROR(__xludf.DUMMYFUNCTION("""COMPUTED_VALUE"""),6.0)</f>
        <v>6</v>
      </c>
      <c r="D1132" s="1">
        <f>IFERROR(__xludf.DUMMYFUNCTION("""COMPUTED_VALUE"""),267.75)</f>
        <v>267.75</v>
      </c>
    </row>
    <row r="1133">
      <c r="A1133" s="1" t="str">
        <f>IFERROR(__xludf.DUMMYFUNCTION("""COMPUTED_VALUE"""),"PR029")</f>
        <v>PR029</v>
      </c>
      <c r="B1133" s="1" t="str">
        <f>IFERROR(__xludf.DUMMYFUNCTION("""COMPUTED_VALUE"""),"VD043")</f>
        <v>VD043</v>
      </c>
      <c r="C1133" s="1">
        <f>IFERROR(__xludf.DUMMYFUNCTION("""COMPUTED_VALUE"""),5.0)</f>
        <v>5</v>
      </c>
      <c r="D1133" s="1">
        <f>IFERROR(__xludf.DUMMYFUNCTION("""COMPUTED_VALUE"""),1300.5)</f>
        <v>1300.5</v>
      </c>
    </row>
    <row r="1134">
      <c r="A1134" s="1" t="str">
        <f>IFERROR(__xludf.DUMMYFUNCTION("""COMPUTED_VALUE"""),"PR016")</f>
        <v>PR016</v>
      </c>
      <c r="B1134" s="1" t="str">
        <f>IFERROR(__xludf.DUMMYFUNCTION("""COMPUTED_VALUE"""),"VD039")</f>
        <v>VD039</v>
      </c>
      <c r="C1134" s="1">
        <f>IFERROR(__xludf.DUMMYFUNCTION("""COMPUTED_VALUE"""),4.0)</f>
        <v>4</v>
      </c>
      <c r="D1134" s="1">
        <f>IFERROR(__xludf.DUMMYFUNCTION("""COMPUTED_VALUE"""),111.89)</f>
        <v>111.89</v>
      </c>
    </row>
    <row r="1135">
      <c r="A1135" s="1" t="str">
        <f>IFERROR(__xludf.DUMMYFUNCTION("""COMPUTED_VALUE"""),"PR012")</f>
        <v>PR012</v>
      </c>
      <c r="B1135" s="1" t="str">
        <f>IFERROR(__xludf.DUMMYFUNCTION("""COMPUTED_VALUE"""),"VD037")</f>
        <v>VD037</v>
      </c>
      <c r="C1135" s="1">
        <f>IFERROR(__xludf.DUMMYFUNCTION("""COMPUTED_VALUE"""),2.0)</f>
        <v>2</v>
      </c>
      <c r="D1135" s="1">
        <f>IFERROR(__xludf.DUMMYFUNCTION("""COMPUTED_VALUE"""),99.76)</f>
        <v>99.76</v>
      </c>
    </row>
    <row r="1136">
      <c r="A1136" s="1" t="str">
        <f>IFERROR(__xludf.DUMMYFUNCTION("""COMPUTED_VALUE"""),"PR020")</f>
        <v>PR020</v>
      </c>
      <c r="B1136" s="1" t="str">
        <f>IFERROR(__xludf.DUMMYFUNCTION("""COMPUTED_VALUE"""),"VD014")</f>
        <v>VD014</v>
      </c>
      <c r="C1136" s="1">
        <f>IFERROR(__xludf.DUMMYFUNCTION("""COMPUTED_VALUE"""),2.0)</f>
        <v>2</v>
      </c>
      <c r="D1136" s="1">
        <f>IFERROR(__xludf.DUMMYFUNCTION("""COMPUTED_VALUE"""),659.78)</f>
        <v>659.78</v>
      </c>
    </row>
    <row r="1137">
      <c r="A1137" s="1" t="str">
        <f>IFERROR(__xludf.DUMMYFUNCTION("""COMPUTED_VALUE"""),"PR043")</f>
        <v>PR043</v>
      </c>
      <c r="B1137" s="1" t="str">
        <f>IFERROR(__xludf.DUMMYFUNCTION("""COMPUTED_VALUE"""),"VD039")</f>
        <v>VD039</v>
      </c>
      <c r="C1137" s="1">
        <f>IFERROR(__xludf.DUMMYFUNCTION("""COMPUTED_VALUE"""),8.0)</f>
        <v>8</v>
      </c>
      <c r="D1137" s="1">
        <f>IFERROR(__xludf.DUMMYFUNCTION("""COMPUTED_VALUE"""),585.8)</f>
        <v>585.8</v>
      </c>
    </row>
    <row r="1138">
      <c r="A1138" s="1" t="str">
        <f>IFERROR(__xludf.DUMMYFUNCTION("""COMPUTED_VALUE"""),"PR059")</f>
        <v>PR059</v>
      </c>
      <c r="B1138" s="1" t="str">
        <f>IFERROR(__xludf.DUMMYFUNCTION("""COMPUTED_VALUE"""),"VD039")</f>
        <v>VD039</v>
      </c>
      <c r="C1138" s="1">
        <f>IFERROR(__xludf.DUMMYFUNCTION("""COMPUTED_VALUE"""),14.0)</f>
        <v>14</v>
      </c>
      <c r="D1138" s="1">
        <f>IFERROR(__xludf.DUMMYFUNCTION("""COMPUTED_VALUE"""),2620.8)</f>
        <v>2620.8</v>
      </c>
    </row>
    <row r="1139">
      <c r="A1139" s="1" t="str">
        <f>IFERROR(__xludf.DUMMYFUNCTION("""COMPUTED_VALUE"""),"PR053")</f>
        <v>PR053</v>
      </c>
      <c r="B1139" s="1" t="str">
        <f>IFERROR(__xludf.DUMMYFUNCTION("""COMPUTED_VALUE"""),"VD035")</f>
        <v>VD035</v>
      </c>
      <c r="C1139" s="1">
        <f>IFERROR(__xludf.DUMMYFUNCTION("""COMPUTED_VALUE"""),1.0)</f>
        <v>1</v>
      </c>
      <c r="D1139" s="1">
        <f>IFERROR(__xludf.DUMMYFUNCTION("""COMPUTED_VALUE"""),51.4)</f>
        <v>51.4</v>
      </c>
    </row>
    <row r="1140">
      <c r="A1140" s="1" t="str">
        <f>IFERROR(__xludf.DUMMYFUNCTION("""COMPUTED_VALUE"""),"PR016")</f>
        <v>PR016</v>
      </c>
      <c r="B1140" s="1" t="str">
        <f>IFERROR(__xludf.DUMMYFUNCTION("""COMPUTED_VALUE"""),"VD041")</f>
        <v>VD041</v>
      </c>
      <c r="C1140" s="1">
        <f>IFERROR(__xludf.DUMMYFUNCTION("""COMPUTED_VALUE"""),10.0)</f>
        <v>10</v>
      </c>
      <c r="D1140" s="1">
        <f>IFERROR(__xludf.DUMMYFUNCTION("""COMPUTED_VALUE"""),271.95)</f>
        <v>271.95</v>
      </c>
    </row>
    <row r="1141">
      <c r="A1141" s="1" t="str">
        <f>IFERROR(__xludf.DUMMYFUNCTION("""COMPUTED_VALUE"""),"PR038")</f>
        <v>PR038</v>
      </c>
      <c r="B1141" s="1" t="str">
        <f>IFERROR(__xludf.DUMMYFUNCTION("""COMPUTED_VALUE"""),"VD031")</f>
        <v>VD031</v>
      </c>
      <c r="C1141" s="1">
        <f>IFERROR(__xludf.DUMMYFUNCTION("""COMPUTED_VALUE"""),8.0)</f>
        <v>8</v>
      </c>
      <c r="D1141" s="1">
        <f>IFERROR(__xludf.DUMMYFUNCTION("""COMPUTED_VALUE"""),1177.5)</f>
        <v>1177.5</v>
      </c>
    </row>
    <row r="1142">
      <c r="A1142" s="1" t="str">
        <f>IFERROR(__xludf.DUMMYFUNCTION("""COMPUTED_VALUE"""),"PR059")</f>
        <v>PR059</v>
      </c>
      <c r="B1142" s="1" t="str">
        <f>IFERROR(__xludf.DUMMYFUNCTION("""COMPUTED_VALUE"""),"VD045")</f>
        <v>VD045</v>
      </c>
      <c r="C1142" s="1">
        <f>IFERROR(__xludf.DUMMYFUNCTION("""COMPUTED_VALUE"""),2.0)</f>
        <v>2</v>
      </c>
      <c r="D1142" s="1">
        <f>IFERROR(__xludf.DUMMYFUNCTION("""COMPUTED_VALUE"""),378.0)</f>
        <v>378</v>
      </c>
    </row>
    <row r="1143">
      <c r="A1143" s="1" t="str">
        <f>IFERROR(__xludf.DUMMYFUNCTION("""COMPUTED_VALUE"""),"PR047")</f>
        <v>PR047</v>
      </c>
      <c r="B1143" s="1" t="str">
        <f>IFERROR(__xludf.DUMMYFUNCTION("""COMPUTED_VALUE"""),"VD018")</f>
        <v>VD018</v>
      </c>
      <c r="C1143" s="1">
        <f>IFERROR(__xludf.DUMMYFUNCTION("""COMPUTED_VALUE"""),16.0)</f>
        <v>16</v>
      </c>
      <c r="D1143" s="1">
        <f>IFERROR(__xludf.DUMMYFUNCTION("""COMPUTED_VALUE"""),4731.17)</f>
        <v>4731.17</v>
      </c>
    </row>
    <row r="1144">
      <c r="A1144" s="1" t="str">
        <f>IFERROR(__xludf.DUMMYFUNCTION("""COMPUTED_VALUE"""),"PR011")</f>
        <v>PR011</v>
      </c>
      <c r="B1144" s="1" t="str">
        <f>IFERROR(__xludf.DUMMYFUNCTION("""COMPUTED_VALUE"""),"VD032")</f>
        <v>VD032</v>
      </c>
      <c r="C1144" s="1">
        <f>IFERROR(__xludf.DUMMYFUNCTION("""COMPUTED_VALUE"""),2.0)</f>
        <v>2</v>
      </c>
      <c r="D1144" s="1">
        <f>IFERROR(__xludf.DUMMYFUNCTION("""COMPUTED_VALUE"""),95.68)</f>
        <v>95.68</v>
      </c>
    </row>
    <row r="1145">
      <c r="A1145" s="1" t="str">
        <f>IFERROR(__xludf.DUMMYFUNCTION("""COMPUTED_VALUE"""),"PR054")</f>
        <v>PR054</v>
      </c>
      <c r="B1145" s="1" t="str">
        <f>IFERROR(__xludf.DUMMYFUNCTION("""COMPUTED_VALUE"""),"VD046")</f>
        <v>VD046</v>
      </c>
      <c r="C1145" s="1">
        <f>IFERROR(__xludf.DUMMYFUNCTION("""COMPUTED_VALUE"""),8.0)</f>
        <v>8</v>
      </c>
      <c r="D1145" s="1">
        <f>IFERROR(__xludf.DUMMYFUNCTION("""COMPUTED_VALUE"""),431.14)</f>
        <v>431.14</v>
      </c>
    </row>
    <row r="1146">
      <c r="A1146" s="1" t="str">
        <f>IFERROR(__xludf.DUMMYFUNCTION("""COMPUTED_VALUE"""),"PR058")</f>
        <v>PR058</v>
      </c>
      <c r="B1146" s="1" t="str">
        <f>IFERROR(__xludf.DUMMYFUNCTION("""COMPUTED_VALUE"""),"VD033")</f>
        <v>VD033</v>
      </c>
      <c r="C1146" s="1">
        <f>IFERROR(__xludf.DUMMYFUNCTION("""COMPUTED_VALUE"""),10.0)</f>
        <v>10</v>
      </c>
      <c r="D1146" s="1">
        <f>IFERROR(__xludf.DUMMYFUNCTION("""COMPUTED_VALUE"""),1980.0)</f>
        <v>1980</v>
      </c>
    </row>
    <row r="1147">
      <c r="A1147" s="1" t="str">
        <f>IFERROR(__xludf.DUMMYFUNCTION("""COMPUTED_VALUE"""),"PR002")</f>
        <v>PR002</v>
      </c>
      <c r="B1147" s="1" t="str">
        <f>IFERROR(__xludf.DUMMYFUNCTION("""COMPUTED_VALUE"""),"VD043")</f>
        <v>VD043</v>
      </c>
      <c r="C1147" s="1">
        <f>IFERROR(__xludf.DUMMYFUNCTION("""COMPUTED_VALUE"""),16.0)</f>
        <v>16</v>
      </c>
      <c r="D1147" s="1">
        <f>IFERROR(__xludf.DUMMYFUNCTION("""COMPUTED_VALUE"""),1118.4)</f>
        <v>1118.4</v>
      </c>
    </row>
    <row r="1148">
      <c r="A1148" s="1" t="str">
        <f>IFERROR(__xludf.DUMMYFUNCTION("""COMPUTED_VALUE"""),"PR052")</f>
        <v>PR052</v>
      </c>
      <c r="B1148" s="1" t="str">
        <f>IFERROR(__xludf.DUMMYFUNCTION("""COMPUTED_VALUE"""),"VD025")</f>
        <v>VD025</v>
      </c>
      <c r="C1148" s="1">
        <f>IFERROR(__xludf.DUMMYFUNCTION("""COMPUTED_VALUE"""),8.0)</f>
        <v>8</v>
      </c>
      <c r="D1148" s="1">
        <f>IFERROR(__xludf.DUMMYFUNCTION("""COMPUTED_VALUE"""),439.12)</f>
        <v>439.12</v>
      </c>
    </row>
    <row r="1149">
      <c r="A1149" s="1" t="str">
        <f>IFERROR(__xludf.DUMMYFUNCTION("""COMPUTED_VALUE"""),"PR002")</f>
        <v>PR002</v>
      </c>
      <c r="B1149" s="1" t="str">
        <f>IFERROR(__xludf.DUMMYFUNCTION("""COMPUTED_VALUE"""),"VD029")</f>
        <v>VD029</v>
      </c>
      <c r="C1149" s="1">
        <f>IFERROR(__xludf.DUMMYFUNCTION("""COMPUTED_VALUE"""),8.0)</f>
        <v>8</v>
      </c>
      <c r="D1149" s="1">
        <f>IFERROR(__xludf.DUMMYFUNCTION("""COMPUTED_VALUE"""),559.2)</f>
        <v>559.2</v>
      </c>
    </row>
    <row r="1150">
      <c r="A1150" s="1" t="str">
        <f>IFERROR(__xludf.DUMMYFUNCTION("""COMPUTED_VALUE"""),"PR050")</f>
        <v>PR050</v>
      </c>
      <c r="B1150" s="1" t="str">
        <f>IFERROR(__xludf.DUMMYFUNCTION("""COMPUTED_VALUE"""),"VD026")</f>
        <v>VD026</v>
      </c>
      <c r="C1150" s="1">
        <f>IFERROR(__xludf.DUMMYFUNCTION("""COMPUTED_VALUE"""),18.0)</f>
        <v>18</v>
      </c>
      <c r="D1150" s="1">
        <f>IFERROR(__xludf.DUMMYFUNCTION("""COMPUTED_VALUE"""),604.04)</f>
        <v>604.04</v>
      </c>
    </row>
    <row r="1151">
      <c r="A1151" s="1" t="str">
        <f>IFERROR(__xludf.DUMMYFUNCTION("""COMPUTED_VALUE"""),"PR040")</f>
        <v>PR040</v>
      </c>
      <c r="B1151" s="1" t="str">
        <f>IFERROR(__xludf.DUMMYFUNCTION("""COMPUTED_VALUE"""),"VD031")</f>
        <v>VD031</v>
      </c>
      <c r="C1151" s="1">
        <f>IFERROR(__xludf.DUMMYFUNCTION("""COMPUTED_VALUE"""),4.0)</f>
        <v>4</v>
      </c>
      <c r="D1151" s="1">
        <f>IFERROR(__xludf.DUMMYFUNCTION("""COMPUTED_VALUE"""),282.8)</f>
        <v>282.8</v>
      </c>
    </row>
    <row r="1152">
      <c r="A1152" s="1" t="str">
        <f>IFERROR(__xludf.DUMMYFUNCTION("""COMPUTED_VALUE"""),"PR021")</f>
        <v>PR021</v>
      </c>
      <c r="B1152" s="1" t="str">
        <f>IFERROR(__xludf.DUMMYFUNCTION("""COMPUTED_VALUE"""),"VD049")</f>
        <v>VD049</v>
      </c>
      <c r="C1152" s="1">
        <f>IFERROR(__xludf.DUMMYFUNCTION("""COMPUTED_VALUE"""),2.0)</f>
        <v>2</v>
      </c>
      <c r="D1152" s="1">
        <f>IFERROR(__xludf.DUMMYFUNCTION("""COMPUTED_VALUE"""),623.97)</f>
        <v>623.97</v>
      </c>
    </row>
    <row r="1153">
      <c r="A1153" s="1" t="str">
        <f>IFERROR(__xludf.DUMMYFUNCTION("""COMPUTED_VALUE"""),"PR028")</f>
        <v>PR028</v>
      </c>
      <c r="B1153" s="1" t="str">
        <f>IFERROR(__xludf.DUMMYFUNCTION("""COMPUTED_VALUE"""),"VD011")</f>
        <v>VD011</v>
      </c>
      <c r="C1153" s="1">
        <f>IFERROR(__xludf.DUMMYFUNCTION("""COMPUTED_VALUE"""),2.0)</f>
        <v>2</v>
      </c>
      <c r="D1153" s="1">
        <f>IFERROR(__xludf.DUMMYFUNCTION("""COMPUTED_VALUE"""),504.8)</f>
        <v>504.8</v>
      </c>
    </row>
    <row r="1154">
      <c r="A1154" s="1" t="str">
        <f>IFERROR(__xludf.DUMMYFUNCTION("""COMPUTED_VALUE"""),"PR020")</f>
        <v>PR020</v>
      </c>
      <c r="B1154" s="1" t="str">
        <f>IFERROR(__xludf.DUMMYFUNCTION("""COMPUTED_VALUE"""),"VD019")</f>
        <v>VD019</v>
      </c>
      <c r="C1154" s="1">
        <f>IFERROR(__xludf.DUMMYFUNCTION("""COMPUTED_VALUE"""),6.0)</f>
        <v>6</v>
      </c>
      <c r="D1154" s="1">
        <f>IFERROR(__xludf.DUMMYFUNCTION("""COMPUTED_VALUE"""),1907.36)</f>
        <v>1907.36</v>
      </c>
    </row>
    <row r="1155">
      <c r="A1155" s="1" t="str">
        <f>IFERROR(__xludf.DUMMYFUNCTION("""COMPUTED_VALUE"""),"PR052")</f>
        <v>PR052</v>
      </c>
      <c r="B1155" s="1" t="str">
        <f>IFERROR(__xludf.DUMMYFUNCTION("""COMPUTED_VALUE"""),"VD030")</f>
        <v>VD030</v>
      </c>
      <c r="C1155" s="1">
        <f>IFERROR(__xludf.DUMMYFUNCTION("""COMPUTED_VALUE"""),20.0)</f>
        <v>20</v>
      </c>
      <c r="D1155" s="1">
        <f>IFERROR(__xludf.DUMMYFUNCTION("""COMPUTED_VALUE"""),1097.8)</f>
        <v>1097.8</v>
      </c>
    </row>
    <row r="1156">
      <c r="A1156" s="1" t="str">
        <f>IFERROR(__xludf.DUMMYFUNCTION("""COMPUTED_VALUE"""),"PR033")</f>
        <v>PR033</v>
      </c>
      <c r="B1156" s="1" t="str">
        <f>IFERROR(__xludf.DUMMYFUNCTION("""COMPUTED_VALUE"""),"VD017")</f>
        <v>VD017</v>
      </c>
      <c r="C1156" s="1">
        <f>IFERROR(__xludf.DUMMYFUNCTION("""COMPUTED_VALUE"""),9.0)</f>
        <v>9</v>
      </c>
      <c r="D1156" s="1">
        <f>IFERROR(__xludf.DUMMYFUNCTION("""COMPUTED_VALUE"""),2479.45)</f>
        <v>2479.45</v>
      </c>
    </row>
    <row r="1157">
      <c r="A1157" s="1" t="str">
        <f>IFERROR(__xludf.DUMMYFUNCTION("""COMPUTED_VALUE"""),"PR016")</f>
        <v>PR016</v>
      </c>
      <c r="B1157" s="1" t="str">
        <f>IFERROR(__xludf.DUMMYFUNCTION("""COMPUTED_VALUE"""),"VD039")</f>
        <v>VD039</v>
      </c>
      <c r="C1157" s="1">
        <f>IFERROR(__xludf.DUMMYFUNCTION("""COMPUTED_VALUE"""),4.0)</f>
        <v>4</v>
      </c>
      <c r="D1157" s="1">
        <f>IFERROR(__xludf.DUMMYFUNCTION("""COMPUTED_VALUE"""),103.6)</f>
        <v>103.6</v>
      </c>
    </row>
    <row r="1158">
      <c r="A1158" s="1" t="str">
        <f>IFERROR(__xludf.DUMMYFUNCTION("""COMPUTED_VALUE"""),"PR034")</f>
        <v>PR034</v>
      </c>
      <c r="B1158" s="1" t="str">
        <f>IFERROR(__xludf.DUMMYFUNCTION("""COMPUTED_VALUE"""),"VD028")</f>
        <v>VD028</v>
      </c>
      <c r="C1158" s="1">
        <f>IFERROR(__xludf.DUMMYFUNCTION("""COMPUTED_VALUE"""),20.0)</f>
        <v>20</v>
      </c>
      <c r="D1158" s="1">
        <f>IFERROR(__xludf.DUMMYFUNCTION("""COMPUTED_VALUE"""),1905.88)</f>
        <v>1905.88</v>
      </c>
    </row>
    <row r="1159">
      <c r="A1159" s="1" t="str">
        <f>IFERROR(__xludf.DUMMYFUNCTION("""COMPUTED_VALUE"""),"PR014")</f>
        <v>PR014</v>
      </c>
      <c r="B1159" s="1" t="str">
        <f>IFERROR(__xludf.DUMMYFUNCTION("""COMPUTED_VALUE"""),"VD047")</f>
        <v>VD047</v>
      </c>
      <c r="C1159" s="1">
        <f>IFERROR(__xludf.DUMMYFUNCTION("""COMPUTED_VALUE"""),4.0)</f>
        <v>4</v>
      </c>
      <c r="D1159" s="1">
        <f>IFERROR(__xludf.DUMMYFUNCTION("""COMPUTED_VALUE"""),165.98)</f>
        <v>165.98</v>
      </c>
    </row>
    <row r="1160">
      <c r="A1160" s="1" t="str">
        <f>IFERROR(__xludf.DUMMYFUNCTION("""COMPUTED_VALUE"""),"PR048")</f>
        <v>PR048</v>
      </c>
      <c r="B1160" s="1" t="str">
        <f>IFERROR(__xludf.DUMMYFUNCTION("""COMPUTED_VALUE"""),"VD034")</f>
        <v>VD034</v>
      </c>
      <c r="C1160" s="1">
        <f>IFERROR(__xludf.DUMMYFUNCTION("""COMPUTED_VALUE"""),4.0)</f>
        <v>4</v>
      </c>
      <c r="D1160" s="1">
        <f>IFERROR(__xludf.DUMMYFUNCTION("""COMPUTED_VALUE"""),1171.2)</f>
        <v>1171.2</v>
      </c>
    </row>
    <row r="1161">
      <c r="A1161" s="1" t="str">
        <f>IFERROR(__xludf.DUMMYFUNCTION("""COMPUTED_VALUE"""),"PR040")</f>
        <v>PR040</v>
      </c>
      <c r="B1161" s="1" t="str">
        <f>IFERROR(__xludf.DUMMYFUNCTION("""COMPUTED_VALUE"""),"VD021")</f>
        <v>VD021</v>
      </c>
      <c r="C1161" s="1">
        <f>IFERROR(__xludf.DUMMYFUNCTION("""COMPUTED_VALUE"""),4.0)</f>
        <v>4</v>
      </c>
      <c r="D1161" s="1">
        <f>IFERROR(__xludf.DUMMYFUNCTION("""COMPUTED_VALUE"""),282.8)</f>
        <v>282.8</v>
      </c>
    </row>
    <row r="1162">
      <c r="A1162" s="1" t="str">
        <f>IFERROR(__xludf.DUMMYFUNCTION("""COMPUTED_VALUE"""),"PR055")</f>
        <v>PR055</v>
      </c>
      <c r="B1162" s="1" t="str">
        <f>IFERROR(__xludf.DUMMYFUNCTION("""COMPUTED_VALUE"""),"VD041")</f>
        <v>VD041</v>
      </c>
      <c r="C1162" s="1">
        <f>IFERROR(__xludf.DUMMYFUNCTION("""COMPUTED_VALUE"""),8.0)</f>
        <v>8</v>
      </c>
      <c r="D1162" s="1">
        <f>IFERROR(__xludf.DUMMYFUNCTION("""COMPUTED_VALUE"""),740.78)</f>
        <v>740.78</v>
      </c>
    </row>
    <row r="1163">
      <c r="A1163" s="1" t="str">
        <f>IFERROR(__xludf.DUMMYFUNCTION("""COMPUTED_VALUE"""),"PR035")</f>
        <v>PR035</v>
      </c>
      <c r="B1163" s="1" t="str">
        <f>IFERROR(__xludf.DUMMYFUNCTION("""COMPUTED_VALUE"""),"VD039")</f>
        <v>VD039</v>
      </c>
      <c r="C1163" s="1">
        <f>IFERROR(__xludf.DUMMYFUNCTION("""COMPUTED_VALUE"""),6.0)</f>
        <v>6</v>
      </c>
      <c r="D1163" s="1">
        <f>IFERROR(__xludf.DUMMYFUNCTION("""COMPUTED_VALUE"""),581.3)</f>
        <v>581.3</v>
      </c>
    </row>
    <row r="1164">
      <c r="A1164" s="1" t="str">
        <f>IFERROR(__xludf.DUMMYFUNCTION("""COMPUTED_VALUE"""),"PR007")</f>
        <v>PR007</v>
      </c>
      <c r="B1164" s="1" t="str">
        <f>IFERROR(__xludf.DUMMYFUNCTION("""COMPUTED_VALUE"""),"VD021")</f>
        <v>VD021</v>
      </c>
      <c r="C1164" s="1">
        <f>IFERROR(__xludf.DUMMYFUNCTION("""COMPUTED_VALUE"""),8.0)</f>
        <v>8</v>
      </c>
      <c r="D1164" s="1">
        <f>IFERROR(__xludf.DUMMYFUNCTION("""COMPUTED_VALUE"""),755.92)</f>
        <v>755.92</v>
      </c>
    </row>
    <row r="1165">
      <c r="A1165" s="1" t="str">
        <f>IFERROR(__xludf.DUMMYFUNCTION("""COMPUTED_VALUE"""),"PR020")</f>
        <v>PR020</v>
      </c>
      <c r="B1165" s="1" t="str">
        <f>IFERROR(__xludf.DUMMYFUNCTION("""COMPUTED_VALUE"""),"VD024")</f>
        <v>VD024</v>
      </c>
      <c r="C1165" s="1">
        <f>IFERROR(__xludf.DUMMYFUNCTION("""COMPUTED_VALUE"""),2.0)</f>
        <v>2</v>
      </c>
      <c r="D1165" s="1">
        <f>IFERROR(__xludf.DUMMYFUNCTION("""COMPUTED_VALUE"""),599.8)</f>
        <v>599.8</v>
      </c>
    </row>
    <row r="1166">
      <c r="A1166" s="1" t="str">
        <f>IFERROR(__xludf.DUMMYFUNCTION("""COMPUTED_VALUE"""),"PR052")</f>
        <v>PR052</v>
      </c>
      <c r="B1166" s="1" t="str">
        <f>IFERROR(__xludf.DUMMYFUNCTION("""COMPUTED_VALUE"""),"VD040")</f>
        <v>VD040</v>
      </c>
      <c r="C1166" s="1">
        <f>IFERROR(__xludf.DUMMYFUNCTION("""COMPUTED_VALUE"""),10.0)</f>
        <v>10</v>
      </c>
      <c r="D1166" s="1">
        <f>IFERROR(__xludf.DUMMYFUNCTION("""COMPUTED_VALUE"""),508.98)</f>
        <v>508.98</v>
      </c>
    </row>
    <row r="1167">
      <c r="A1167" s="1" t="str">
        <f>IFERROR(__xludf.DUMMYFUNCTION("""COMPUTED_VALUE"""),"PR003")</f>
        <v>PR003</v>
      </c>
      <c r="B1167" s="1" t="str">
        <f>IFERROR(__xludf.DUMMYFUNCTION("""COMPUTED_VALUE"""),"VD017")</f>
        <v>VD017</v>
      </c>
      <c r="C1167" s="1">
        <f>IFERROR(__xludf.DUMMYFUNCTION("""COMPUTED_VALUE"""),20.0)</f>
        <v>20</v>
      </c>
      <c r="D1167" s="1">
        <f>IFERROR(__xludf.DUMMYFUNCTION("""COMPUTED_VALUE"""),1559.8)</f>
        <v>1559.8</v>
      </c>
    </row>
    <row r="1168">
      <c r="A1168" s="1" t="str">
        <f>IFERROR(__xludf.DUMMYFUNCTION("""COMPUTED_VALUE"""),"PR018")</f>
        <v>PR018</v>
      </c>
      <c r="B1168" s="1" t="str">
        <f>IFERROR(__xludf.DUMMYFUNCTION("""COMPUTED_VALUE"""),"VD011")</f>
        <v>VD011</v>
      </c>
      <c r="C1168" s="1">
        <f>IFERROR(__xludf.DUMMYFUNCTION("""COMPUTED_VALUE"""),16.0)</f>
        <v>16</v>
      </c>
      <c r="D1168" s="1">
        <f>IFERROR(__xludf.DUMMYFUNCTION("""COMPUTED_VALUE"""),568.51)</f>
        <v>568.51</v>
      </c>
    </row>
    <row r="1169">
      <c r="A1169" s="1" t="str">
        <f>IFERROR(__xludf.DUMMYFUNCTION("""COMPUTED_VALUE"""),"PR012")</f>
        <v>PR012</v>
      </c>
      <c r="B1169" s="1" t="str">
        <f>IFERROR(__xludf.DUMMYFUNCTION("""COMPUTED_VALUE"""),"VD035")</f>
        <v>VD035</v>
      </c>
      <c r="C1169" s="1">
        <f>IFERROR(__xludf.DUMMYFUNCTION("""COMPUTED_VALUE"""),14.0)</f>
        <v>14</v>
      </c>
      <c r="D1169" s="1">
        <f>IFERROR(__xludf.DUMMYFUNCTION("""COMPUTED_VALUE"""),684.6)</f>
        <v>684.6</v>
      </c>
    </row>
    <row r="1170">
      <c r="A1170" s="1" t="str">
        <f>IFERROR(__xludf.DUMMYFUNCTION("""COMPUTED_VALUE"""),"PR019")</f>
        <v>PR019</v>
      </c>
      <c r="B1170" s="1" t="str">
        <f>IFERROR(__xludf.DUMMYFUNCTION("""COMPUTED_VALUE"""),"VD032")</f>
        <v>VD032</v>
      </c>
      <c r="C1170" s="1">
        <f>IFERROR(__xludf.DUMMYFUNCTION("""COMPUTED_VALUE"""),14.0)</f>
        <v>14</v>
      </c>
      <c r="D1170" s="1">
        <f>IFERROR(__xludf.DUMMYFUNCTION("""COMPUTED_VALUE"""),761.47)</f>
        <v>761.47</v>
      </c>
    </row>
    <row r="1171">
      <c r="A1171" s="1" t="str">
        <f>IFERROR(__xludf.DUMMYFUNCTION("""COMPUTED_VALUE"""),"PR026")</f>
        <v>PR026</v>
      </c>
      <c r="B1171" s="1" t="str">
        <f>IFERROR(__xludf.DUMMYFUNCTION("""COMPUTED_VALUE"""),"VD021")</f>
        <v>VD021</v>
      </c>
      <c r="C1171" s="1">
        <f>IFERROR(__xludf.DUMMYFUNCTION("""COMPUTED_VALUE"""),14.0)</f>
        <v>14</v>
      </c>
      <c r="D1171" s="1">
        <f>IFERROR(__xludf.DUMMYFUNCTION("""COMPUTED_VALUE"""),5339.47)</f>
        <v>5339.47</v>
      </c>
    </row>
    <row r="1172">
      <c r="A1172" s="1" t="str">
        <f>IFERROR(__xludf.DUMMYFUNCTION("""COMPUTED_VALUE"""),"PR049")</f>
        <v>PR049</v>
      </c>
      <c r="B1172" s="1" t="str">
        <f>IFERROR(__xludf.DUMMYFUNCTION("""COMPUTED_VALUE"""),"VD031")</f>
        <v>VD031</v>
      </c>
      <c r="C1172" s="1">
        <f>IFERROR(__xludf.DUMMYFUNCTION("""COMPUTED_VALUE"""),18.0)</f>
        <v>18</v>
      </c>
      <c r="D1172" s="1">
        <f>IFERROR(__xludf.DUMMYFUNCTION("""COMPUTED_VALUE"""),633.65)</f>
        <v>633.65</v>
      </c>
    </row>
    <row r="1173">
      <c r="A1173" s="1" t="str">
        <f>IFERROR(__xludf.DUMMYFUNCTION("""COMPUTED_VALUE"""),"PR012")</f>
        <v>PR012</v>
      </c>
      <c r="B1173" s="1" t="str">
        <f>IFERROR(__xludf.DUMMYFUNCTION("""COMPUTED_VALUE"""),"VD026")</f>
        <v>VD026</v>
      </c>
      <c r="C1173" s="1">
        <f>IFERROR(__xludf.DUMMYFUNCTION("""COMPUTED_VALUE"""),5.0)</f>
        <v>5</v>
      </c>
      <c r="D1173" s="1">
        <f>IFERROR(__xludf.DUMMYFUNCTION("""COMPUTED_VALUE"""),244.5)</f>
        <v>244.5</v>
      </c>
    </row>
    <row r="1174">
      <c r="A1174" s="1" t="str">
        <f>IFERROR(__xludf.DUMMYFUNCTION("""COMPUTED_VALUE"""),"PR015")</f>
        <v>PR015</v>
      </c>
      <c r="B1174" s="1" t="str">
        <f>IFERROR(__xludf.DUMMYFUNCTION("""COMPUTED_VALUE"""),"VD033")</f>
        <v>VD033</v>
      </c>
      <c r="C1174" s="1">
        <f>IFERROR(__xludf.DUMMYFUNCTION("""COMPUTED_VALUE"""),20.0)</f>
        <v>20</v>
      </c>
      <c r="D1174" s="1">
        <f>IFERROR(__xludf.DUMMYFUNCTION("""COMPUTED_VALUE"""),918.0)</f>
        <v>918</v>
      </c>
    </row>
    <row r="1175">
      <c r="A1175" s="1" t="str">
        <f>IFERROR(__xludf.DUMMYFUNCTION("""COMPUTED_VALUE"""),"PR036")</f>
        <v>PR036</v>
      </c>
      <c r="B1175" s="1" t="str">
        <f>IFERROR(__xludf.DUMMYFUNCTION("""COMPUTED_VALUE"""),"VD017")</f>
        <v>VD017</v>
      </c>
      <c r="C1175" s="1">
        <f>IFERROR(__xludf.DUMMYFUNCTION("""COMPUTED_VALUE"""),5.0)</f>
        <v>5</v>
      </c>
      <c r="D1175" s="1">
        <f>IFERROR(__xludf.DUMMYFUNCTION("""COMPUTED_VALUE"""),467.5)</f>
        <v>467.5</v>
      </c>
    </row>
    <row r="1176">
      <c r="A1176" s="1" t="str">
        <f>IFERROR(__xludf.DUMMYFUNCTION("""COMPUTED_VALUE"""),"PR013")</f>
        <v>PR013</v>
      </c>
      <c r="B1176" s="1" t="str">
        <f>IFERROR(__xludf.DUMMYFUNCTION("""COMPUTED_VALUE"""),"VD041")</f>
        <v>VD041</v>
      </c>
      <c r="C1176" s="1">
        <f>IFERROR(__xludf.DUMMYFUNCTION("""COMPUTED_VALUE"""),8.0)</f>
        <v>8</v>
      </c>
      <c r="D1176" s="1">
        <f>IFERROR(__xludf.DUMMYFUNCTION("""COMPUTED_VALUE"""),322.39)</f>
        <v>322.39</v>
      </c>
    </row>
    <row r="1177">
      <c r="A1177" s="1" t="str">
        <f>IFERROR(__xludf.DUMMYFUNCTION("""COMPUTED_VALUE"""),"PR015")</f>
        <v>PR015</v>
      </c>
      <c r="B1177" s="1" t="str">
        <f>IFERROR(__xludf.DUMMYFUNCTION("""COMPUTED_VALUE"""),"VD027")</f>
        <v>VD027</v>
      </c>
      <c r="C1177" s="1">
        <f>IFERROR(__xludf.DUMMYFUNCTION("""COMPUTED_VALUE"""),2.0)</f>
        <v>2</v>
      </c>
      <c r="D1177" s="1">
        <f>IFERROR(__xludf.DUMMYFUNCTION("""COMPUTED_VALUE"""),89.25)</f>
        <v>89.25</v>
      </c>
    </row>
    <row r="1178">
      <c r="A1178" s="1" t="str">
        <f>IFERROR(__xludf.DUMMYFUNCTION("""COMPUTED_VALUE"""),"PR024")</f>
        <v>PR024</v>
      </c>
      <c r="B1178" s="1" t="str">
        <f>IFERROR(__xludf.DUMMYFUNCTION("""COMPUTED_VALUE"""),"VD049")</f>
        <v>VD049</v>
      </c>
      <c r="C1178" s="1">
        <f>IFERROR(__xludf.DUMMYFUNCTION("""COMPUTED_VALUE"""),2.0)</f>
        <v>2</v>
      </c>
      <c r="D1178" s="1">
        <f>IFERROR(__xludf.DUMMYFUNCTION("""COMPUTED_VALUE"""),556.19)</f>
        <v>556.19</v>
      </c>
    </row>
    <row r="1179">
      <c r="A1179" s="1" t="str">
        <f>IFERROR(__xludf.DUMMYFUNCTION("""COMPUTED_VALUE"""),"PR042")</f>
        <v>PR042</v>
      </c>
      <c r="B1179" s="1" t="str">
        <f>IFERROR(__xludf.DUMMYFUNCTION("""COMPUTED_VALUE"""),"VD025")</f>
        <v>VD025</v>
      </c>
      <c r="C1179" s="1">
        <f>IFERROR(__xludf.DUMMYFUNCTION("""COMPUTED_VALUE"""),2.0)</f>
        <v>2</v>
      </c>
      <c r="D1179" s="1">
        <f>IFERROR(__xludf.DUMMYFUNCTION("""COMPUTED_VALUE"""),116.39)</f>
        <v>116.39</v>
      </c>
    </row>
    <row r="1180">
      <c r="A1180" s="1" t="str">
        <f>IFERROR(__xludf.DUMMYFUNCTION("""COMPUTED_VALUE"""),"PR047")</f>
        <v>PR047</v>
      </c>
      <c r="B1180" s="1" t="str">
        <f>IFERROR(__xludf.DUMMYFUNCTION("""COMPUTED_VALUE"""),"VD039")</f>
        <v>VD039</v>
      </c>
      <c r="C1180" s="1">
        <f>IFERROR(__xludf.DUMMYFUNCTION("""COMPUTED_VALUE"""),20.0)</f>
        <v>20</v>
      </c>
      <c r="D1180" s="1">
        <f>IFERROR(__xludf.DUMMYFUNCTION("""COMPUTED_VALUE"""),5913.96)</f>
        <v>5913.96</v>
      </c>
    </row>
    <row r="1181">
      <c r="A1181" s="1" t="str">
        <f>IFERROR(__xludf.DUMMYFUNCTION("""COMPUTED_VALUE"""),"PR010")</f>
        <v>PR010</v>
      </c>
      <c r="B1181" s="1" t="str">
        <f>IFERROR(__xludf.DUMMYFUNCTION("""COMPUTED_VALUE"""),"VD045")</f>
        <v>VD045</v>
      </c>
      <c r="C1181" s="1">
        <f>IFERROR(__xludf.DUMMYFUNCTION("""COMPUTED_VALUE"""),8.0)</f>
        <v>8</v>
      </c>
      <c r="D1181" s="1">
        <f>IFERROR(__xludf.DUMMYFUNCTION("""COMPUTED_VALUE"""),373.57)</f>
        <v>373.57</v>
      </c>
    </row>
    <row r="1182">
      <c r="A1182" s="1" t="str">
        <f>IFERROR(__xludf.DUMMYFUNCTION("""COMPUTED_VALUE"""),"PR004")</f>
        <v>PR004</v>
      </c>
      <c r="B1182" s="1" t="str">
        <f>IFERROR(__xludf.DUMMYFUNCTION("""COMPUTED_VALUE"""),"VD047")</f>
        <v>VD047</v>
      </c>
      <c r="C1182" s="1">
        <f>IFERROR(__xludf.DUMMYFUNCTION("""COMPUTED_VALUE"""),2.0)</f>
        <v>2</v>
      </c>
      <c r="D1182" s="1">
        <f>IFERROR(__xludf.DUMMYFUNCTION("""COMPUTED_VALUE"""),290.0)</f>
        <v>290</v>
      </c>
    </row>
    <row r="1183">
      <c r="A1183" s="1" t="str">
        <f>IFERROR(__xludf.DUMMYFUNCTION("""COMPUTED_VALUE"""),"PR028")</f>
        <v>PR028</v>
      </c>
      <c r="B1183" s="1" t="str">
        <f>IFERROR(__xludf.DUMMYFUNCTION("""COMPUTED_VALUE"""),"VD027")</f>
        <v>VD027</v>
      </c>
      <c r="C1183" s="1">
        <f>IFERROR(__xludf.DUMMYFUNCTION("""COMPUTED_VALUE"""),8.0)</f>
        <v>8</v>
      </c>
      <c r="D1183" s="1">
        <f>IFERROR(__xludf.DUMMYFUNCTION("""COMPUTED_VALUE"""),2159.14)</f>
        <v>2159.14</v>
      </c>
    </row>
    <row r="1184">
      <c r="A1184" s="1" t="str">
        <f>IFERROR(__xludf.DUMMYFUNCTION("""COMPUTED_VALUE"""),"PR029")</f>
        <v>PR029</v>
      </c>
      <c r="B1184" s="1" t="str">
        <f>IFERROR(__xludf.DUMMYFUNCTION("""COMPUTED_VALUE"""),"VD025")</f>
        <v>VD025</v>
      </c>
      <c r="C1184" s="1">
        <f>IFERROR(__xludf.DUMMYFUNCTION("""COMPUTED_VALUE"""),4.0)</f>
        <v>4</v>
      </c>
      <c r="D1184" s="1">
        <f>IFERROR(__xludf.DUMMYFUNCTION("""COMPUTED_VALUE"""),1050.6)</f>
        <v>1050.6</v>
      </c>
    </row>
    <row r="1185">
      <c r="A1185" s="1" t="str">
        <f>IFERROR(__xludf.DUMMYFUNCTION("""COMPUTED_VALUE"""),"PR046")</f>
        <v>PR046</v>
      </c>
      <c r="B1185" s="1" t="str">
        <f>IFERROR(__xludf.DUMMYFUNCTION("""COMPUTED_VALUE"""),"VD042")</f>
        <v>VD042</v>
      </c>
      <c r="C1185" s="1">
        <f>IFERROR(__xludf.DUMMYFUNCTION("""COMPUTED_VALUE"""),10.0)</f>
        <v>10</v>
      </c>
      <c r="D1185" s="1">
        <f>IFERROR(__xludf.DUMMYFUNCTION("""COMPUTED_VALUE"""),3014.96)</f>
        <v>3014.96</v>
      </c>
    </row>
    <row r="1186">
      <c r="A1186" s="1" t="str">
        <f>IFERROR(__xludf.DUMMYFUNCTION("""COMPUTED_VALUE"""),"PR043")</f>
        <v>PR043</v>
      </c>
      <c r="B1186" s="1" t="str">
        <f>IFERROR(__xludf.DUMMYFUNCTION("""COMPUTED_VALUE"""),"VD041")</f>
        <v>VD041</v>
      </c>
      <c r="C1186" s="1">
        <f>IFERROR(__xludf.DUMMYFUNCTION("""COMPUTED_VALUE"""),10.0)</f>
        <v>10</v>
      </c>
      <c r="D1186" s="1">
        <f>IFERROR(__xludf.DUMMYFUNCTION("""COMPUTED_VALUE"""),754.0)</f>
        <v>754</v>
      </c>
    </row>
    <row r="1187">
      <c r="A1187" s="1" t="str">
        <f>IFERROR(__xludf.DUMMYFUNCTION("""COMPUTED_VALUE"""),"PR034")</f>
        <v>PR034</v>
      </c>
      <c r="B1187" s="1" t="str">
        <f>IFERROR(__xludf.DUMMYFUNCTION("""COMPUTED_VALUE"""),"VD032")</f>
        <v>VD032</v>
      </c>
      <c r="C1187" s="1">
        <f>IFERROR(__xludf.DUMMYFUNCTION("""COMPUTED_VALUE"""),8.0)</f>
        <v>8</v>
      </c>
      <c r="D1187" s="1">
        <f>IFERROR(__xludf.DUMMYFUNCTION("""COMPUTED_VALUE"""),726.39)</f>
        <v>726.39</v>
      </c>
    </row>
    <row r="1188">
      <c r="A1188" s="1" t="str">
        <f>IFERROR(__xludf.DUMMYFUNCTION("""COMPUTED_VALUE"""),"PR041")</f>
        <v>PR041</v>
      </c>
      <c r="B1188" s="1" t="str">
        <f>IFERROR(__xludf.DUMMYFUNCTION("""COMPUTED_VALUE"""),"VD044")</f>
        <v>VD044</v>
      </c>
      <c r="C1188" s="1">
        <f>IFERROR(__xludf.DUMMYFUNCTION("""COMPUTED_VALUE"""),6.0)</f>
        <v>6</v>
      </c>
      <c r="D1188" s="1">
        <f>IFERROR(__xludf.DUMMYFUNCTION("""COMPUTED_VALUE"""),335.99)</f>
        <v>335.99</v>
      </c>
    </row>
    <row r="1189">
      <c r="A1189" s="1" t="str">
        <f>IFERROR(__xludf.DUMMYFUNCTION("""COMPUTED_VALUE"""),"PR004")</f>
        <v>PR004</v>
      </c>
      <c r="B1189" s="1" t="str">
        <f>IFERROR(__xludf.DUMMYFUNCTION("""COMPUTED_VALUE"""),"VD041")</f>
        <v>VD041</v>
      </c>
      <c r="C1189" s="1">
        <f>IFERROR(__xludf.DUMMYFUNCTION("""COMPUTED_VALUE"""),12.0)</f>
        <v>12</v>
      </c>
      <c r="D1189" s="1">
        <f>IFERROR(__xludf.DUMMYFUNCTION("""COMPUTED_VALUE"""),1879.2)</f>
        <v>1879.2</v>
      </c>
    </row>
    <row r="1190">
      <c r="A1190" s="1" t="str">
        <f>IFERROR(__xludf.DUMMYFUNCTION("""COMPUTED_VALUE"""),"PR041")</f>
        <v>PR041</v>
      </c>
      <c r="B1190" s="1" t="str">
        <f>IFERROR(__xludf.DUMMYFUNCTION("""COMPUTED_VALUE"""),"VD033")</f>
        <v>VD033</v>
      </c>
      <c r="C1190" s="1">
        <f>IFERROR(__xludf.DUMMYFUNCTION("""COMPUTED_VALUE"""),6.0)</f>
        <v>6</v>
      </c>
      <c r="D1190" s="1">
        <f>IFERROR(__xludf.DUMMYFUNCTION("""COMPUTED_VALUE"""),335.99)</f>
        <v>335.99</v>
      </c>
    </row>
    <row r="1191">
      <c r="A1191" s="1" t="str">
        <f>IFERROR(__xludf.DUMMYFUNCTION("""COMPUTED_VALUE"""),"PR048")</f>
        <v>PR048</v>
      </c>
      <c r="B1191" s="1" t="str">
        <f>IFERROR(__xludf.DUMMYFUNCTION("""COMPUTED_VALUE"""),"VD028")</f>
        <v>VD028</v>
      </c>
      <c r="C1191" s="1">
        <f>IFERROR(__xludf.DUMMYFUNCTION("""COMPUTED_VALUE"""),10.0)</f>
        <v>10</v>
      </c>
      <c r="D1191" s="1">
        <f>IFERROR(__xludf.DUMMYFUNCTION("""COMPUTED_VALUE"""),3101.93)</f>
        <v>3101.93</v>
      </c>
    </row>
    <row r="1192">
      <c r="A1192" s="1" t="str">
        <f>IFERROR(__xludf.DUMMYFUNCTION("""COMPUTED_VALUE"""),"PR051")</f>
        <v>PR051</v>
      </c>
      <c r="B1192" s="1" t="str">
        <f>IFERROR(__xludf.DUMMYFUNCTION("""COMPUTED_VALUE"""),"VD025")</f>
        <v>VD025</v>
      </c>
      <c r="C1192" s="1">
        <f>IFERROR(__xludf.DUMMYFUNCTION("""COMPUTED_VALUE"""),14.0)</f>
        <v>14</v>
      </c>
      <c r="D1192" s="1">
        <f>IFERROR(__xludf.DUMMYFUNCTION("""COMPUTED_VALUE"""),502.05)</f>
        <v>502.05</v>
      </c>
    </row>
    <row r="1193">
      <c r="A1193" s="1" t="str">
        <f>IFERROR(__xludf.DUMMYFUNCTION("""COMPUTED_VALUE"""),"PR025")</f>
        <v>PR025</v>
      </c>
      <c r="B1193" s="1" t="str">
        <f>IFERROR(__xludf.DUMMYFUNCTION("""COMPUTED_VALUE"""),"VD016")</f>
        <v>VD016</v>
      </c>
      <c r="C1193" s="1">
        <f>IFERROR(__xludf.DUMMYFUNCTION("""COMPUTED_VALUE"""),10.0)</f>
        <v>10</v>
      </c>
      <c r="D1193" s="1">
        <f>IFERROR(__xludf.DUMMYFUNCTION("""COMPUTED_VALUE"""),3058.98)</f>
        <v>3058.98</v>
      </c>
    </row>
    <row r="1194">
      <c r="A1194" s="1" t="str">
        <f>IFERROR(__xludf.DUMMYFUNCTION("""COMPUTED_VALUE"""),"PR055")</f>
        <v>PR055</v>
      </c>
      <c r="B1194" s="1" t="str">
        <f>IFERROR(__xludf.DUMMYFUNCTION("""COMPUTED_VALUE"""),"VD029")</f>
        <v>VD029</v>
      </c>
      <c r="C1194" s="1">
        <f>IFERROR(__xludf.DUMMYFUNCTION("""COMPUTED_VALUE"""),2.0)</f>
        <v>2</v>
      </c>
      <c r="D1194" s="1">
        <f>IFERROR(__xludf.DUMMYFUNCTION("""COMPUTED_VALUE"""),195.98)</f>
        <v>195.98</v>
      </c>
    </row>
    <row r="1195">
      <c r="A1195" s="1" t="str">
        <f>IFERROR(__xludf.DUMMYFUNCTION("""COMPUTED_VALUE"""),"PR043")</f>
        <v>PR043</v>
      </c>
      <c r="B1195" s="1" t="str">
        <f>IFERROR(__xludf.DUMMYFUNCTION("""COMPUTED_VALUE"""),"VD042")</f>
        <v>VD042</v>
      </c>
      <c r="C1195" s="1">
        <f>IFERROR(__xludf.DUMMYFUNCTION("""COMPUTED_VALUE"""),18.0)</f>
        <v>18</v>
      </c>
      <c r="D1195" s="1">
        <f>IFERROR(__xludf.DUMMYFUNCTION("""COMPUTED_VALUE"""),1318.05)</f>
        <v>1318.05</v>
      </c>
    </row>
    <row r="1196">
      <c r="A1196" s="1" t="str">
        <f>IFERROR(__xludf.DUMMYFUNCTION("""COMPUTED_VALUE"""),"PR010")</f>
        <v>PR010</v>
      </c>
      <c r="B1196" s="1" t="str">
        <f>IFERROR(__xludf.DUMMYFUNCTION("""COMPUTED_VALUE"""),"VD015")</f>
        <v>VD015</v>
      </c>
      <c r="C1196" s="1">
        <f>IFERROR(__xludf.DUMMYFUNCTION("""COMPUTED_VALUE"""),12.0)</f>
        <v>12</v>
      </c>
      <c r="D1196" s="1">
        <f>IFERROR(__xludf.DUMMYFUNCTION("""COMPUTED_VALUE"""),538.8)</f>
        <v>538.8</v>
      </c>
    </row>
    <row r="1197">
      <c r="A1197" s="1" t="str">
        <f>IFERROR(__xludf.DUMMYFUNCTION("""COMPUTED_VALUE"""),"PR043")</f>
        <v>PR043</v>
      </c>
      <c r="B1197" s="1" t="str">
        <f>IFERROR(__xludf.DUMMYFUNCTION("""COMPUTED_VALUE"""),"VD025")</f>
        <v>VD025</v>
      </c>
      <c r="C1197" s="1">
        <f>IFERROR(__xludf.DUMMYFUNCTION("""COMPUTED_VALUE"""),8.0)</f>
        <v>8</v>
      </c>
      <c r="D1197" s="1">
        <f>IFERROR(__xludf.DUMMYFUNCTION("""COMPUTED_VALUE"""),591.6)</f>
        <v>591.6</v>
      </c>
    </row>
    <row r="1198">
      <c r="A1198" s="1" t="str">
        <f>IFERROR(__xludf.DUMMYFUNCTION("""COMPUTED_VALUE"""),"PR041")</f>
        <v>PR041</v>
      </c>
      <c r="B1198" s="1" t="str">
        <f>IFERROR(__xludf.DUMMYFUNCTION("""COMPUTED_VALUE"""),"VD028")</f>
        <v>VD028</v>
      </c>
      <c r="C1198" s="1">
        <f>IFERROR(__xludf.DUMMYFUNCTION("""COMPUTED_VALUE"""),6.0)</f>
        <v>6</v>
      </c>
      <c r="D1198" s="1">
        <f>IFERROR(__xludf.DUMMYFUNCTION("""COMPUTED_VALUE"""),335.99)</f>
        <v>335.99</v>
      </c>
    </row>
    <row r="1199">
      <c r="A1199" s="1" t="str">
        <f>IFERROR(__xludf.DUMMYFUNCTION("""COMPUTED_VALUE"""),"PR001")</f>
        <v>PR001</v>
      </c>
      <c r="B1199" s="1" t="str">
        <f>IFERROR(__xludf.DUMMYFUNCTION("""COMPUTED_VALUE"""),"VD031")</f>
        <v>VD031</v>
      </c>
      <c r="C1199" s="1">
        <f>IFERROR(__xludf.DUMMYFUNCTION("""COMPUTED_VALUE"""),8.0)</f>
        <v>8</v>
      </c>
      <c r="D1199" s="1">
        <f>IFERROR(__xludf.DUMMYFUNCTION("""COMPUTED_VALUE"""),574.65)</f>
        <v>574.65</v>
      </c>
    </row>
    <row r="1200">
      <c r="A1200" s="1" t="str">
        <f>IFERROR(__xludf.DUMMYFUNCTION("""COMPUTED_VALUE"""),"PR007")</f>
        <v>PR007</v>
      </c>
      <c r="B1200" s="1" t="str">
        <f>IFERROR(__xludf.DUMMYFUNCTION("""COMPUTED_VALUE"""),"VD044")</f>
        <v>VD044</v>
      </c>
      <c r="C1200" s="1">
        <f>IFERROR(__xludf.DUMMYFUNCTION("""COMPUTED_VALUE"""),3.0)</f>
        <v>3</v>
      </c>
      <c r="D1200" s="1">
        <f>IFERROR(__xludf.DUMMYFUNCTION("""COMPUTED_VALUE"""),257.7)</f>
        <v>257.7</v>
      </c>
    </row>
    <row r="1201">
      <c r="A1201" s="1" t="str">
        <f>IFERROR(__xludf.DUMMYFUNCTION("""COMPUTED_VALUE"""),"PR032")</f>
        <v>PR032</v>
      </c>
      <c r="B1201" s="1" t="str">
        <f>IFERROR(__xludf.DUMMYFUNCTION("""COMPUTED_VALUE"""),"VD019")</f>
        <v>VD019</v>
      </c>
      <c r="C1201" s="1">
        <f>IFERROR(__xludf.DUMMYFUNCTION("""COMPUTED_VALUE"""),6.0)</f>
        <v>6</v>
      </c>
      <c r="D1201" s="1">
        <f>IFERROR(__xludf.DUMMYFUNCTION("""COMPUTED_VALUE"""),1515.0)</f>
        <v>1515</v>
      </c>
    </row>
    <row r="1202">
      <c r="A1202" s="1" t="str">
        <f>IFERROR(__xludf.DUMMYFUNCTION("""COMPUTED_VALUE"""),"PR040")</f>
        <v>PR040</v>
      </c>
      <c r="B1202" s="1" t="str">
        <f>IFERROR(__xludf.DUMMYFUNCTION("""COMPUTED_VALUE"""),"VD035")</f>
        <v>VD035</v>
      </c>
      <c r="C1202" s="1">
        <f>IFERROR(__xludf.DUMMYFUNCTION("""COMPUTED_VALUE"""),2.0)</f>
        <v>2</v>
      </c>
      <c r="D1202" s="1">
        <f>IFERROR(__xludf.DUMMYFUNCTION("""COMPUTED_VALUE"""),142.8)</f>
        <v>142.8</v>
      </c>
    </row>
    <row r="1203">
      <c r="A1203" s="1" t="str">
        <f>IFERROR(__xludf.DUMMYFUNCTION("""COMPUTED_VALUE"""),"PR027")</f>
        <v>PR027</v>
      </c>
      <c r="B1203" s="1" t="str">
        <f>IFERROR(__xludf.DUMMYFUNCTION("""COMPUTED_VALUE"""),"VD020")</f>
        <v>VD020</v>
      </c>
      <c r="C1203" s="1">
        <f>IFERROR(__xludf.DUMMYFUNCTION("""COMPUTED_VALUE"""),12.0)</f>
        <v>12</v>
      </c>
      <c r="D1203" s="1">
        <f>IFERROR(__xludf.DUMMYFUNCTION("""COMPUTED_VALUE"""),1555.2)</f>
        <v>1555.2</v>
      </c>
    </row>
    <row r="1204">
      <c r="A1204" s="1" t="str">
        <f>IFERROR(__xludf.DUMMYFUNCTION("""COMPUTED_VALUE"""),"PR021")</f>
        <v>PR021</v>
      </c>
      <c r="B1204" s="1" t="str">
        <f>IFERROR(__xludf.DUMMYFUNCTION("""COMPUTED_VALUE"""),"VD025")</f>
        <v>VD025</v>
      </c>
      <c r="C1204" s="1">
        <f>IFERROR(__xludf.DUMMYFUNCTION("""COMPUTED_VALUE"""),8.0)</f>
        <v>8</v>
      </c>
      <c r="D1204" s="1">
        <f>IFERROR(__xludf.DUMMYFUNCTION("""COMPUTED_VALUE"""),2447.43)</f>
        <v>2447.43</v>
      </c>
    </row>
    <row r="1205">
      <c r="A1205" s="1" t="str">
        <f>IFERROR(__xludf.DUMMYFUNCTION("""COMPUTED_VALUE"""),"PR007")</f>
        <v>PR007</v>
      </c>
      <c r="B1205" s="1" t="str">
        <f>IFERROR(__xludf.DUMMYFUNCTION("""COMPUTED_VALUE"""),"VD010")</f>
        <v>VD010</v>
      </c>
      <c r="C1205" s="1">
        <f>IFERROR(__xludf.DUMMYFUNCTION("""COMPUTED_VALUE"""),14.0)</f>
        <v>14</v>
      </c>
      <c r="D1205" s="1">
        <f>IFERROR(__xludf.DUMMYFUNCTION("""COMPUTED_VALUE"""),1310.83)</f>
        <v>1310.83</v>
      </c>
    </row>
    <row r="1206">
      <c r="A1206" s="1" t="str">
        <f>IFERROR(__xludf.DUMMYFUNCTION("""COMPUTED_VALUE"""),"PR049")</f>
        <v>PR049</v>
      </c>
      <c r="B1206" s="1" t="str">
        <f>IFERROR(__xludf.DUMMYFUNCTION("""COMPUTED_VALUE"""),"VD023")</f>
        <v>VD023</v>
      </c>
      <c r="C1206" s="1">
        <f>IFERROR(__xludf.DUMMYFUNCTION("""COMPUTED_VALUE"""),4.0)</f>
        <v>4</v>
      </c>
      <c r="D1206" s="1">
        <f>IFERROR(__xludf.DUMMYFUNCTION("""COMPUTED_VALUE"""),138.18)</f>
        <v>138.18</v>
      </c>
    </row>
    <row r="1207">
      <c r="A1207" s="1" t="str">
        <f>IFERROR(__xludf.DUMMYFUNCTION("""COMPUTED_VALUE"""),"PR011")</f>
        <v>PR011</v>
      </c>
      <c r="B1207" s="1" t="str">
        <f>IFERROR(__xludf.DUMMYFUNCTION("""COMPUTED_VALUE"""),"VD045")</f>
        <v>VD045</v>
      </c>
      <c r="C1207" s="1">
        <f>IFERROR(__xludf.DUMMYFUNCTION("""COMPUTED_VALUE"""),7.0)</f>
        <v>7</v>
      </c>
      <c r="D1207" s="1">
        <f>IFERROR(__xludf.DUMMYFUNCTION("""COMPUTED_VALUE"""),341.43)</f>
        <v>341.43</v>
      </c>
    </row>
    <row r="1208">
      <c r="A1208" s="1" t="str">
        <f>IFERROR(__xludf.DUMMYFUNCTION("""COMPUTED_VALUE"""),"PR014")</f>
        <v>PR014</v>
      </c>
      <c r="B1208" s="1" t="str">
        <f>IFERROR(__xludf.DUMMYFUNCTION("""COMPUTED_VALUE"""),"VD015")</f>
        <v>VD015</v>
      </c>
      <c r="C1208" s="1">
        <f>IFERROR(__xludf.DUMMYFUNCTION("""COMPUTED_VALUE"""),16.0)</f>
        <v>16</v>
      </c>
      <c r="D1208" s="1">
        <f>IFERROR(__xludf.DUMMYFUNCTION("""COMPUTED_VALUE"""),644.78)</f>
        <v>644.78</v>
      </c>
    </row>
    <row r="1209">
      <c r="A1209" s="1" t="str">
        <f>IFERROR(__xludf.DUMMYFUNCTION("""COMPUTED_VALUE"""),"PR021")</f>
        <v>PR021</v>
      </c>
      <c r="B1209" s="1" t="str">
        <f>IFERROR(__xludf.DUMMYFUNCTION("""COMPUTED_VALUE"""),"VD040")</f>
        <v>VD040</v>
      </c>
      <c r="C1209" s="1">
        <f>IFERROR(__xludf.DUMMYFUNCTION("""COMPUTED_VALUE"""),18.0)</f>
        <v>18</v>
      </c>
      <c r="D1209" s="1">
        <f>IFERROR(__xludf.DUMMYFUNCTION("""COMPUTED_VALUE"""),5942.9)</f>
        <v>5942.9</v>
      </c>
    </row>
    <row r="1210">
      <c r="A1210" s="1" t="str">
        <f>IFERROR(__xludf.DUMMYFUNCTION("""COMPUTED_VALUE"""),"PR011")</f>
        <v>PR011</v>
      </c>
      <c r="B1210" s="1" t="str">
        <f>IFERROR(__xludf.DUMMYFUNCTION("""COMPUTED_VALUE"""),"VD027")</f>
        <v>VD027</v>
      </c>
      <c r="C1210" s="1">
        <f>IFERROR(__xludf.DUMMYFUNCTION("""COMPUTED_VALUE"""),8.0)</f>
        <v>8</v>
      </c>
      <c r="D1210" s="1">
        <f>IFERROR(__xludf.DUMMYFUNCTION("""COMPUTED_VALUE"""),408.97)</f>
        <v>408.97</v>
      </c>
    </row>
    <row r="1211">
      <c r="A1211" s="1" t="str">
        <f>IFERROR(__xludf.DUMMYFUNCTION("""COMPUTED_VALUE"""),"PR003")</f>
        <v>PR003</v>
      </c>
      <c r="B1211" s="1" t="str">
        <f>IFERROR(__xludf.DUMMYFUNCTION("""COMPUTED_VALUE"""),"VD019")</f>
        <v>VD019</v>
      </c>
      <c r="C1211" s="1">
        <f>IFERROR(__xludf.DUMMYFUNCTION("""COMPUTED_VALUE"""),3.0)</f>
        <v>3</v>
      </c>
      <c r="D1211" s="1">
        <f>IFERROR(__xludf.DUMMYFUNCTION("""COMPUTED_VALUE"""),212.7)</f>
        <v>212.7</v>
      </c>
    </row>
    <row r="1212">
      <c r="A1212" s="1" t="str">
        <f>IFERROR(__xludf.DUMMYFUNCTION("""COMPUTED_VALUE"""),"PR045")</f>
        <v>PR045</v>
      </c>
      <c r="B1212" s="1" t="str">
        <f>IFERROR(__xludf.DUMMYFUNCTION("""COMPUTED_VALUE"""),"VD016")</f>
        <v>VD016</v>
      </c>
      <c r="C1212" s="1">
        <f>IFERROR(__xludf.DUMMYFUNCTION("""COMPUTED_VALUE"""),5.0)</f>
        <v>5</v>
      </c>
      <c r="D1212" s="1">
        <f>IFERROR(__xludf.DUMMYFUNCTION("""COMPUTED_VALUE"""),380.63)</f>
        <v>380.63</v>
      </c>
    </row>
    <row r="1213">
      <c r="A1213" s="1" t="str">
        <f>IFERROR(__xludf.DUMMYFUNCTION("""COMPUTED_VALUE"""),"PR056")</f>
        <v>PR056</v>
      </c>
      <c r="B1213" s="1" t="str">
        <f>IFERROR(__xludf.DUMMYFUNCTION("""COMPUTED_VALUE"""),"VD013")</f>
        <v>VD013</v>
      </c>
      <c r="C1213" s="1">
        <f>IFERROR(__xludf.DUMMYFUNCTION("""COMPUTED_VALUE"""),3.0)</f>
        <v>3</v>
      </c>
      <c r="D1213" s="1">
        <f>IFERROR(__xludf.DUMMYFUNCTION("""COMPUTED_VALUE"""),293.97)</f>
        <v>293.97</v>
      </c>
    </row>
    <row r="1214">
      <c r="A1214" s="1" t="str">
        <f>IFERROR(__xludf.DUMMYFUNCTION("""COMPUTED_VALUE"""),"PR039")</f>
        <v>PR039</v>
      </c>
      <c r="B1214" s="1" t="str">
        <f>IFERROR(__xludf.DUMMYFUNCTION("""COMPUTED_VALUE"""),"VD025")</f>
        <v>VD025</v>
      </c>
      <c r="C1214" s="1">
        <f>IFERROR(__xludf.DUMMYFUNCTION("""COMPUTED_VALUE"""),18.0)</f>
        <v>18</v>
      </c>
      <c r="D1214" s="1">
        <f>IFERROR(__xludf.DUMMYFUNCTION("""COMPUTED_VALUE"""),2733.12)</f>
        <v>2733.12</v>
      </c>
    </row>
    <row r="1215">
      <c r="A1215" s="1" t="str">
        <f>IFERROR(__xludf.DUMMYFUNCTION("""COMPUTED_VALUE"""),"PR001")</f>
        <v>PR001</v>
      </c>
      <c r="B1215" s="1" t="str">
        <f>IFERROR(__xludf.DUMMYFUNCTION("""COMPUTED_VALUE"""),"VD025")</f>
        <v>VD025</v>
      </c>
      <c r="C1215" s="1">
        <f>IFERROR(__xludf.DUMMYFUNCTION("""COMPUTED_VALUE"""),9.0)</f>
        <v>9</v>
      </c>
      <c r="D1215" s="1">
        <f>IFERROR(__xludf.DUMMYFUNCTION("""COMPUTED_VALUE"""),610.89)</f>
        <v>610.89</v>
      </c>
    </row>
    <row r="1216">
      <c r="A1216" s="1" t="str">
        <f>IFERROR(__xludf.DUMMYFUNCTION("""COMPUTED_VALUE"""),"PR004")</f>
        <v>PR004</v>
      </c>
      <c r="B1216" s="1" t="str">
        <f>IFERROR(__xludf.DUMMYFUNCTION("""COMPUTED_VALUE"""),"VD021")</f>
        <v>VD021</v>
      </c>
      <c r="C1216" s="1">
        <f>IFERROR(__xludf.DUMMYFUNCTION("""COMPUTED_VALUE"""),10.0)</f>
        <v>10</v>
      </c>
      <c r="D1216" s="1">
        <f>IFERROR(__xludf.DUMMYFUNCTION("""COMPUTED_VALUE"""),1537.0)</f>
        <v>1537</v>
      </c>
    </row>
    <row r="1217">
      <c r="A1217" s="1" t="str">
        <f>IFERROR(__xludf.DUMMYFUNCTION("""COMPUTED_VALUE"""),"PR026")</f>
        <v>PR026</v>
      </c>
      <c r="B1217" s="1" t="str">
        <f>IFERROR(__xludf.DUMMYFUNCTION("""COMPUTED_VALUE"""),"VD011")</f>
        <v>VD011</v>
      </c>
      <c r="C1217" s="1">
        <f>IFERROR(__xludf.DUMMYFUNCTION("""COMPUTED_VALUE"""),3.0)</f>
        <v>3</v>
      </c>
      <c r="D1217" s="1">
        <f>IFERROR(__xludf.DUMMYFUNCTION("""COMPUTED_VALUE"""),1060.2)</f>
        <v>1060.2</v>
      </c>
    </row>
    <row r="1218">
      <c r="A1218" s="1" t="str">
        <f>IFERROR(__xludf.DUMMYFUNCTION("""COMPUTED_VALUE"""),"PR013")</f>
        <v>PR013</v>
      </c>
      <c r="B1218" s="1" t="str">
        <f>IFERROR(__xludf.DUMMYFUNCTION("""COMPUTED_VALUE"""),"VD025")</f>
        <v>VD025</v>
      </c>
      <c r="C1218" s="1">
        <f>IFERROR(__xludf.DUMMYFUNCTION("""COMPUTED_VALUE"""),18.0)</f>
        <v>18</v>
      </c>
      <c r="D1218" s="1">
        <f>IFERROR(__xludf.DUMMYFUNCTION("""COMPUTED_VALUE"""),732.56)</f>
        <v>732.56</v>
      </c>
    </row>
    <row r="1219">
      <c r="A1219" s="1" t="str">
        <f>IFERROR(__xludf.DUMMYFUNCTION("""COMPUTED_VALUE"""),"PR033")</f>
        <v>PR033</v>
      </c>
      <c r="B1219" s="1" t="str">
        <f>IFERROR(__xludf.DUMMYFUNCTION("""COMPUTED_VALUE"""),"VD023")</f>
        <v>VD023</v>
      </c>
      <c r="C1219" s="1">
        <f>IFERROR(__xludf.DUMMYFUNCTION("""COMPUTED_VALUE"""),7.0)</f>
        <v>7</v>
      </c>
      <c r="D1219" s="1">
        <f>IFERROR(__xludf.DUMMYFUNCTION("""COMPUTED_VALUE"""),2001.23)</f>
        <v>2001.23</v>
      </c>
    </row>
    <row r="1220">
      <c r="A1220" s="1" t="str">
        <f>IFERROR(__xludf.DUMMYFUNCTION("""COMPUTED_VALUE"""),"PR052")</f>
        <v>PR052</v>
      </c>
      <c r="B1220" s="1" t="str">
        <f>IFERROR(__xludf.DUMMYFUNCTION("""COMPUTED_VALUE"""),"VD022")</f>
        <v>VD022</v>
      </c>
      <c r="C1220" s="1">
        <f>IFERROR(__xludf.DUMMYFUNCTION("""COMPUTED_VALUE"""),5.0)</f>
        <v>5</v>
      </c>
      <c r="D1220" s="1">
        <f>IFERROR(__xludf.DUMMYFUNCTION("""COMPUTED_VALUE"""),254.49)</f>
        <v>254.49</v>
      </c>
    </row>
    <row r="1221">
      <c r="A1221" s="1" t="str">
        <f>IFERROR(__xludf.DUMMYFUNCTION("""COMPUTED_VALUE"""),"PR028")</f>
        <v>PR028</v>
      </c>
      <c r="B1221" s="1" t="str">
        <f>IFERROR(__xludf.DUMMYFUNCTION("""COMPUTED_VALUE"""),"VD024")</f>
        <v>VD024</v>
      </c>
      <c r="C1221" s="1">
        <f>IFERROR(__xludf.DUMMYFUNCTION("""COMPUTED_VALUE"""),18.0)</f>
        <v>18</v>
      </c>
      <c r="D1221" s="1">
        <f>IFERROR(__xludf.DUMMYFUNCTION("""COMPUTED_VALUE"""),4498.2)</f>
        <v>4498.2</v>
      </c>
    </row>
    <row r="1222">
      <c r="A1222" s="1" t="str">
        <f>IFERROR(__xludf.DUMMYFUNCTION("""COMPUTED_VALUE"""),"PR032")</f>
        <v>PR032</v>
      </c>
      <c r="B1222" s="1" t="str">
        <f>IFERROR(__xludf.DUMMYFUNCTION("""COMPUTED_VALUE"""),"VD026")</f>
        <v>VD026</v>
      </c>
      <c r="C1222" s="1">
        <f>IFERROR(__xludf.DUMMYFUNCTION("""COMPUTED_VALUE"""),7.0)</f>
        <v>7</v>
      </c>
      <c r="D1222" s="1">
        <f>IFERROR(__xludf.DUMMYFUNCTION("""COMPUTED_VALUE"""),1785.0)</f>
        <v>1785</v>
      </c>
    </row>
    <row r="1223">
      <c r="A1223" s="1" t="str">
        <f>IFERROR(__xludf.DUMMYFUNCTION("""COMPUTED_VALUE"""),"PR014")</f>
        <v>PR014</v>
      </c>
      <c r="B1223" s="1" t="str">
        <f>IFERROR(__xludf.DUMMYFUNCTION("""COMPUTED_VALUE"""),"VD019")</f>
        <v>VD019</v>
      </c>
      <c r="C1223" s="1">
        <f>IFERROR(__xludf.DUMMYFUNCTION("""COMPUTED_VALUE"""),2.0)</f>
        <v>2</v>
      </c>
      <c r="D1223" s="1">
        <f>IFERROR(__xludf.DUMMYFUNCTION("""COMPUTED_VALUE"""),85.39)</f>
        <v>85.39</v>
      </c>
    </row>
    <row r="1224">
      <c r="A1224" s="1" t="str">
        <f>IFERROR(__xludf.DUMMYFUNCTION("""COMPUTED_VALUE"""),"PR027")</f>
        <v>PR027</v>
      </c>
      <c r="B1224" s="1" t="str">
        <f>IFERROR(__xludf.DUMMYFUNCTION("""COMPUTED_VALUE"""),"VD011")</f>
        <v>VD011</v>
      </c>
      <c r="C1224" s="1">
        <f>IFERROR(__xludf.DUMMYFUNCTION("""COMPUTED_VALUE"""),4.0)</f>
        <v>4</v>
      </c>
      <c r="D1224" s="1">
        <f>IFERROR(__xludf.DUMMYFUNCTION("""COMPUTED_VALUE"""),513.6)</f>
        <v>513.6</v>
      </c>
    </row>
    <row r="1225">
      <c r="A1225" s="1" t="str">
        <f>IFERROR(__xludf.DUMMYFUNCTION("""COMPUTED_VALUE"""),"PR054")</f>
        <v>PR054</v>
      </c>
      <c r="B1225" s="1" t="str">
        <f>IFERROR(__xludf.DUMMYFUNCTION("""COMPUTED_VALUE"""),"VD039")</f>
        <v>VD039</v>
      </c>
      <c r="C1225" s="1">
        <f>IFERROR(__xludf.DUMMYFUNCTION("""COMPUTED_VALUE"""),10.0)</f>
        <v>10</v>
      </c>
      <c r="D1225" s="1">
        <f>IFERROR(__xludf.DUMMYFUNCTION("""COMPUTED_VALUE"""),528.94)</f>
        <v>528.94</v>
      </c>
    </row>
    <row r="1226">
      <c r="A1226" s="1" t="str">
        <f>IFERROR(__xludf.DUMMYFUNCTION("""COMPUTED_VALUE"""),"PR050")</f>
        <v>PR050</v>
      </c>
      <c r="B1226" s="1" t="str">
        <f>IFERROR(__xludf.DUMMYFUNCTION("""COMPUTED_VALUE"""),"VD016")</f>
        <v>VD016</v>
      </c>
      <c r="C1226" s="1">
        <f>IFERROR(__xludf.DUMMYFUNCTION("""COMPUTED_VALUE"""),4.0)</f>
        <v>4</v>
      </c>
      <c r="D1226" s="1">
        <f>IFERROR(__xludf.DUMMYFUNCTION("""COMPUTED_VALUE"""),139.5)</f>
        <v>139.5</v>
      </c>
    </row>
    <row r="1227">
      <c r="A1227" s="1" t="str">
        <f>IFERROR(__xludf.DUMMYFUNCTION("""COMPUTED_VALUE"""),"PR041")</f>
        <v>PR041</v>
      </c>
      <c r="B1227" s="1" t="str">
        <f>IFERROR(__xludf.DUMMYFUNCTION("""COMPUTED_VALUE"""),"VD027")</f>
        <v>VD027</v>
      </c>
      <c r="C1227" s="1">
        <f>IFERROR(__xludf.DUMMYFUNCTION("""COMPUTED_VALUE"""),10.0)</f>
        <v>10</v>
      </c>
      <c r="D1227" s="1">
        <f>IFERROR(__xludf.DUMMYFUNCTION("""COMPUTED_VALUE"""),592.92)</f>
        <v>592.92</v>
      </c>
    </row>
    <row r="1228">
      <c r="A1228" s="1" t="str">
        <f>IFERROR(__xludf.DUMMYFUNCTION("""COMPUTED_VALUE"""),"PR046")</f>
        <v>PR046</v>
      </c>
      <c r="B1228" s="1" t="str">
        <f>IFERROR(__xludf.DUMMYFUNCTION("""COMPUTED_VALUE"""),"VD020")</f>
        <v>VD020</v>
      </c>
      <c r="C1228" s="1">
        <f>IFERROR(__xludf.DUMMYFUNCTION("""COMPUTED_VALUE"""),12.0)</f>
        <v>12</v>
      </c>
      <c r="D1228" s="1">
        <f>IFERROR(__xludf.DUMMYFUNCTION("""COMPUTED_VALUE"""),3513.59)</f>
        <v>3513.59</v>
      </c>
    </row>
    <row r="1229">
      <c r="A1229" s="1" t="str">
        <f>IFERROR(__xludf.DUMMYFUNCTION("""COMPUTED_VALUE"""),"PR039")</f>
        <v>PR039</v>
      </c>
      <c r="B1229" s="1" t="str">
        <f>IFERROR(__xludf.DUMMYFUNCTION("""COMPUTED_VALUE"""),"VD048")</f>
        <v>VD048</v>
      </c>
      <c r="C1229" s="1">
        <f>IFERROR(__xludf.DUMMYFUNCTION("""COMPUTED_VALUE"""),12.0)</f>
        <v>12</v>
      </c>
      <c r="D1229" s="1">
        <f>IFERROR(__xludf.DUMMYFUNCTION("""COMPUTED_VALUE"""),1752.0)</f>
        <v>1752</v>
      </c>
    </row>
    <row r="1230">
      <c r="A1230" s="1" t="str">
        <f>IFERROR(__xludf.DUMMYFUNCTION("""COMPUTED_VALUE"""),"PR008")</f>
        <v>PR008</v>
      </c>
      <c r="B1230" s="1" t="str">
        <f>IFERROR(__xludf.DUMMYFUNCTION("""COMPUTED_VALUE"""),"VD033")</f>
        <v>VD033</v>
      </c>
      <c r="C1230" s="1">
        <f>IFERROR(__xludf.DUMMYFUNCTION("""COMPUTED_VALUE"""),8.0)</f>
        <v>8</v>
      </c>
      <c r="D1230" s="1">
        <f>IFERROR(__xludf.DUMMYFUNCTION("""COMPUTED_VALUE"""),776.74)</f>
        <v>776.74</v>
      </c>
    </row>
    <row r="1231">
      <c r="A1231" s="1" t="str">
        <f>IFERROR(__xludf.DUMMYFUNCTION("""COMPUTED_VALUE"""),"PR035")</f>
        <v>PR035</v>
      </c>
      <c r="B1231" s="1" t="str">
        <f>IFERROR(__xludf.DUMMYFUNCTION("""COMPUTED_VALUE"""),"VD011")</f>
        <v>VD011</v>
      </c>
      <c r="C1231" s="1">
        <f>IFERROR(__xludf.DUMMYFUNCTION("""COMPUTED_VALUE"""),2.0)</f>
        <v>2</v>
      </c>
      <c r="D1231" s="1">
        <f>IFERROR(__xludf.DUMMYFUNCTION("""COMPUTED_VALUE"""),186.46)</f>
        <v>186.46</v>
      </c>
    </row>
    <row r="1232">
      <c r="A1232" s="1" t="str">
        <f>IFERROR(__xludf.DUMMYFUNCTION("""COMPUTED_VALUE"""),"PR026")</f>
        <v>PR026</v>
      </c>
      <c r="B1232" s="1" t="str">
        <f>IFERROR(__xludf.DUMMYFUNCTION("""COMPUTED_VALUE"""),"VD025")</f>
        <v>VD025</v>
      </c>
      <c r="C1232" s="1">
        <f>IFERROR(__xludf.DUMMYFUNCTION("""COMPUTED_VALUE"""),16.0)</f>
        <v>16</v>
      </c>
      <c r="D1232" s="1">
        <f>IFERROR(__xludf.DUMMYFUNCTION("""COMPUTED_VALUE"""),5710.37)</f>
        <v>5710.37</v>
      </c>
    </row>
    <row r="1233">
      <c r="A1233" s="1" t="str">
        <f>IFERROR(__xludf.DUMMYFUNCTION("""COMPUTED_VALUE"""),"PR059")</f>
        <v>PR059</v>
      </c>
      <c r="B1233" s="1" t="str">
        <f>IFERROR(__xludf.DUMMYFUNCTION("""COMPUTED_VALUE"""),"VD033")</f>
        <v>VD033</v>
      </c>
      <c r="C1233" s="1">
        <f>IFERROR(__xludf.DUMMYFUNCTION("""COMPUTED_VALUE"""),20.0)</f>
        <v>20</v>
      </c>
      <c r="D1233" s="1">
        <f>IFERROR(__xludf.DUMMYFUNCTION("""COMPUTED_VALUE"""),3924.0)</f>
        <v>3924</v>
      </c>
    </row>
    <row r="1234">
      <c r="A1234" s="1" t="str">
        <f>IFERROR(__xludf.DUMMYFUNCTION("""COMPUTED_VALUE"""),"PR033")</f>
        <v>PR033</v>
      </c>
      <c r="B1234" s="1" t="str">
        <f>IFERROR(__xludf.DUMMYFUNCTION("""COMPUTED_VALUE"""),"VD035")</f>
        <v>VD035</v>
      </c>
      <c r="C1234" s="1">
        <f>IFERROR(__xludf.DUMMYFUNCTION("""COMPUTED_VALUE"""),6.0)</f>
        <v>6</v>
      </c>
      <c r="D1234" s="1">
        <f>IFERROR(__xludf.DUMMYFUNCTION("""COMPUTED_VALUE"""),1652.96)</f>
        <v>1652.96</v>
      </c>
    </row>
    <row r="1235">
      <c r="A1235" s="1" t="str">
        <f>IFERROR(__xludf.DUMMYFUNCTION("""COMPUTED_VALUE"""),"PR044")</f>
        <v>PR044</v>
      </c>
      <c r="B1235" s="1" t="str">
        <f>IFERROR(__xludf.DUMMYFUNCTION("""COMPUTED_VALUE"""),"VD034")</f>
        <v>VD034</v>
      </c>
      <c r="C1235" s="1">
        <f>IFERROR(__xludf.DUMMYFUNCTION("""COMPUTED_VALUE"""),6.0)</f>
        <v>6</v>
      </c>
      <c r="D1235" s="1">
        <f>IFERROR(__xludf.DUMMYFUNCTION("""COMPUTED_VALUE"""),439.35)</f>
        <v>439.35</v>
      </c>
    </row>
    <row r="1236">
      <c r="A1236" s="1" t="str">
        <f>IFERROR(__xludf.DUMMYFUNCTION("""COMPUTED_VALUE"""),"PR050")</f>
        <v>PR050</v>
      </c>
      <c r="B1236" s="1" t="str">
        <f>IFERROR(__xludf.DUMMYFUNCTION("""COMPUTED_VALUE"""),"VD026")</f>
        <v>VD026</v>
      </c>
      <c r="C1236" s="1">
        <f>IFERROR(__xludf.DUMMYFUNCTION("""COMPUTED_VALUE"""),1.0)</f>
        <v>1</v>
      </c>
      <c r="D1236" s="1">
        <f>IFERROR(__xludf.DUMMYFUNCTION("""COMPUTED_VALUE"""),33.56)</f>
        <v>33.56</v>
      </c>
    </row>
    <row r="1237">
      <c r="A1237" s="1" t="str">
        <f>IFERROR(__xludf.DUMMYFUNCTION("""COMPUTED_VALUE"""),"PR019")</f>
        <v>PR019</v>
      </c>
      <c r="B1237" s="1" t="str">
        <f>IFERROR(__xludf.DUMMYFUNCTION("""COMPUTED_VALUE"""),"VD010")</f>
        <v>VD010</v>
      </c>
      <c r="C1237" s="1">
        <f>IFERROR(__xludf.DUMMYFUNCTION("""COMPUTED_VALUE"""),6.0)</f>
        <v>6</v>
      </c>
      <c r="D1237" s="1">
        <f>IFERROR(__xludf.DUMMYFUNCTION("""COMPUTED_VALUE"""),323.35)</f>
        <v>323.35</v>
      </c>
    </row>
    <row r="1238">
      <c r="A1238" s="1" t="str">
        <f>IFERROR(__xludf.DUMMYFUNCTION("""COMPUTED_VALUE"""),"PR058")</f>
        <v>PR058</v>
      </c>
      <c r="B1238" s="1" t="str">
        <f>IFERROR(__xludf.DUMMYFUNCTION("""COMPUTED_VALUE"""),"VD019")</f>
        <v>VD019</v>
      </c>
      <c r="C1238" s="1">
        <f>IFERROR(__xludf.DUMMYFUNCTION("""COMPUTED_VALUE"""),16.0)</f>
        <v>16</v>
      </c>
      <c r="D1238" s="1">
        <f>IFERROR(__xludf.DUMMYFUNCTION("""COMPUTED_VALUE"""),2908.8)</f>
        <v>2908.8</v>
      </c>
    </row>
    <row r="1239">
      <c r="A1239" s="1" t="str">
        <f>IFERROR(__xludf.DUMMYFUNCTION("""COMPUTED_VALUE"""),"PR024")</f>
        <v>PR024</v>
      </c>
      <c r="B1239" s="1" t="str">
        <f>IFERROR(__xludf.DUMMYFUNCTION("""COMPUTED_VALUE"""),"VD015")</f>
        <v>VD015</v>
      </c>
      <c r="C1239" s="1">
        <f>IFERROR(__xludf.DUMMYFUNCTION("""COMPUTED_VALUE"""),5.0)</f>
        <v>5</v>
      </c>
      <c r="D1239" s="1">
        <f>IFERROR(__xludf.DUMMYFUNCTION("""COMPUTED_VALUE"""),1390.47)</f>
        <v>1390.47</v>
      </c>
    </row>
    <row r="1240">
      <c r="A1240" s="1" t="str">
        <f>IFERROR(__xludf.DUMMYFUNCTION("""COMPUTED_VALUE"""),"PR022")</f>
        <v>PR022</v>
      </c>
      <c r="B1240" s="1" t="str">
        <f>IFERROR(__xludf.DUMMYFUNCTION("""COMPUTED_VALUE"""),"VD049")</f>
        <v>VD049</v>
      </c>
      <c r="C1240" s="1">
        <f>IFERROR(__xludf.DUMMYFUNCTION("""COMPUTED_VALUE"""),20.0)</f>
        <v>20</v>
      </c>
      <c r="D1240" s="1">
        <f>IFERROR(__xludf.DUMMYFUNCTION("""COMPUTED_VALUE"""),6540.0)</f>
        <v>6540</v>
      </c>
    </row>
    <row r="1241">
      <c r="A1241" s="1" t="str">
        <f>IFERROR(__xludf.DUMMYFUNCTION("""COMPUTED_VALUE"""),"PR015")</f>
        <v>PR015</v>
      </c>
      <c r="B1241" s="1" t="str">
        <f>IFERROR(__xludf.DUMMYFUNCTION("""COMPUTED_VALUE"""),"VD010")</f>
        <v>VD010</v>
      </c>
      <c r="C1241" s="1">
        <f>IFERROR(__xludf.DUMMYFUNCTION("""COMPUTED_VALUE"""),4.0)</f>
        <v>4</v>
      </c>
      <c r="D1241" s="1">
        <f>IFERROR(__xludf.DUMMYFUNCTION("""COMPUTED_VALUE"""),185.3)</f>
        <v>185.3</v>
      </c>
    </row>
    <row r="1242">
      <c r="A1242" s="1" t="str">
        <f>IFERROR(__xludf.DUMMYFUNCTION("""COMPUTED_VALUE"""),"PR005")</f>
        <v>PR005</v>
      </c>
      <c r="B1242" s="1" t="str">
        <f>IFERROR(__xludf.DUMMYFUNCTION("""COMPUTED_VALUE"""),"VD043")</f>
        <v>VD043</v>
      </c>
      <c r="C1242" s="1">
        <f>IFERROR(__xludf.DUMMYFUNCTION("""COMPUTED_VALUE"""),7.0)</f>
        <v>7</v>
      </c>
      <c r="D1242" s="1">
        <f>IFERROR(__xludf.DUMMYFUNCTION("""COMPUTED_VALUE"""),1910.27)</f>
        <v>1910.27</v>
      </c>
    </row>
    <row r="1243">
      <c r="A1243" s="1" t="str">
        <f>IFERROR(__xludf.DUMMYFUNCTION("""COMPUTED_VALUE"""),"PR048")</f>
        <v>PR048</v>
      </c>
      <c r="B1243" s="1" t="str">
        <f>IFERROR(__xludf.DUMMYFUNCTION("""COMPUTED_VALUE"""),"VD012")</f>
        <v>VD012</v>
      </c>
      <c r="C1243" s="1">
        <f>IFERROR(__xludf.DUMMYFUNCTION("""COMPUTED_VALUE"""),2.0)</f>
        <v>2</v>
      </c>
      <c r="D1243" s="1">
        <f>IFERROR(__xludf.DUMMYFUNCTION("""COMPUTED_VALUE"""),626.18)</f>
        <v>626.18</v>
      </c>
    </row>
    <row r="1244">
      <c r="A1244" s="1" t="str">
        <f>IFERROR(__xludf.DUMMYFUNCTION("""COMPUTED_VALUE"""),"PR024")</f>
        <v>PR024</v>
      </c>
      <c r="B1244" s="1" t="str">
        <f>IFERROR(__xludf.DUMMYFUNCTION("""COMPUTED_VALUE"""),"VD025")</f>
        <v>VD025</v>
      </c>
      <c r="C1244" s="1">
        <f>IFERROR(__xludf.DUMMYFUNCTION("""COMPUTED_VALUE"""),10.0)</f>
        <v>10</v>
      </c>
      <c r="D1244" s="1">
        <f>IFERROR(__xludf.DUMMYFUNCTION("""COMPUTED_VALUE"""),2858.9)</f>
        <v>2858.9</v>
      </c>
    </row>
    <row r="1245">
      <c r="A1245" s="1" t="str">
        <f>IFERROR(__xludf.DUMMYFUNCTION("""COMPUTED_VALUE"""),"PR019")</f>
        <v>PR019</v>
      </c>
      <c r="B1245" s="1" t="str">
        <f>IFERROR(__xludf.DUMMYFUNCTION("""COMPUTED_VALUE"""),"VD035")</f>
        <v>VD035</v>
      </c>
      <c r="C1245" s="1">
        <f>IFERROR(__xludf.DUMMYFUNCTION("""COMPUTED_VALUE"""),8.0)</f>
        <v>8</v>
      </c>
      <c r="D1245" s="1">
        <f>IFERROR(__xludf.DUMMYFUNCTION("""COMPUTED_VALUE"""),419.16)</f>
        <v>419.16</v>
      </c>
    </row>
    <row r="1246">
      <c r="A1246" s="1" t="str">
        <f>IFERROR(__xludf.DUMMYFUNCTION("""COMPUTED_VALUE"""),"PR029")</f>
        <v>PR029</v>
      </c>
      <c r="B1246" s="1" t="str">
        <f>IFERROR(__xludf.DUMMYFUNCTION("""COMPUTED_VALUE"""),"VD038")</f>
        <v>VD038</v>
      </c>
      <c r="C1246" s="1">
        <f>IFERROR(__xludf.DUMMYFUNCTION("""COMPUTED_VALUE"""),9.0)</f>
        <v>9</v>
      </c>
      <c r="D1246" s="1">
        <f>IFERROR(__xludf.DUMMYFUNCTION("""COMPUTED_VALUE"""),2478.6)</f>
        <v>2478.6</v>
      </c>
    </row>
    <row r="1247">
      <c r="A1247" s="1" t="str">
        <f>IFERROR(__xludf.DUMMYFUNCTION("""COMPUTED_VALUE"""),"PR043")</f>
        <v>PR043</v>
      </c>
      <c r="B1247" s="1" t="str">
        <f>IFERROR(__xludf.DUMMYFUNCTION("""COMPUTED_VALUE"""),"VD045")</f>
        <v>VD045</v>
      </c>
      <c r="C1247" s="1">
        <f>IFERROR(__xludf.DUMMYFUNCTION("""COMPUTED_VALUE"""),18.0)</f>
        <v>18</v>
      </c>
      <c r="D1247" s="1">
        <f>IFERROR(__xludf.DUMMYFUNCTION("""COMPUTED_VALUE"""),1396.35)</f>
        <v>1396.35</v>
      </c>
    </row>
    <row r="1248">
      <c r="A1248" s="1" t="str">
        <f>IFERROR(__xludf.DUMMYFUNCTION("""COMPUTED_VALUE"""),"PR039")</f>
        <v>PR039</v>
      </c>
      <c r="B1248" s="1" t="str">
        <f>IFERROR(__xludf.DUMMYFUNCTION("""COMPUTED_VALUE"""),"VD042")</f>
        <v>VD042</v>
      </c>
      <c r="C1248" s="1">
        <f>IFERROR(__xludf.DUMMYFUNCTION("""COMPUTED_VALUE"""),2.0)</f>
        <v>2</v>
      </c>
      <c r="D1248" s="1">
        <f>IFERROR(__xludf.DUMMYFUNCTION("""COMPUTED_VALUE"""),315.36)</f>
        <v>315.36</v>
      </c>
    </row>
    <row r="1249">
      <c r="A1249" s="1" t="str">
        <f>IFERROR(__xludf.DUMMYFUNCTION("""COMPUTED_VALUE"""),"PR003")</f>
        <v>PR003</v>
      </c>
      <c r="B1249" s="1" t="str">
        <f>IFERROR(__xludf.DUMMYFUNCTION("""COMPUTED_VALUE"""),"VD010")</f>
        <v>VD010</v>
      </c>
      <c r="C1249" s="1">
        <f>IFERROR(__xludf.DUMMYFUNCTION("""COMPUTED_VALUE"""),9.0)</f>
        <v>9</v>
      </c>
      <c r="D1249" s="1">
        <f>IFERROR(__xludf.DUMMYFUNCTION("""COMPUTED_VALUE"""),689.15)</f>
        <v>689.15</v>
      </c>
    </row>
    <row r="1250">
      <c r="A1250" s="1" t="str">
        <f>IFERROR(__xludf.DUMMYFUNCTION("""COMPUTED_VALUE"""),"PR002")</f>
        <v>PR002</v>
      </c>
      <c r="B1250" s="1" t="str">
        <f>IFERROR(__xludf.DUMMYFUNCTION("""COMPUTED_VALUE"""),"VD042")</f>
        <v>VD042</v>
      </c>
      <c r="C1250" s="1">
        <f>IFERROR(__xludf.DUMMYFUNCTION("""COMPUTED_VALUE"""),10.0)</f>
        <v>10</v>
      </c>
      <c r="D1250" s="1">
        <f>IFERROR(__xludf.DUMMYFUNCTION("""COMPUTED_VALUE"""),726.96)</f>
        <v>726.96</v>
      </c>
    </row>
    <row r="1251">
      <c r="A1251" s="1" t="str">
        <f>IFERROR(__xludf.DUMMYFUNCTION("""COMPUTED_VALUE"""),"PR015")</f>
        <v>PR015</v>
      </c>
      <c r="B1251" s="1" t="str">
        <f>IFERROR(__xludf.DUMMYFUNCTION("""COMPUTED_VALUE"""),"VD037")</f>
        <v>VD037</v>
      </c>
      <c r="C1251" s="1">
        <f>IFERROR(__xludf.DUMMYFUNCTION("""COMPUTED_VALUE"""),9.0)</f>
        <v>9</v>
      </c>
      <c r="D1251" s="1">
        <f>IFERROR(__xludf.DUMMYFUNCTION("""COMPUTED_VALUE"""),416.93)</f>
        <v>416.93</v>
      </c>
    </row>
    <row r="1252">
      <c r="A1252" s="1" t="str">
        <f>IFERROR(__xludf.DUMMYFUNCTION("""COMPUTED_VALUE"""),"PR017")</f>
        <v>PR017</v>
      </c>
      <c r="B1252" s="1" t="str">
        <f>IFERROR(__xludf.DUMMYFUNCTION("""COMPUTED_VALUE"""),"VD049")</f>
        <v>VD049</v>
      </c>
      <c r="C1252" s="1">
        <f>IFERROR(__xludf.DUMMYFUNCTION("""COMPUTED_VALUE"""),6.0)</f>
        <v>6</v>
      </c>
      <c r="D1252" s="1">
        <f>IFERROR(__xludf.DUMMYFUNCTION("""COMPUTED_VALUE"""),182.99)</f>
        <v>182.99</v>
      </c>
    </row>
    <row r="1253">
      <c r="A1253" s="1" t="str">
        <f>IFERROR(__xludf.DUMMYFUNCTION("""COMPUTED_VALUE"""),"PR031")</f>
        <v>PR031</v>
      </c>
      <c r="B1253" s="1" t="str">
        <f>IFERROR(__xludf.DUMMYFUNCTION("""COMPUTED_VALUE"""),"VD021")</f>
        <v>VD021</v>
      </c>
      <c r="C1253" s="1">
        <f>IFERROR(__xludf.DUMMYFUNCTION("""COMPUTED_VALUE"""),8.0)</f>
        <v>8</v>
      </c>
      <c r="D1253" s="1">
        <f>IFERROR(__xludf.DUMMYFUNCTION("""COMPUTED_VALUE"""),1999.2)</f>
        <v>1999.2</v>
      </c>
    </row>
    <row r="1254">
      <c r="A1254" s="1" t="str">
        <f>IFERROR(__xludf.DUMMYFUNCTION("""COMPUTED_VALUE"""),"PR053")</f>
        <v>PR053</v>
      </c>
      <c r="B1254" s="1" t="str">
        <f>IFERROR(__xludf.DUMMYFUNCTION("""COMPUTED_VALUE"""),"VD041")</f>
        <v>VD041</v>
      </c>
      <c r="C1254" s="1">
        <f>IFERROR(__xludf.DUMMYFUNCTION("""COMPUTED_VALUE"""),1.0)</f>
        <v>1</v>
      </c>
      <c r="D1254" s="1">
        <f>IFERROR(__xludf.DUMMYFUNCTION("""COMPUTED_VALUE"""),54.39)</f>
        <v>54.39</v>
      </c>
    </row>
    <row r="1255">
      <c r="A1255" s="1" t="str">
        <f>IFERROR(__xludf.DUMMYFUNCTION("""COMPUTED_VALUE"""),"PR016")</f>
        <v>PR016</v>
      </c>
      <c r="B1255" s="1" t="str">
        <f>IFERROR(__xludf.DUMMYFUNCTION("""COMPUTED_VALUE"""),"VD042")</f>
        <v>VD042</v>
      </c>
      <c r="C1255" s="1">
        <f>IFERROR(__xludf.DUMMYFUNCTION("""COMPUTED_VALUE"""),6.0)</f>
        <v>6</v>
      </c>
      <c r="D1255" s="1">
        <f>IFERROR(__xludf.DUMMYFUNCTION("""COMPUTED_VALUE"""),166.28)</f>
        <v>166.28</v>
      </c>
    </row>
    <row r="1256">
      <c r="A1256" s="1" t="str">
        <f>IFERROR(__xludf.DUMMYFUNCTION("""COMPUTED_VALUE"""),"PR016")</f>
        <v>PR016</v>
      </c>
      <c r="B1256" s="1" t="str">
        <f>IFERROR(__xludf.DUMMYFUNCTION("""COMPUTED_VALUE"""),"VD048")</f>
        <v>VD048</v>
      </c>
      <c r="C1256" s="1">
        <f>IFERROR(__xludf.DUMMYFUNCTION("""COMPUTED_VALUE"""),5.0)</f>
        <v>5</v>
      </c>
      <c r="D1256" s="1">
        <f>IFERROR(__xludf.DUMMYFUNCTION("""COMPUTED_VALUE"""),132.09)</f>
        <v>132.09</v>
      </c>
    </row>
    <row r="1257">
      <c r="A1257" s="1" t="str">
        <f>IFERROR(__xludf.DUMMYFUNCTION("""COMPUTED_VALUE"""),"PR002")</f>
        <v>PR002</v>
      </c>
      <c r="B1257" s="1" t="str">
        <f>IFERROR(__xludf.DUMMYFUNCTION("""COMPUTED_VALUE"""),"VD025")</f>
        <v>VD025</v>
      </c>
      <c r="C1257" s="1">
        <f>IFERROR(__xludf.DUMMYFUNCTION("""COMPUTED_VALUE"""),18.0)</f>
        <v>18</v>
      </c>
      <c r="D1257" s="1">
        <f>IFERROR(__xludf.DUMMYFUNCTION("""COMPUTED_VALUE"""),1295.95)</f>
        <v>1295.95</v>
      </c>
    </row>
    <row r="1258">
      <c r="A1258" s="1" t="str">
        <f>IFERROR(__xludf.DUMMYFUNCTION("""COMPUTED_VALUE"""),"PR039")</f>
        <v>PR039</v>
      </c>
      <c r="B1258" s="1" t="str">
        <f>IFERROR(__xludf.DUMMYFUNCTION("""COMPUTED_VALUE"""),"VD046")</f>
        <v>VD046</v>
      </c>
      <c r="C1258" s="1">
        <f>IFERROR(__xludf.DUMMYFUNCTION("""COMPUTED_VALUE"""),8.0)</f>
        <v>8</v>
      </c>
      <c r="D1258" s="1">
        <f>IFERROR(__xludf.DUMMYFUNCTION("""COMPUTED_VALUE"""),1214.72)</f>
        <v>1214.72</v>
      </c>
    </row>
    <row r="1259">
      <c r="A1259" s="1" t="str">
        <f>IFERROR(__xludf.DUMMYFUNCTION("""COMPUTED_VALUE"""),"PR020")</f>
        <v>PR020</v>
      </c>
      <c r="B1259" s="1" t="str">
        <f>IFERROR(__xludf.DUMMYFUNCTION("""COMPUTED_VALUE"""),"VD017")</f>
        <v>VD017</v>
      </c>
      <c r="C1259" s="1">
        <f>IFERROR(__xludf.DUMMYFUNCTION("""COMPUTED_VALUE"""),8.0)</f>
        <v>8</v>
      </c>
      <c r="D1259" s="1">
        <f>IFERROR(__xludf.DUMMYFUNCTION("""COMPUTED_VALUE"""),2423.19)</f>
        <v>2423.19</v>
      </c>
    </row>
    <row r="1260">
      <c r="A1260" s="1" t="str">
        <f>IFERROR(__xludf.DUMMYFUNCTION("""COMPUTED_VALUE"""),"PR050")</f>
        <v>PR050</v>
      </c>
      <c r="B1260" s="1" t="str">
        <f>IFERROR(__xludf.DUMMYFUNCTION("""COMPUTED_VALUE"""),"VD028")</f>
        <v>VD028</v>
      </c>
      <c r="C1260" s="1">
        <f>IFERROR(__xludf.DUMMYFUNCTION("""COMPUTED_VALUE"""),10.0)</f>
        <v>10</v>
      </c>
      <c r="D1260" s="1">
        <f>IFERROR(__xludf.DUMMYFUNCTION("""COMPUTED_VALUE"""),345.45)</f>
        <v>345.45</v>
      </c>
    </row>
    <row r="1261">
      <c r="A1261" s="1" t="str">
        <f>IFERROR(__xludf.DUMMYFUNCTION("""COMPUTED_VALUE"""),"PR018")</f>
        <v>PR018</v>
      </c>
      <c r="B1261" s="1" t="str">
        <f>IFERROR(__xludf.DUMMYFUNCTION("""COMPUTED_VALUE"""),"VD044")</f>
        <v>VD044</v>
      </c>
      <c r="C1261" s="1">
        <f>IFERROR(__xludf.DUMMYFUNCTION("""COMPUTED_VALUE"""),2.0)</f>
        <v>2</v>
      </c>
      <c r="D1261" s="1">
        <f>IFERROR(__xludf.DUMMYFUNCTION("""COMPUTED_VALUE"""),67.12)</f>
        <v>67.12</v>
      </c>
    </row>
    <row r="1262">
      <c r="A1262" s="1" t="str">
        <f>IFERROR(__xludf.DUMMYFUNCTION("""COMPUTED_VALUE"""),"PR013")</f>
        <v>PR013</v>
      </c>
      <c r="B1262" s="1" t="str">
        <f>IFERROR(__xludf.DUMMYFUNCTION("""COMPUTED_VALUE"""),"VD035")</f>
        <v>VD035</v>
      </c>
      <c r="C1262" s="1">
        <f>IFERROR(__xludf.DUMMYFUNCTION("""COMPUTED_VALUE"""),9.0)</f>
        <v>9</v>
      </c>
      <c r="D1262" s="1">
        <f>IFERROR(__xludf.DUMMYFUNCTION("""COMPUTED_VALUE"""),395.01)</f>
        <v>395.01</v>
      </c>
    </row>
    <row r="1263">
      <c r="A1263" s="1" t="str">
        <f>IFERROR(__xludf.DUMMYFUNCTION("""COMPUTED_VALUE"""),"PR059")</f>
        <v>PR059</v>
      </c>
      <c r="B1263" s="1" t="str">
        <f>IFERROR(__xludf.DUMMYFUNCTION("""COMPUTED_VALUE"""),"VD047")</f>
        <v>VD047</v>
      </c>
      <c r="C1263" s="1">
        <f>IFERROR(__xludf.DUMMYFUNCTION("""COMPUTED_VALUE"""),12.0)</f>
        <v>12</v>
      </c>
      <c r="D1263" s="1">
        <f>IFERROR(__xludf.DUMMYFUNCTION("""COMPUTED_VALUE"""),2311.2)</f>
        <v>2311.2</v>
      </c>
    </row>
    <row r="1264">
      <c r="A1264" s="1" t="str">
        <f>IFERROR(__xludf.DUMMYFUNCTION("""COMPUTED_VALUE"""),"PR027")</f>
        <v>PR027</v>
      </c>
      <c r="B1264" s="1" t="str">
        <f>IFERROR(__xludf.DUMMYFUNCTION("""COMPUTED_VALUE"""),"VD026")</f>
        <v>VD026</v>
      </c>
      <c r="C1264" s="1">
        <f>IFERROR(__xludf.DUMMYFUNCTION("""COMPUTED_VALUE"""),1.0)</f>
        <v>1</v>
      </c>
      <c r="D1264" s="1">
        <f>IFERROR(__xludf.DUMMYFUNCTION("""COMPUTED_VALUE"""),127.2)</f>
        <v>127.2</v>
      </c>
    </row>
    <row r="1265">
      <c r="A1265" s="1" t="str">
        <f>IFERROR(__xludf.DUMMYFUNCTION("""COMPUTED_VALUE"""),"PR011")</f>
        <v>PR011</v>
      </c>
      <c r="B1265" s="1" t="str">
        <f>IFERROR(__xludf.DUMMYFUNCTION("""COMPUTED_VALUE"""),"VD026")</f>
        <v>VD026</v>
      </c>
      <c r="C1265" s="1">
        <f>IFERROR(__xludf.DUMMYFUNCTION("""COMPUTED_VALUE"""),6.0)</f>
        <v>6</v>
      </c>
      <c r="D1265" s="1">
        <f>IFERROR(__xludf.DUMMYFUNCTION("""COMPUTED_VALUE"""),284.21)</f>
        <v>284.21</v>
      </c>
    </row>
    <row r="1266">
      <c r="A1266" s="1" t="str">
        <f>IFERROR(__xludf.DUMMYFUNCTION("""COMPUTED_VALUE"""),"PR017")</f>
        <v>PR017</v>
      </c>
      <c r="B1266" s="1" t="str">
        <f>IFERROR(__xludf.DUMMYFUNCTION("""COMPUTED_VALUE"""),"VD033")</f>
        <v>VD033</v>
      </c>
      <c r="C1266" s="1">
        <f>IFERROR(__xludf.DUMMYFUNCTION("""COMPUTED_VALUE"""),6.0)</f>
        <v>6</v>
      </c>
      <c r="D1266" s="1">
        <f>IFERROR(__xludf.DUMMYFUNCTION("""COMPUTED_VALUE"""),188.37)</f>
        <v>188.37</v>
      </c>
    </row>
    <row r="1267">
      <c r="A1267" s="1" t="str">
        <f>IFERROR(__xludf.DUMMYFUNCTION("""COMPUTED_VALUE"""),"PR003")</f>
        <v>PR003</v>
      </c>
      <c r="B1267" s="1" t="str">
        <f>IFERROR(__xludf.DUMMYFUNCTION("""COMPUTED_VALUE"""),"VD015")</f>
        <v>VD015</v>
      </c>
      <c r="C1267" s="1">
        <f>IFERROR(__xludf.DUMMYFUNCTION("""COMPUTED_VALUE"""),3.0)</f>
        <v>3</v>
      </c>
      <c r="D1267" s="1">
        <f>IFERROR(__xludf.DUMMYFUNCTION("""COMPUTED_VALUE"""),212.7)</f>
        <v>212.7</v>
      </c>
    </row>
    <row r="1268">
      <c r="A1268" s="1" t="str">
        <f>IFERROR(__xludf.DUMMYFUNCTION("""COMPUTED_VALUE"""),"PR017")</f>
        <v>PR017</v>
      </c>
      <c r="B1268" s="1" t="str">
        <f>IFERROR(__xludf.DUMMYFUNCTION("""COMPUTED_VALUE"""),"VD017")</f>
        <v>VD017</v>
      </c>
      <c r="C1268" s="1">
        <f>IFERROR(__xludf.DUMMYFUNCTION("""COMPUTED_VALUE"""),10.0)</f>
        <v>10</v>
      </c>
      <c r="D1268" s="1">
        <f>IFERROR(__xludf.DUMMYFUNCTION("""COMPUTED_VALUE"""),307.97)</f>
        <v>307.97</v>
      </c>
    </row>
    <row r="1269">
      <c r="A1269" s="1" t="str">
        <f>IFERROR(__xludf.DUMMYFUNCTION("""COMPUTED_VALUE"""),"PR011")</f>
        <v>PR011</v>
      </c>
      <c r="B1269" s="1" t="str">
        <f>IFERROR(__xludf.DUMMYFUNCTION("""COMPUTED_VALUE"""),"VD037")</f>
        <v>VD037</v>
      </c>
      <c r="C1269" s="1">
        <f>IFERROR(__xludf.DUMMYFUNCTION("""COMPUTED_VALUE"""),10.0)</f>
        <v>10</v>
      </c>
      <c r="D1269" s="1">
        <f>IFERROR(__xludf.DUMMYFUNCTION("""COMPUTED_VALUE"""),492.45)</f>
        <v>492.45</v>
      </c>
    </row>
    <row r="1270">
      <c r="A1270" s="1" t="str">
        <f>IFERROR(__xludf.DUMMYFUNCTION("""COMPUTED_VALUE"""),"PR031")</f>
        <v>PR031</v>
      </c>
      <c r="B1270" s="1" t="str">
        <f>IFERROR(__xludf.DUMMYFUNCTION("""COMPUTED_VALUE"""),"VD024")</f>
        <v>VD024</v>
      </c>
      <c r="C1270" s="1">
        <f>IFERROR(__xludf.DUMMYFUNCTION("""COMPUTED_VALUE"""),4.0)</f>
        <v>4</v>
      </c>
      <c r="D1270" s="1">
        <f>IFERROR(__xludf.DUMMYFUNCTION("""COMPUTED_VALUE"""),1019.2)</f>
        <v>1019.2</v>
      </c>
    </row>
    <row r="1271">
      <c r="A1271" s="1" t="str">
        <f>IFERROR(__xludf.DUMMYFUNCTION("""COMPUTED_VALUE"""),"PR011")</f>
        <v>PR011</v>
      </c>
      <c r="B1271" s="1" t="str">
        <f>IFERROR(__xludf.DUMMYFUNCTION("""COMPUTED_VALUE"""),"VD030")</f>
        <v>VD030</v>
      </c>
      <c r="C1271" s="1">
        <f>IFERROR(__xludf.DUMMYFUNCTION("""COMPUTED_VALUE"""),16.0)</f>
        <v>16</v>
      </c>
      <c r="D1271" s="1">
        <f>IFERROR(__xludf.DUMMYFUNCTION("""COMPUTED_VALUE"""),825.44)</f>
        <v>825.44</v>
      </c>
    </row>
    <row r="1272">
      <c r="A1272" s="1" t="str">
        <f>IFERROR(__xludf.DUMMYFUNCTION("""COMPUTED_VALUE"""),"PR035")</f>
        <v>PR035</v>
      </c>
      <c r="B1272" s="1" t="str">
        <f>IFERROR(__xludf.DUMMYFUNCTION("""COMPUTED_VALUE"""),"VD025")</f>
        <v>VD025</v>
      </c>
      <c r="C1272" s="1">
        <f>IFERROR(__xludf.DUMMYFUNCTION("""COMPUTED_VALUE"""),9.0)</f>
        <v>9</v>
      </c>
      <c r="D1272" s="1">
        <f>IFERROR(__xludf.DUMMYFUNCTION("""COMPUTED_VALUE"""),888.41)</f>
        <v>888.41</v>
      </c>
    </row>
    <row r="1273">
      <c r="A1273" s="1" t="str">
        <f>IFERROR(__xludf.DUMMYFUNCTION("""COMPUTED_VALUE"""),"PR043")</f>
        <v>PR043</v>
      </c>
      <c r="B1273" s="1" t="str">
        <f>IFERROR(__xludf.DUMMYFUNCTION("""COMPUTED_VALUE"""),"VD030")</f>
        <v>VD030</v>
      </c>
      <c r="C1273" s="1">
        <f>IFERROR(__xludf.DUMMYFUNCTION("""COMPUTED_VALUE"""),20.0)</f>
        <v>20</v>
      </c>
      <c r="D1273" s="1">
        <f>IFERROR(__xludf.DUMMYFUNCTION("""COMPUTED_VALUE"""),1464.5)</f>
        <v>1464.5</v>
      </c>
    </row>
    <row r="1274">
      <c r="A1274" s="1" t="str">
        <f>IFERROR(__xludf.DUMMYFUNCTION("""COMPUTED_VALUE"""),"PR060")</f>
        <v>PR060</v>
      </c>
      <c r="B1274" s="1" t="str">
        <f>IFERROR(__xludf.DUMMYFUNCTION("""COMPUTED_VALUE"""),"VD017")</f>
        <v>VD017</v>
      </c>
      <c r="C1274" s="1">
        <f>IFERROR(__xludf.DUMMYFUNCTION("""COMPUTED_VALUE"""),7.0)</f>
        <v>7</v>
      </c>
      <c r="D1274" s="1">
        <f>IFERROR(__xludf.DUMMYFUNCTION("""COMPUTED_VALUE"""),1373.4)</f>
        <v>1373.4</v>
      </c>
    </row>
    <row r="1275">
      <c r="A1275" s="1" t="str">
        <f>IFERROR(__xludf.DUMMYFUNCTION("""COMPUTED_VALUE"""),"PR026")</f>
        <v>PR026</v>
      </c>
      <c r="B1275" s="1" t="str">
        <f>IFERROR(__xludf.DUMMYFUNCTION("""COMPUTED_VALUE"""),"VD049")</f>
        <v>VD049</v>
      </c>
      <c r="C1275" s="1">
        <f>IFERROR(__xludf.DUMMYFUNCTION("""COMPUTED_VALUE"""),14.0)</f>
        <v>14</v>
      </c>
      <c r="D1275" s="1">
        <f>IFERROR(__xludf.DUMMYFUNCTION("""COMPUTED_VALUE"""),5094.54)</f>
        <v>5094.54</v>
      </c>
    </row>
    <row r="1276">
      <c r="A1276" s="1" t="str">
        <f>IFERROR(__xludf.DUMMYFUNCTION("""COMPUTED_VALUE"""),"PR040")</f>
        <v>PR040</v>
      </c>
      <c r="B1276" s="1" t="str">
        <f>IFERROR(__xludf.DUMMYFUNCTION("""COMPUTED_VALUE"""),"VD026")</f>
        <v>VD026</v>
      </c>
      <c r="C1276" s="1">
        <f>IFERROR(__xludf.DUMMYFUNCTION("""COMPUTED_VALUE"""),1.0)</f>
        <v>1</v>
      </c>
      <c r="D1276" s="1">
        <f>IFERROR(__xludf.DUMMYFUNCTION("""COMPUTED_VALUE"""),74.2)</f>
        <v>74.2</v>
      </c>
    </row>
    <row r="1277">
      <c r="A1277" s="1" t="str">
        <f>IFERROR(__xludf.DUMMYFUNCTION("""COMPUTED_VALUE"""),"PR029")</f>
        <v>PR029</v>
      </c>
      <c r="B1277" s="1" t="str">
        <f>IFERROR(__xludf.DUMMYFUNCTION("""COMPUTED_VALUE"""),"VD024")</f>
        <v>VD024</v>
      </c>
      <c r="C1277" s="1">
        <f>IFERROR(__xludf.DUMMYFUNCTION("""COMPUTED_VALUE"""),9.0)</f>
        <v>9</v>
      </c>
      <c r="D1277" s="1">
        <f>IFERROR(__xludf.DUMMYFUNCTION("""COMPUTED_VALUE"""),2363.85)</f>
        <v>2363.85</v>
      </c>
    </row>
    <row r="1278">
      <c r="A1278" s="1" t="str">
        <f>IFERROR(__xludf.DUMMYFUNCTION("""COMPUTED_VALUE"""),"PR002")</f>
        <v>PR002</v>
      </c>
      <c r="B1278" s="1" t="str">
        <f>IFERROR(__xludf.DUMMYFUNCTION("""COMPUTED_VALUE"""),"VD040")</f>
        <v>VD040</v>
      </c>
      <c r="C1278" s="1">
        <f>IFERROR(__xludf.DUMMYFUNCTION("""COMPUTED_VALUE"""),8.0)</f>
        <v>8</v>
      </c>
      <c r="D1278" s="1">
        <f>IFERROR(__xludf.DUMMYFUNCTION("""COMPUTED_VALUE"""),570.38)</f>
        <v>570.38</v>
      </c>
    </row>
    <row r="1279">
      <c r="A1279" s="1" t="str">
        <f>IFERROR(__xludf.DUMMYFUNCTION("""COMPUTED_VALUE"""),"PR016")</f>
        <v>PR016</v>
      </c>
      <c r="B1279" s="1" t="str">
        <f>IFERROR(__xludf.DUMMYFUNCTION("""COMPUTED_VALUE"""),"VD026")</f>
        <v>VD026</v>
      </c>
      <c r="C1279" s="1">
        <f>IFERROR(__xludf.DUMMYFUNCTION("""COMPUTED_VALUE"""),10.0)</f>
        <v>10</v>
      </c>
      <c r="D1279" s="1">
        <f>IFERROR(__xludf.DUMMYFUNCTION("""COMPUTED_VALUE"""),259.0)</f>
        <v>259</v>
      </c>
    </row>
    <row r="1280">
      <c r="A1280" s="1" t="str">
        <f>IFERROR(__xludf.DUMMYFUNCTION("""COMPUTED_VALUE"""),"PR018")</f>
        <v>PR018</v>
      </c>
      <c r="B1280" s="1" t="str">
        <f>IFERROR(__xludf.DUMMYFUNCTION("""COMPUTED_VALUE"""),"VD029")</f>
        <v>VD029</v>
      </c>
      <c r="C1280" s="1">
        <f>IFERROR(__xludf.DUMMYFUNCTION("""COMPUTED_VALUE"""),9.0)</f>
        <v>9</v>
      </c>
      <c r="D1280" s="1">
        <f>IFERROR(__xludf.DUMMYFUNCTION("""COMPUTED_VALUE"""),307.94)</f>
        <v>307.94</v>
      </c>
    </row>
    <row r="1281">
      <c r="A1281" s="1" t="str">
        <f>IFERROR(__xludf.DUMMYFUNCTION("""COMPUTED_VALUE"""),"PR021")</f>
        <v>PR021</v>
      </c>
      <c r="B1281" s="1" t="str">
        <f>IFERROR(__xludf.DUMMYFUNCTION("""COMPUTED_VALUE"""),"VD010")</f>
        <v>VD010</v>
      </c>
      <c r="C1281" s="1">
        <f>IFERROR(__xludf.DUMMYFUNCTION("""COMPUTED_VALUE"""),3.0)</f>
        <v>3</v>
      </c>
      <c r="D1281" s="1">
        <f>IFERROR(__xludf.DUMMYFUNCTION("""COMPUTED_VALUE"""),935.96)</f>
        <v>935.96</v>
      </c>
    </row>
    <row r="1282">
      <c r="A1282" s="1" t="str">
        <f>IFERROR(__xludf.DUMMYFUNCTION("""COMPUTED_VALUE"""),"PR004")</f>
        <v>PR004</v>
      </c>
      <c r="B1282" s="1" t="str">
        <f>IFERROR(__xludf.DUMMYFUNCTION("""COMPUTED_VALUE"""),"VD041")</f>
        <v>VD041</v>
      </c>
      <c r="C1282" s="1">
        <f>IFERROR(__xludf.DUMMYFUNCTION("""COMPUTED_VALUE"""),12.0)</f>
        <v>12</v>
      </c>
      <c r="D1282" s="1">
        <f>IFERROR(__xludf.DUMMYFUNCTION("""COMPUTED_VALUE"""),1809.6)</f>
        <v>1809.6</v>
      </c>
    </row>
    <row r="1283">
      <c r="A1283" s="1" t="str">
        <f>IFERROR(__xludf.DUMMYFUNCTION("""COMPUTED_VALUE"""),"PR044")</f>
        <v>PR044</v>
      </c>
      <c r="B1283" s="1" t="str">
        <f>IFERROR(__xludf.DUMMYFUNCTION("""COMPUTED_VALUE"""),"VD039")</f>
        <v>VD039</v>
      </c>
      <c r="C1283" s="1">
        <f>IFERROR(__xludf.DUMMYFUNCTION("""COMPUTED_VALUE"""),5.0)</f>
        <v>5</v>
      </c>
      <c r="D1283" s="1">
        <f>IFERROR(__xludf.DUMMYFUNCTION("""COMPUTED_VALUE"""),387.88)</f>
        <v>387.88</v>
      </c>
    </row>
    <row r="1284">
      <c r="A1284" s="1" t="str">
        <f>IFERROR(__xludf.DUMMYFUNCTION("""COMPUTED_VALUE"""),"PR028")</f>
        <v>PR028</v>
      </c>
      <c r="B1284" s="1" t="str">
        <f>IFERROR(__xludf.DUMMYFUNCTION("""COMPUTED_VALUE"""),"VD026")</f>
        <v>VD026</v>
      </c>
      <c r="C1284" s="1">
        <f>IFERROR(__xludf.DUMMYFUNCTION("""COMPUTED_VALUE"""),1.0)</f>
        <v>1</v>
      </c>
      <c r="D1284" s="1">
        <f>IFERROR(__xludf.DUMMYFUNCTION("""COMPUTED_VALUE"""),259.9)</f>
        <v>259.9</v>
      </c>
    </row>
    <row r="1285">
      <c r="A1285" s="1" t="str">
        <f>IFERROR(__xludf.DUMMYFUNCTION("""COMPUTED_VALUE"""),"PR024")</f>
        <v>PR024</v>
      </c>
      <c r="B1285" s="1" t="str">
        <f>IFERROR(__xludf.DUMMYFUNCTION("""COMPUTED_VALUE"""),"VD036")</f>
        <v>VD036</v>
      </c>
      <c r="C1285" s="1">
        <f>IFERROR(__xludf.DUMMYFUNCTION("""COMPUTED_VALUE"""),2.0)</f>
        <v>2</v>
      </c>
      <c r="D1285" s="1">
        <f>IFERROR(__xludf.DUMMYFUNCTION("""COMPUTED_VALUE"""),540.59)</f>
        <v>540.59</v>
      </c>
    </row>
    <row r="1286">
      <c r="A1286" s="1" t="str">
        <f>IFERROR(__xludf.DUMMYFUNCTION("""COMPUTED_VALUE"""),"PR004")</f>
        <v>PR004</v>
      </c>
      <c r="B1286" s="1" t="str">
        <f>IFERROR(__xludf.DUMMYFUNCTION("""COMPUTED_VALUE"""),"VD020")</f>
        <v>VD020</v>
      </c>
      <c r="C1286" s="1">
        <f>IFERROR(__xludf.DUMMYFUNCTION("""COMPUTED_VALUE"""),10.0)</f>
        <v>10</v>
      </c>
      <c r="D1286" s="1">
        <f>IFERROR(__xludf.DUMMYFUNCTION("""COMPUTED_VALUE"""),1464.5)</f>
        <v>1464.5</v>
      </c>
    </row>
    <row r="1287">
      <c r="A1287" s="1" t="str">
        <f>IFERROR(__xludf.DUMMYFUNCTION("""COMPUTED_VALUE"""),"PR004")</f>
        <v>PR004</v>
      </c>
      <c r="B1287" s="1" t="str">
        <f>IFERROR(__xludf.DUMMYFUNCTION("""COMPUTED_VALUE"""),"VD011")</f>
        <v>VD011</v>
      </c>
      <c r="C1287" s="1">
        <f>IFERROR(__xludf.DUMMYFUNCTION("""COMPUTED_VALUE"""),16.0)</f>
        <v>16</v>
      </c>
      <c r="D1287" s="1">
        <f>IFERROR(__xludf.DUMMYFUNCTION("""COMPUTED_VALUE"""),2528.8)</f>
        <v>2528.8</v>
      </c>
    </row>
    <row r="1288">
      <c r="A1288" s="1" t="str">
        <f>IFERROR(__xludf.DUMMYFUNCTION("""COMPUTED_VALUE"""),"PR007")</f>
        <v>PR007</v>
      </c>
      <c r="B1288" s="1" t="str">
        <f>IFERROR(__xludf.DUMMYFUNCTION("""COMPUTED_VALUE"""),"VD023")</f>
        <v>VD023</v>
      </c>
      <c r="C1288" s="1">
        <f>IFERROR(__xludf.DUMMYFUNCTION("""COMPUTED_VALUE"""),4.0)</f>
        <v>4</v>
      </c>
      <c r="D1288" s="1">
        <f>IFERROR(__xludf.DUMMYFUNCTION("""COMPUTED_VALUE"""),343.6)</f>
        <v>343.6</v>
      </c>
    </row>
    <row r="1289">
      <c r="A1289" s="1" t="str">
        <f>IFERROR(__xludf.DUMMYFUNCTION("""COMPUTED_VALUE"""),"PR020")</f>
        <v>PR020</v>
      </c>
      <c r="B1289" s="1" t="str">
        <f>IFERROR(__xludf.DUMMYFUNCTION("""COMPUTED_VALUE"""),"VD015")</f>
        <v>VD015</v>
      </c>
      <c r="C1289" s="1">
        <f>IFERROR(__xludf.DUMMYFUNCTION("""COMPUTED_VALUE"""),18.0)</f>
        <v>18</v>
      </c>
      <c r="D1289" s="1">
        <f>IFERROR(__xludf.DUMMYFUNCTION("""COMPUTED_VALUE"""),5830.06)</f>
        <v>5830.06</v>
      </c>
    </row>
    <row r="1290">
      <c r="A1290" s="1" t="str">
        <f>IFERROR(__xludf.DUMMYFUNCTION("""COMPUTED_VALUE"""),"PR051")</f>
        <v>PR051</v>
      </c>
      <c r="B1290" s="1" t="str">
        <f>IFERROR(__xludf.DUMMYFUNCTION("""COMPUTED_VALUE"""),"VD046")</f>
        <v>VD046</v>
      </c>
      <c r="C1290" s="1">
        <f>IFERROR(__xludf.DUMMYFUNCTION("""COMPUTED_VALUE"""),6.0)</f>
        <v>6</v>
      </c>
      <c r="D1290" s="1">
        <f>IFERROR(__xludf.DUMMYFUNCTION("""COMPUTED_VALUE"""),213.19)</f>
        <v>213.19</v>
      </c>
    </row>
    <row r="1291">
      <c r="A1291" s="1" t="str">
        <f>IFERROR(__xludf.DUMMYFUNCTION("""COMPUTED_VALUE"""),"PR057")</f>
        <v>PR057</v>
      </c>
      <c r="B1291" s="1" t="str">
        <f>IFERROR(__xludf.DUMMYFUNCTION("""COMPUTED_VALUE"""),"VD017")</f>
        <v>VD017</v>
      </c>
      <c r="C1291" s="1">
        <f>IFERROR(__xludf.DUMMYFUNCTION("""COMPUTED_VALUE"""),5.0)</f>
        <v>5</v>
      </c>
      <c r="D1291" s="1">
        <f>IFERROR(__xludf.DUMMYFUNCTION("""COMPUTED_VALUE"""),454.0)</f>
        <v>454</v>
      </c>
    </row>
    <row r="1292">
      <c r="A1292" s="1" t="str">
        <f>IFERROR(__xludf.DUMMYFUNCTION("""COMPUTED_VALUE"""),"PR035")</f>
        <v>PR035</v>
      </c>
      <c r="B1292" s="1" t="str">
        <f>IFERROR(__xludf.DUMMYFUNCTION("""COMPUTED_VALUE"""),"VD017")</f>
        <v>VD017</v>
      </c>
      <c r="C1292" s="1">
        <f>IFERROR(__xludf.DUMMYFUNCTION("""COMPUTED_VALUE"""),12.0)</f>
        <v>12</v>
      </c>
      <c r="D1292" s="1">
        <f>IFERROR(__xludf.DUMMYFUNCTION("""COMPUTED_VALUE"""),1173.58)</f>
        <v>1173.58</v>
      </c>
    </row>
    <row r="1293">
      <c r="A1293" s="1" t="str">
        <f>IFERROR(__xludf.DUMMYFUNCTION("""COMPUTED_VALUE"""),"PR049")</f>
        <v>PR049</v>
      </c>
      <c r="B1293" s="1" t="str">
        <f>IFERROR(__xludf.DUMMYFUNCTION("""COMPUTED_VALUE"""),"VD023")</f>
        <v>VD023</v>
      </c>
      <c r="C1293" s="1">
        <f>IFERROR(__xludf.DUMMYFUNCTION("""COMPUTED_VALUE"""),9.0)</f>
        <v>9</v>
      </c>
      <c r="D1293" s="1">
        <f>IFERROR(__xludf.DUMMYFUNCTION("""COMPUTED_VALUE"""),302.02)</f>
        <v>302.02</v>
      </c>
    </row>
    <row r="1294">
      <c r="A1294" s="1" t="str">
        <f>IFERROR(__xludf.DUMMYFUNCTION("""COMPUTED_VALUE"""),"PR054")</f>
        <v>PR054</v>
      </c>
      <c r="B1294" s="1" t="str">
        <f>IFERROR(__xludf.DUMMYFUNCTION("""COMPUTED_VALUE"""),"VD036")</f>
        <v>VD036</v>
      </c>
      <c r="C1294" s="1">
        <f>IFERROR(__xludf.DUMMYFUNCTION("""COMPUTED_VALUE"""),18.0)</f>
        <v>18</v>
      </c>
      <c r="D1294" s="1">
        <f>IFERROR(__xludf.DUMMYFUNCTION("""COMPUTED_VALUE"""),952.09)</f>
        <v>952.09</v>
      </c>
    </row>
    <row r="1295">
      <c r="A1295" s="1" t="str">
        <f>IFERROR(__xludf.DUMMYFUNCTION("""COMPUTED_VALUE"""),"PR056")</f>
        <v>PR056</v>
      </c>
      <c r="B1295" s="1" t="str">
        <f>IFERROR(__xludf.DUMMYFUNCTION("""COMPUTED_VALUE"""),"VD032")</f>
        <v>VD032</v>
      </c>
      <c r="C1295" s="1">
        <f>IFERROR(__xludf.DUMMYFUNCTION("""COMPUTED_VALUE"""),2.0)</f>
        <v>2</v>
      </c>
      <c r="D1295" s="1">
        <f>IFERROR(__xludf.DUMMYFUNCTION("""COMPUTED_VALUE"""),188.79)</f>
        <v>188.79</v>
      </c>
    </row>
    <row r="1296">
      <c r="A1296" s="1" t="str">
        <f>IFERROR(__xludf.DUMMYFUNCTION("""COMPUTED_VALUE"""),"PR055")</f>
        <v>PR055</v>
      </c>
      <c r="B1296" s="1" t="str">
        <f>IFERROR(__xludf.DUMMYFUNCTION("""COMPUTED_VALUE"""),"VD025")</f>
        <v>VD025</v>
      </c>
      <c r="C1296" s="1">
        <f>IFERROR(__xludf.DUMMYFUNCTION("""COMPUTED_VALUE"""),1.0)</f>
        <v>1</v>
      </c>
      <c r="D1296" s="1">
        <f>IFERROR(__xludf.DUMMYFUNCTION("""COMPUTED_VALUE"""),89.9)</f>
        <v>89.9</v>
      </c>
    </row>
    <row r="1297">
      <c r="A1297" s="1" t="str">
        <f>IFERROR(__xludf.DUMMYFUNCTION("""COMPUTED_VALUE"""),"PR027")</f>
        <v>PR027</v>
      </c>
      <c r="B1297" s="1" t="str">
        <f>IFERROR(__xludf.DUMMYFUNCTION("""COMPUTED_VALUE"""),"VD021")</f>
        <v>VD021</v>
      </c>
      <c r="C1297" s="1">
        <f>IFERROR(__xludf.DUMMYFUNCTION("""COMPUTED_VALUE"""),12.0)</f>
        <v>12</v>
      </c>
      <c r="D1297" s="1">
        <f>IFERROR(__xludf.DUMMYFUNCTION("""COMPUTED_VALUE"""),1555.2)</f>
        <v>1555.2</v>
      </c>
    </row>
    <row r="1298">
      <c r="A1298" s="1" t="str">
        <f>IFERROR(__xludf.DUMMYFUNCTION("""COMPUTED_VALUE"""),"PR013")</f>
        <v>PR013</v>
      </c>
      <c r="B1298" s="1" t="str">
        <f>IFERROR(__xludf.DUMMYFUNCTION("""COMPUTED_VALUE"""),"VD044")</f>
        <v>VD044</v>
      </c>
      <c r="C1298" s="1">
        <f>IFERROR(__xludf.DUMMYFUNCTION("""COMPUTED_VALUE"""),4.0)</f>
        <v>4</v>
      </c>
      <c r="D1298" s="1">
        <f>IFERROR(__xludf.DUMMYFUNCTION("""COMPUTED_VALUE"""),173.96)</f>
        <v>173.96</v>
      </c>
    </row>
    <row r="1299">
      <c r="A1299" s="1" t="str">
        <f>IFERROR(__xludf.DUMMYFUNCTION("""COMPUTED_VALUE"""),"PR050")</f>
        <v>PR050</v>
      </c>
      <c r="B1299" s="1" t="str">
        <f>IFERROR(__xludf.DUMMYFUNCTION("""COMPUTED_VALUE"""),"VD024")</f>
        <v>VD024</v>
      </c>
      <c r="C1299" s="1">
        <f>IFERROR(__xludf.DUMMYFUNCTION("""COMPUTED_VALUE"""),9.0)</f>
        <v>9</v>
      </c>
      <c r="D1299" s="1">
        <f>IFERROR(__xludf.DUMMYFUNCTION("""COMPUTED_VALUE"""),310.91)</f>
        <v>310.91</v>
      </c>
    </row>
    <row r="1300">
      <c r="A1300" s="1" t="str">
        <f>IFERROR(__xludf.DUMMYFUNCTION("""COMPUTED_VALUE"""),"PR036")</f>
        <v>PR036</v>
      </c>
      <c r="B1300" s="1" t="str">
        <f>IFERROR(__xludf.DUMMYFUNCTION("""COMPUTED_VALUE"""),"VD016")</f>
        <v>VD016</v>
      </c>
      <c r="C1300" s="1">
        <f>IFERROR(__xludf.DUMMYFUNCTION("""COMPUTED_VALUE"""),6.0)</f>
        <v>6</v>
      </c>
      <c r="D1300" s="1">
        <f>IFERROR(__xludf.DUMMYFUNCTION("""COMPUTED_VALUE"""),566.61)</f>
        <v>566.61</v>
      </c>
    </row>
    <row r="1301">
      <c r="A1301" s="1" t="str">
        <f>IFERROR(__xludf.DUMMYFUNCTION("""COMPUTED_VALUE"""),"PR005")</f>
        <v>PR005</v>
      </c>
      <c r="B1301" s="1" t="str">
        <f>IFERROR(__xludf.DUMMYFUNCTION("""COMPUTED_VALUE"""),"VD028")</f>
        <v>VD028</v>
      </c>
      <c r="C1301" s="1">
        <f>IFERROR(__xludf.DUMMYFUNCTION("""COMPUTED_VALUE"""),10.0)</f>
        <v>10</v>
      </c>
      <c r="D1301" s="1">
        <f>IFERROR(__xludf.DUMMYFUNCTION("""COMPUTED_VALUE"""),2832.91)</f>
        <v>2832.91</v>
      </c>
    </row>
    <row r="1302">
      <c r="A1302" s="1" t="str">
        <f>IFERROR(__xludf.DUMMYFUNCTION("""COMPUTED_VALUE"""),"PR032")</f>
        <v>PR032</v>
      </c>
      <c r="B1302" s="1" t="str">
        <f>IFERROR(__xludf.DUMMYFUNCTION("""COMPUTED_VALUE"""),"VD035")</f>
        <v>VD035</v>
      </c>
      <c r="C1302" s="1">
        <f>IFERROR(__xludf.DUMMYFUNCTION("""COMPUTED_VALUE"""),6.0)</f>
        <v>6</v>
      </c>
      <c r="D1302" s="1">
        <f>IFERROR(__xludf.DUMMYFUNCTION("""COMPUTED_VALUE"""),1605.0)</f>
        <v>1605</v>
      </c>
    </row>
    <row r="1303">
      <c r="A1303" s="1" t="str">
        <f>IFERROR(__xludf.DUMMYFUNCTION("""COMPUTED_VALUE"""),"PR002")</f>
        <v>PR002</v>
      </c>
      <c r="B1303" s="1" t="str">
        <f>IFERROR(__xludf.DUMMYFUNCTION("""COMPUTED_VALUE"""),"VD012")</f>
        <v>VD012</v>
      </c>
      <c r="C1303" s="1">
        <f>IFERROR(__xludf.DUMMYFUNCTION("""COMPUTED_VALUE"""),14.0)</f>
        <v>14</v>
      </c>
      <c r="D1303" s="1">
        <f>IFERROR(__xludf.DUMMYFUNCTION("""COMPUTED_VALUE"""),1037.32)</f>
        <v>1037.32</v>
      </c>
    </row>
    <row r="1304">
      <c r="A1304" s="1" t="str">
        <f>IFERROR(__xludf.DUMMYFUNCTION("""COMPUTED_VALUE"""),"PR015")</f>
        <v>PR015</v>
      </c>
      <c r="B1304" s="1" t="str">
        <f>IFERROR(__xludf.DUMMYFUNCTION("""COMPUTED_VALUE"""),"VD032")</f>
        <v>VD032</v>
      </c>
      <c r="C1304" s="1">
        <f>IFERROR(__xludf.DUMMYFUNCTION("""COMPUTED_VALUE"""),10.0)</f>
        <v>10</v>
      </c>
      <c r="D1304" s="1">
        <f>IFERROR(__xludf.DUMMYFUNCTION("""COMPUTED_VALUE"""),437.75)</f>
        <v>437.75</v>
      </c>
    </row>
    <row r="1305">
      <c r="A1305" s="1" t="str">
        <f>IFERROR(__xludf.DUMMYFUNCTION("""COMPUTED_VALUE"""),"PR038")</f>
        <v>PR038</v>
      </c>
      <c r="B1305" s="1" t="str">
        <f>IFERROR(__xludf.DUMMYFUNCTION("""COMPUTED_VALUE"""),"VD021")</f>
        <v>VD021</v>
      </c>
      <c r="C1305" s="1">
        <f>IFERROR(__xludf.DUMMYFUNCTION("""COMPUTED_VALUE"""),4.0)</f>
        <v>4</v>
      </c>
      <c r="D1305" s="1">
        <f>IFERROR(__xludf.DUMMYFUNCTION("""COMPUTED_VALUE"""),571.6)</f>
        <v>571.6</v>
      </c>
    </row>
    <row r="1306">
      <c r="A1306" s="1" t="str">
        <f>IFERROR(__xludf.DUMMYFUNCTION("""COMPUTED_VALUE"""),"PR043")</f>
        <v>PR043</v>
      </c>
      <c r="B1306" s="1" t="str">
        <f>IFERROR(__xludf.DUMMYFUNCTION("""COMPUTED_VALUE"""),"VD040")</f>
        <v>VD040</v>
      </c>
      <c r="C1306" s="1">
        <f>IFERROR(__xludf.DUMMYFUNCTION("""COMPUTED_VALUE"""),8.0)</f>
        <v>8</v>
      </c>
      <c r="D1306" s="1">
        <f>IFERROR(__xludf.DUMMYFUNCTION("""COMPUTED_VALUE"""),580.0)</f>
        <v>580</v>
      </c>
    </row>
    <row r="1307">
      <c r="A1307" s="1" t="str">
        <f>IFERROR(__xludf.DUMMYFUNCTION("""COMPUTED_VALUE"""),"PR060")</f>
        <v>PR060</v>
      </c>
      <c r="B1307" s="1" t="str">
        <f>IFERROR(__xludf.DUMMYFUNCTION("""COMPUTED_VALUE"""),"VD035")</f>
        <v>VD035</v>
      </c>
      <c r="C1307" s="1">
        <f>IFERROR(__xludf.DUMMYFUNCTION("""COMPUTED_VALUE"""),8.0)</f>
        <v>8</v>
      </c>
      <c r="D1307" s="1">
        <f>IFERROR(__xludf.DUMMYFUNCTION("""COMPUTED_VALUE"""),1440.0)</f>
        <v>1440</v>
      </c>
    </row>
    <row r="1308">
      <c r="A1308" s="1" t="str">
        <f>IFERROR(__xludf.DUMMYFUNCTION("""COMPUTED_VALUE"""),"PR056")</f>
        <v>PR056</v>
      </c>
      <c r="B1308" s="1" t="str">
        <f>IFERROR(__xludf.DUMMYFUNCTION("""COMPUTED_VALUE"""),"VD045")</f>
        <v>VD045</v>
      </c>
      <c r="C1308" s="1">
        <f>IFERROR(__xludf.DUMMYFUNCTION("""COMPUTED_VALUE"""),6.0)</f>
        <v>6</v>
      </c>
      <c r="D1308" s="1">
        <f>IFERROR(__xludf.DUMMYFUNCTION("""COMPUTED_VALUE"""),560.98)</f>
        <v>560.98</v>
      </c>
    </row>
    <row r="1309">
      <c r="A1309" s="1" t="str">
        <f>IFERROR(__xludf.DUMMYFUNCTION("""COMPUTED_VALUE"""),"PR053")</f>
        <v>PR053</v>
      </c>
      <c r="B1309" s="1" t="str">
        <f>IFERROR(__xludf.DUMMYFUNCTION("""COMPUTED_VALUE"""),"VD028")</f>
        <v>VD028</v>
      </c>
      <c r="C1309" s="1">
        <f>IFERROR(__xludf.DUMMYFUNCTION("""COMPUTED_VALUE"""),6.0)</f>
        <v>6</v>
      </c>
      <c r="D1309" s="1">
        <f>IFERROR(__xludf.DUMMYFUNCTION("""COMPUTED_VALUE"""),311.38)</f>
        <v>311.38</v>
      </c>
    </row>
    <row r="1310">
      <c r="A1310" s="1" t="str">
        <f>IFERROR(__xludf.DUMMYFUNCTION("""COMPUTED_VALUE"""),"PR015")</f>
        <v>PR015</v>
      </c>
      <c r="B1310" s="1" t="str">
        <f>IFERROR(__xludf.DUMMYFUNCTION("""COMPUTED_VALUE"""),"VD037")</f>
        <v>VD037</v>
      </c>
      <c r="C1310" s="1">
        <f>IFERROR(__xludf.DUMMYFUNCTION("""COMPUTED_VALUE"""),2.0)</f>
        <v>2</v>
      </c>
      <c r="D1310" s="1">
        <f>IFERROR(__xludf.DUMMYFUNCTION("""COMPUTED_VALUE"""),85.0)</f>
        <v>85</v>
      </c>
    </row>
    <row r="1311">
      <c r="A1311" s="1" t="str">
        <f>IFERROR(__xludf.DUMMYFUNCTION("""COMPUTED_VALUE"""),"PR044")</f>
        <v>PR044</v>
      </c>
      <c r="B1311" s="1" t="str">
        <f>IFERROR(__xludf.DUMMYFUNCTION("""COMPUTED_VALUE"""),"VD043")</f>
        <v>VD043</v>
      </c>
      <c r="C1311" s="1">
        <f>IFERROR(__xludf.DUMMYFUNCTION("""COMPUTED_VALUE"""),4.0)</f>
        <v>4</v>
      </c>
      <c r="D1311" s="1">
        <f>IFERROR(__xludf.DUMMYFUNCTION("""COMPUTED_VALUE"""),310.3)</f>
        <v>310.3</v>
      </c>
    </row>
    <row r="1312">
      <c r="A1312" s="1" t="str">
        <f>IFERROR(__xludf.DUMMYFUNCTION("""COMPUTED_VALUE"""),"PR058")</f>
        <v>PR058</v>
      </c>
      <c r="B1312" s="1" t="str">
        <f>IFERROR(__xludf.DUMMYFUNCTION("""COMPUTED_VALUE"""),"VD013")</f>
        <v>VD013</v>
      </c>
      <c r="C1312" s="1">
        <f>IFERROR(__xludf.DUMMYFUNCTION("""COMPUTED_VALUE"""),5.0)</f>
        <v>5</v>
      </c>
      <c r="D1312" s="1">
        <f>IFERROR(__xludf.DUMMYFUNCTION("""COMPUTED_VALUE"""),954.0)</f>
        <v>954</v>
      </c>
    </row>
    <row r="1313">
      <c r="A1313" s="1" t="str">
        <f>IFERROR(__xludf.DUMMYFUNCTION("""COMPUTED_VALUE"""),"PR006")</f>
        <v>PR006</v>
      </c>
      <c r="B1313" s="1" t="str">
        <f>IFERROR(__xludf.DUMMYFUNCTION("""COMPUTED_VALUE"""),"VD016")</f>
        <v>VD016</v>
      </c>
      <c r="C1313" s="1">
        <f>IFERROR(__xludf.DUMMYFUNCTION("""COMPUTED_VALUE"""),7.0)</f>
        <v>7</v>
      </c>
      <c r="D1313" s="1">
        <f>IFERROR(__xludf.DUMMYFUNCTION("""COMPUTED_VALUE"""),296.06)</f>
        <v>296.06</v>
      </c>
    </row>
    <row r="1314">
      <c r="A1314" s="1" t="str">
        <f>IFERROR(__xludf.DUMMYFUNCTION("""COMPUTED_VALUE"""),"PR023")</f>
        <v>PR023</v>
      </c>
      <c r="B1314" s="1" t="str">
        <f>IFERROR(__xludf.DUMMYFUNCTION("""COMPUTED_VALUE"""),"VD021")</f>
        <v>VD021</v>
      </c>
      <c r="C1314" s="1">
        <f>IFERROR(__xludf.DUMMYFUNCTION("""COMPUTED_VALUE"""),14.0)</f>
        <v>14</v>
      </c>
      <c r="D1314" s="1">
        <f>IFERROR(__xludf.DUMMYFUNCTION("""COMPUTED_VALUE"""),3638.54)</f>
        <v>3638.54</v>
      </c>
    </row>
    <row r="1315">
      <c r="A1315" s="1" t="str">
        <f>IFERROR(__xludf.DUMMYFUNCTION("""COMPUTED_VALUE"""),"PR055")</f>
        <v>PR055</v>
      </c>
      <c r="B1315" s="1" t="str">
        <f>IFERROR(__xludf.DUMMYFUNCTION("""COMPUTED_VALUE"""),"VD038")</f>
        <v>VD038</v>
      </c>
      <c r="C1315" s="1">
        <f>IFERROR(__xludf.DUMMYFUNCTION("""COMPUTED_VALUE"""),5.0)</f>
        <v>5</v>
      </c>
      <c r="D1315" s="1">
        <f>IFERROR(__xludf.DUMMYFUNCTION("""COMPUTED_VALUE"""),449.5)</f>
        <v>449.5</v>
      </c>
    </row>
    <row r="1316">
      <c r="A1316" s="1" t="str">
        <f>IFERROR(__xludf.DUMMYFUNCTION("""COMPUTED_VALUE"""),"PR006")</f>
        <v>PR006</v>
      </c>
      <c r="B1316" s="1" t="str">
        <f>IFERROR(__xludf.DUMMYFUNCTION("""COMPUTED_VALUE"""),"VD046")</f>
        <v>VD046</v>
      </c>
      <c r="C1316" s="1">
        <f>IFERROR(__xludf.DUMMYFUNCTION("""COMPUTED_VALUE"""),7.0)</f>
        <v>7</v>
      </c>
      <c r="D1316" s="1">
        <f>IFERROR(__xludf.DUMMYFUNCTION("""COMPUTED_VALUE"""),293.27)</f>
        <v>293.27</v>
      </c>
    </row>
    <row r="1317">
      <c r="A1317" s="1" t="str">
        <f>IFERROR(__xludf.DUMMYFUNCTION("""COMPUTED_VALUE"""),"PR033")</f>
        <v>PR033</v>
      </c>
      <c r="B1317" s="1" t="str">
        <f>IFERROR(__xludf.DUMMYFUNCTION("""COMPUTED_VALUE"""),"VD049")</f>
        <v>VD049</v>
      </c>
      <c r="C1317" s="1">
        <f>IFERROR(__xludf.DUMMYFUNCTION("""COMPUTED_VALUE"""),8.0)</f>
        <v>8</v>
      </c>
      <c r="D1317" s="1">
        <f>IFERROR(__xludf.DUMMYFUNCTION("""COMPUTED_VALUE"""),2287.12)</f>
        <v>2287.12</v>
      </c>
    </row>
    <row r="1318">
      <c r="A1318" s="1" t="str">
        <f>IFERROR(__xludf.DUMMYFUNCTION("""COMPUTED_VALUE"""),"PR028")</f>
        <v>PR028</v>
      </c>
      <c r="B1318" s="1" t="str">
        <f>IFERROR(__xludf.DUMMYFUNCTION("""COMPUTED_VALUE"""),"VD039")</f>
        <v>VD039</v>
      </c>
      <c r="C1318" s="1">
        <f>IFERROR(__xludf.DUMMYFUNCTION("""COMPUTED_VALUE"""),8.0)</f>
        <v>8</v>
      </c>
      <c r="D1318" s="1">
        <f>IFERROR(__xludf.DUMMYFUNCTION("""COMPUTED_VALUE"""),2119.15)</f>
        <v>2119.15</v>
      </c>
    </row>
    <row r="1319">
      <c r="A1319" s="1" t="str">
        <f>IFERROR(__xludf.DUMMYFUNCTION("""COMPUTED_VALUE"""),"PR047")</f>
        <v>PR047</v>
      </c>
      <c r="B1319" s="1" t="str">
        <f>IFERROR(__xludf.DUMMYFUNCTION("""COMPUTED_VALUE"""),"VD049")</f>
        <v>VD049</v>
      </c>
      <c r="C1319" s="1">
        <f>IFERROR(__xludf.DUMMYFUNCTION("""COMPUTED_VALUE"""),2.0)</f>
        <v>2</v>
      </c>
      <c r="D1319" s="1">
        <f>IFERROR(__xludf.DUMMYFUNCTION("""COMPUTED_VALUE"""),608.79)</f>
        <v>608.79</v>
      </c>
    </row>
    <row r="1320">
      <c r="A1320" s="1" t="str">
        <f>IFERROR(__xludf.DUMMYFUNCTION("""COMPUTED_VALUE"""),"PR030")</f>
        <v>PR030</v>
      </c>
      <c r="B1320" s="1" t="str">
        <f>IFERROR(__xludf.DUMMYFUNCTION("""COMPUTED_VALUE"""),"VD040")</f>
        <v>VD040</v>
      </c>
      <c r="C1320" s="1">
        <f>IFERROR(__xludf.DUMMYFUNCTION("""COMPUTED_VALUE"""),10.0)</f>
        <v>10</v>
      </c>
      <c r="D1320" s="1">
        <f>IFERROR(__xludf.DUMMYFUNCTION("""COMPUTED_VALUE"""),2728.95)</f>
        <v>2728.95</v>
      </c>
    </row>
    <row r="1321">
      <c r="A1321" s="1" t="str">
        <f>IFERROR(__xludf.DUMMYFUNCTION("""COMPUTED_VALUE"""),"PR017")</f>
        <v>PR017</v>
      </c>
      <c r="B1321" s="1" t="str">
        <f>IFERROR(__xludf.DUMMYFUNCTION("""COMPUTED_VALUE"""),"VD043")</f>
        <v>VD043</v>
      </c>
      <c r="C1321" s="1">
        <f>IFERROR(__xludf.DUMMYFUNCTION("""COMPUTED_VALUE"""),2.0)</f>
        <v>2</v>
      </c>
      <c r="D1321" s="1">
        <f>IFERROR(__xludf.DUMMYFUNCTION("""COMPUTED_VALUE"""),61.59)</f>
        <v>61.59</v>
      </c>
    </row>
    <row r="1322">
      <c r="A1322" s="1" t="str">
        <f>IFERROR(__xludf.DUMMYFUNCTION("""COMPUTED_VALUE"""),"PR018")</f>
        <v>PR018</v>
      </c>
      <c r="B1322" s="1" t="str">
        <f>IFERROR(__xludf.DUMMYFUNCTION("""COMPUTED_VALUE"""),"VD012")</f>
        <v>VD012</v>
      </c>
      <c r="C1322" s="1">
        <f>IFERROR(__xludf.DUMMYFUNCTION("""COMPUTED_VALUE"""),16.0)</f>
        <v>16</v>
      </c>
      <c r="D1322" s="1">
        <f>IFERROR(__xludf.DUMMYFUNCTION("""COMPUTED_VALUE"""),536.93)</f>
        <v>536.93</v>
      </c>
    </row>
    <row r="1323">
      <c r="A1323" s="1" t="str">
        <f>IFERROR(__xludf.DUMMYFUNCTION("""COMPUTED_VALUE"""),"PR044")</f>
        <v>PR044</v>
      </c>
      <c r="B1323" s="1" t="str">
        <f>IFERROR(__xludf.DUMMYFUNCTION("""COMPUTED_VALUE"""),"VD023")</f>
        <v>VD023</v>
      </c>
      <c r="C1323" s="1">
        <f>IFERROR(__xludf.DUMMYFUNCTION("""COMPUTED_VALUE"""),10.0)</f>
        <v>10</v>
      </c>
      <c r="D1323" s="1">
        <f>IFERROR(__xludf.DUMMYFUNCTION("""COMPUTED_VALUE"""),768.5)</f>
        <v>768.5</v>
      </c>
    </row>
    <row r="1324">
      <c r="A1324" s="1" t="str">
        <f>IFERROR(__xludf.DUMMYFUNCTION("""COMPUTED_VALUE"""),"PR053")</f>
        <v>PR053</v>
      </c>
      <c r="B1324" s="1" t="str">
        <f>IFERROR(__xludf.DUMMYFUNCTION("""COMPUTED_VALUE"""),"VD029")</f>
        <v>VD029</v>
      </c>
      <c r="C1324" s="1">
        <f>IFERROR(__xludf.DUMMYFUNCTION("""COMPUTED_VALUE"""),12.0)</f>
        <v>12</v>
      </c>
      <c r="D1324" s="1">
        <f>IFERROR(__xludf.DUMMYFUNCTION("""COMPUTED_VALUE"""),628.74)</f>
        <v>628.74</v>
      </c>
    </row>
    <row r="1325">
      <c r="A1325" s="1" t="str">
        <f>IFERROR(__xludf.DUMMYFUNCTION("""COMPUTED_VALUE"""),"PR025")</f>
        <v>PR025</v>
      </c>
      <c r="B1325" s="1" t="str">
        <f>IFERROR(__xludf.DUMMYFUNCTION("""COMPUTED_VALUE"""),"VD015")</f>
        <v>VD015</v>
      </c>
      <c r="C1325" s="1">
        <f>IFERROR(__xludf.DUMMYFUNCTION("""COMPUTED_VALUE"""),7.0)</f>
        <v>7</v>
      </c>
      <c r="D1325" s="1">
        <f>IFERROR(__xludf.DUMMYFUNCTION("""COMPUTED_VALUE"""),2183.27)</f>
        <v>2183.27</v>
      </c>
    </row>
    <row r="1326">
      <c r="A1326" s="1" t="str">
        <f>IFERROR(__xludf.DUMMYFUNCTION("""COMPUTED_VALUE"""),"PR021")</f>
        <v>PR021</v>
      </c>
      <c r="B1326" s="1" t="str">
        <f>IFERROR(__xludf.DUMMYFUNCTION("""COMPUTED_VALUE"""),"VD030")</f>
        <v>VD030</v>
      </c>
      <c r="C1326" s="1">
        <f>IFERROR(__xludf.DUMMYFUNCTION("""COMPUTED_VALUE"""),18.0)</f>
        <v>18</v>
      </c>
      <c r="D1326" s="1">
        <f>IFERROR(__xludf.DUMMYFUNCTION("""COMPUTED_VALUE"""),5670.29)</f>
        <v>5670.29</v>
      </c>
    </row>
    <row r="1327">
      <c r="A1327" s="1" t="str">
        <f>IFERROR(__xludf.DUMMYFUNCTION("""COMPUTED_VALUE"""),"PR054")</f>
        <v>PR054</v>
      </c>
      <c r="B1327" s="1" t="str">
        <f>IFERROR(__xludf.DUMMYFUNCTION("""COMPUTED_VALUE"""),"VD026")</f>
        <v>VD026</v>
      </c>
      <c r="C1327" s="1">
        <f>IFERROR(__xludf.DUMMYFUNCTION("""COMPUTED_VALUE"""),10.0)</f>
        <v>10</v>
      </c>
      <c r="D1327" s="1">
        <f>IFERROR(__xludf.DUMMYFUNCTION("""COMPUTED_VALUE"""),523.95)</f>
        <v>523.95</v>
      </c>
    </row>
    <row r="1328">
      <c r="A1328" s="1" t="str">
        <f>IFERROR(__xludf.DUMMYFUNCTION("""COMPUTED_VALUE"""),"PR002")</f>
        <v>PR002</v>
      </c>
      <c r="B1328" s="1" t="str">
        <f>IFERROR(__xludf.DUMMYFUNCTION("""COMPUTED_VALUE"""),"VD019")</f>
        <v>VD019</v>
      </c>
      <c r="C1328" s="1">
        <f>IFERROR(__xludf.DUMMYFUNCTION("""COMPUTED_VALUE"""),2.0)</f>
        <v>2</v>
      </c>
      <c r="D1328" s="1">
        <f>IFERROR(__xludf.DUMMYFUNCTION("""COMPUTED_VALUE"""),153.78)</f>
        <v>153.78</v>
      </c>
    </row>
    <row r="1329">
      <c r="A1329" s="1" t="str">
        <f>IFERROR(__xludf.DUMMYFUNCTION("""COMPUTED_VALUE"""),"PR022")</f>
        <v>PR022</v>
      </c>
      <c r="B1329" s="1" t="str">
        <f>IFERROR(__xludf.DUMMYFUNCTION("""COMPUTED_VALUE"""),"VD029")</f>
        <v>VD029</v>
      </c>
      <c r="C1329" s="1">
        <f>IFERROR(__xludf.DUMMYFUNCTION("""COMPUTED_VALUE"""),6.0)</f>
        <v>6</v>
      </c>
      <c r="D1329" s="1">
        <f>IFERROR(__xludf.DUMMYFUNCTION("""COMPUTED_VALUE"""),1980.0)</f>
        <v>1980</v>
      </c>
    </row>
    <row r="1330">
      <c r="A1330" s="1" t="str">
        <f>IFERROR(__xludf.DUMMYFUNCTION("""COMPUTED_VALUE"""),"PR058")</f>
        <v>PR058</v>
      </c>
      <c r="B1330" s="1" t="str">
        <f>IFERROR(__xludf.DUMMYFUNCTION("""COMPUTED_VALUE"""),"VD024")</f>
        <v>VD024</v>
      </c>
      <c r="C1330" s="1">
        <f>IFERROR(__xludf.DUMMYFUNCTION("""COMPUTED_VALUE"""),5.0)</f>
        <v>5</v>
      </c>
      <c r="D1330" s="1">
        <f>IFERROR(__xludf.DUMMYFUNCTION("""COMPUTED_VALUE"""),954.0)</f>
        <v>954</v>
      </c>
    </row>
    <row r="1331">
      <c r="A1331" s="1" t="str">
        <f>IFERROR(__xludf.DUMMYFUNCTION("""COMPUTED_VALUE"""),"PR055")</f>
        <v>PR055</v>
      </c>
      <c r="B1331" s="1" t="str">
        <f>IFERROR(__xludf.DUMMYFUNCTION("""COMPUTED_VALUE"""),"VD044")</f>
        <v>VD044</v>
      </c>
      <c r="C1331" s="1">
        <f>IFERROR(__xludf.DUMMYFUNCTION("""COMPUTED_VALUE"""),10.0)</f>
        <v>10</v>
      </c>
      <c r="D1331" s="1">
        <f>IFERROR(__xludf.DUMMYFUNCTION("""COMPUTED_VALUE"""),970.92)</f>
        <v>970.92</v>
      </c>
    </row>
    <row r="1332">
      <c r="A1332" s="1" t="str">
        <f>IFERROR(__xludf.DUMMYFUNCTION("""COMPUTED_VALUE"""),"PR027")</f>
        <v>PR027</v>
      </c>
      <c r="B1332" s="1" t="str">
        <f>IFERROR(__xludf.DUMMYFUNCTION("""COMPUTED_VALUE"""),"VD018")</f>
        <v>VD018</v>
      </c>
      <c r="C1332" s="1">
        <f>IFERROR(__xludf.DUMMYFUNCTION("""COMPUTED_VALUE"""),4.0)</f>
        <v>4</v>
      </c>
      <c r="D1332" s="1">
        <f>IFERROR(__xludf.DUMMYFUNCTION("""COMPUTED_VALUE"""),480.0)</f>
        <v>480</v>
      </c>
    </row>
    <row r="1333">
      <c r="A1333" s="1" t="str">
        <f>IFERROR(__xludf.DUMMYFUNCTION("""COMPUTED_VALUE"""),"PR031")</f>
        <v>PR031</v>
      </c>
      <c r="B1333" s="1" t="str">
        <f>IFERROR(__xludf.DUMMYFUNCTION("""COMPUTED_VALUE"""),"VD046")</f>
        <v>VD046</v>
      </c>
      <c r="C1333" s="1">
        <f>IFERROR(__xludf.DUMMYFUNCTION("""COMPUTED_VALUE"""),5.0)</f>
        <v>5</v>
      </c>
      <c r="D1333" s="1">
        <f>IFERROR(__xludf.DUMMYFUNCTION("""COMPUTED_VALUE"""),1249.5)</f>
        <v>1249.5</v>
      </c>
    </row>
    <row r="1334">
      <c r="A1334" s="1" t="str">
        <f>IFERROR(__xludf.DUMMYFUNCTION("""COMPUTED_VALUE"""),"PR021")</f>
        <v>PR021</v>
      </c>
      <c r="B1334" s="1" t="str">
        <f>IFERROR(__xludf.DUMMYFUNCTION("""COMPUTED_VALUE"""),"VD019")</f>
        <v>VD019</v>
      </c>
      <c r="C1334" s="1">
        <f>IFERROR(__xludf.DUMMYFUNCTION("""COMPUTED_VALUE"""),20.0)</f>
        <v>20</v>
      </c>
      <c r="D1334" s="1">
        <f>IFERROR(__xludf.DUMMYFUNCTION("""COMPUTED_VALUE"""),6300.32)</f>
        <v>6300.32</v>
      </c>
    </row>
    <row r="1335">
      <c r="A1335" s="1" t="str">
        <f>IFERROR(__xludf.DUMMYFUNCTION("""COMPUTED_VALUE"""),"PR001")</f>
        <v>PR001</v>
      </c>
      <c r="B1335" s="1" t="str">
        <f>IFERROR(__xludf.DUMMYFUNCTION("""COMPUTED_VALUE"""),"VD029")</f>
        <v>VD029</v>
      </c>
      <c r="C1335" s="1">
        <f>IFERROR(__xludf.DUMMYFUNCTION("""COMPUTED_VALUE"""),2.0)</f>
        <v>2</v>
      </c>
      <c r="D1335" s="1">
        <f>IFERROR(__xludf.DUMMYFUNCTION("""COMPUTED_VALUE"""),135.75)</f>
        <v>135.75</v>
      </c>
    </row>
    <row r="1336">
      <c r="A1336" s="1" t="str">
        <f>IFERROR(__xludf.DUMMYFUNCTION("""COMPUTED_VALUE"""),"PR055")</f>
        <v>PR055</v>
      </c>
      <c r="B1336" s="1" t="str">
        <f>IFERROR(__xludf.DUMMYFUNCTION("""COMPUTED_VALUE"""),"VD043")</f>
        <v>VD043</v>
      </c>
      <c r="C1336" s="1">
        <f>IFERROR(__xludf.DUMMYFUNCTION("""COMPUTED_VALUE"""),4.0)</f>
        <v>4</v>
      </c>
      <c r="D1336" s="1">
        <f>IFERROR(__xludf.DUMMYFUNCTION("""COMPUTED_VALUE"""),377.58)</f>
        <v>377.58</v>
      </c>
    </row>
    <row r="1337">
      <c r="A1337" s="1" t="str">
        <f>IFERROR(__xludf.DUMMYFUNCTION("""COMPUTED_VALUE"""),"PR053")</f>
        <v>PR053</v>
      </c>
      <c r="B1337" s="1" t="str">
        <f>IFERROR(__xludf.DUMMYFUNCTION("""COMPUTED_VALUE"""),"VD033")</f>
        <v>VD033</v>
      </c>
      <c r="C1337" s="1">
        <f>IFERROR(__xludf.DUMMYFUNCTION("""COMPUTED_VALUE"""),3.0)</f>
        <v>3</v>
      </c>
      <c r="D1337" s="1">
        <f>IFERROR(__xludf.DUMMYFUNCTION("""COMPUTED_VALUE"""),164.67)</f>
        <v>164.67</v>
      </c>
    </row>
    <row r="1338">
      <c r="A1338" s="1" t="str">
        <f>IFERROR(__xludf.DUMMYFUNCTION("""COMPUTED_VALUE"""),"PR024")</f>
        <v>PR024</v>
      </c>
      <c r="B1338" s="1" t="str">
        <f>IFERROR(__xludf.DUMMYFUNCTION("""COMPUTED_VALUE"""),"VD032")</f>
        <v>VD032</v>
      </c>
      <c r="C1338" s="1">
        <f>IFERROR(__xludf.DUMMYFUNCTION("""COMPUTED_VALUE"""),8.0)</f>
        <v>8</v>
      </c>
      <c r="D1338" s="1">
        <f>IFERROR(__xludf.DUMMYFUNCTION("""COMPUTED_VALUE"""),2183.16)</f>
        <v>2183.16</v>
      </c>
    </row>
    <row r="1339">
      <c r="A1339" s="1" t="str">
        <f>IFERROR(__xludf.DUMMYFUNCTION("""COMPUTED_VALUE"""),"PR042")</f>
        <v>PR042</v>
      </c>
      <c r="B1339" s="1" t="str">
        <f>IFERROR(__xludf.DUMMYFUNCTION("""COMPUTED_VALUE"""),"VD041")</f>
        <v>VD041</v>
      </c>
      <c r="C1339" s="1">
        <f>IFERROR(__xludf.DUMMYFUNCTION("""COMPUTED_VALUE"""),16.0)</f>
        <v>16</v>
      </c>
      <c r="D1339" s="1">
        <f>IFERROR(__xludf.DUMMYFUNCTION("""COMPUTED_VALUE"""),931.1)</f>
        <v>931.1</v>
      </c>
    </row>
    <row r="1340">
      <c r="A1340" s="1" t="str">
        <f>IFERROR(__xludf.DUMMYFUNCTION("""COMPUTED_VALUE"""),"PR021")</f>
        <v>PR021</v>
      </c>
      <c r="B1340" s="1" t="str">
        <f>IFERROR(__xludf.DUMMYFUNCTION("""COMPUTED_VALUE"""),"VD032")</f>
        <v>VD032</v>
      </c>
      <c r="C1340" s="1">
        <f>IFERROR(__xludf.DUMMYFUNCTION("""COMPUTED_VALUE"""),14.0)</f>
        <v>14</v>
      </c>
      <c r="D1340" s="1">
        <f>IFERROR(__xludf.DUMMYFUNCTION("""COMPUTED_VALUE"""),4240.6)</f>
        <v>4240.6</v>
      </c>
    </row>
    <row r="1341">
      <c r="A1341" s="1" t="str">
        <f>IFERROR(__xludf.DUMMYFUNCTION("""COMPUTED_VALUE"""),"PR056")</f>
        <v>PR056</v>
      </c>
      <c r="B1341" s="1" t="str">
        <f>IFERROR(__xludf.DUMMYFUNCTION("""COMPUTED_VALUE"""),"VD016")</f>
        <v>VD016</v>
      </c>
      <c r="C1341" s="1">
        <f>IFERROR(__xludf.DUMMYFUNCTION("""COMPUTED_VALUE"""),12.0)</f>
        <v>12</v>
      </c>
      <c r="D1341" s="1">
        <f>IFERROR(__xludf.DUMMYFUNCTION("""COMPUTED_VALUE"""),1175.89)</f>
        <v>1175.89</v>
      </c>
    </row>
    <row r="1342">
      <c r="A1342" s="1" t="str">
        <f>IFERROR(__xludf.DUMMYFUNCTION("""COMPUTED_VALUE"""),"PR006")</f>
        <v>PR006</v>
      </c>
      <c r="B1342" s="1" t="str">
        <f>IFERROR(__xludf.DUMMYFUNCTION("""COMPUTED_VALUE"""),"VD012")</f>
        <v>VD012</v>
      </c>
      <c r="C1342" s="1">
        <f>IFERROR(__xludf.DUMMYFUNCTION("""COMPUTED_VALUE"""),14.0)</f>
        <v>14</v>
      </c>
      <c r="D1342" s="1">
        <f>IFERROR(__xludf.DUMMYFUNCTION("""COMPUTED_VALUE"""),592.12)</f>
        <v>592.12</v>
      </c>
    </row>
    <row r="1343">
      <c r="A1343" s="1" t="str">
        <f>IFERROR(__xludf.DUMMYFUNCTION("""COMPUTED_VALUE"""),"PR029")</f>
        <v>PR029</v>
      </c>
      <c r="B1343" s="1" t="str">
        <f>IFERROR(__xludf.DUMMYFUNCTION("""COMPUTED_VALUE"""),"VD043")</f>
        <v>VD043</v>
      </c>
      <c r="C1343" s="1">
        <f>IFERROR(__xludf.DUMMYFUNCTION("""COMPUTED_VALUE"""),2.0)</f>
        <v>2</v>
      </c>
      <c r="D1343" s="1">
        <f>IFERROR(__xludf.DUMMYFUNCTION("""COMPUTED_VALUE"""),515.1)</f>
        <v>515.1</v>
      </c>
    </row>
    <row r="1344">
      <c r="A1344" s="1" t="str">
        <f>IFERROR(__xludf.DUMMYFUNCTION("""COMPUTED_VALUE"""),"PR037")</f>
        <v>PR037</v>
      </c>
      <c r="B1344" s="1" t="str">
        <f>IFERROR(__xludf.DUMMYFUNCTION("""COMPUTED_VALUE"""),"VD039")</f>
        <v>VD039</v>
      </c>
      <c r="C1344" s="1">
        <f>IFERROR(__xludf.DUMMYFUNCTION("""COMPUTED_VALUE"""),9.0)</f>
        <v>9</v>
      </c>
      <c r="D1344" s="1">
        <f>IFERROR(__xludf.DUMMYFUNCTION("""COMPUTED_VALUE"""),1335.6)</f>
        <v>1335.6</v>
      </c>
    </row>
    <row r="1345">
      <c r="A1345" s="1" t="str">
        <f>IFERROR(__xludf.DUMMYFUNCTION("""COMPUTED_VALUE"""),"PR028")</f>
        <v>PR028</v>
      </c>
      <c r="B1345" s="1" t="str">
        <f>IFERROR(__xludf.DUMMYFUNCTION("""COMPUTED_VALUE"""),"VD040")</f>
        <v>VD040</v>
      </c>
      <c r="C1345" s="1">
        <f>IFERROR(__xludf.DUMMYFUNCTION("""COMPUTED_VALUE"""),2.0)</f>
        <v>2</v>
      </c>
      <c r="D1345" s="1">
        <f>IFERROR(__xludf.DUMMYFUNCTION("""COMPUTED_VALUE"""),499.8)</f>
        <v>499.8</v>
      </c>
    </row>
    <row r="1346">
      <c r="A1346" s="1" t="str">
        <f>IFERROR(__xludf.DUMMYFUNCTION("""COMPUTED_VALUE"""),"PR054")</f>
        <v>PR054</v>
      </c>
      <c r="B1346" s="1" t="str">
        <f>IFERROR(__xludf.DUMMYFUNCTION("""COMPUTED_VALUE"""),"VD012")</f>
        <v>VD012</v>
      </c>
      <c r="C1346" s="1">
        <f>IFERROR(__xludf.DUMMYFUNCTION("""COMPUTED_VALUE"""),18.0)</f>
        <v>18</v>
      </c>
      <c r="D1346" s="1">
        <f>IFERROR(__xludf.DUMMYFUNCTION("""COMPUTED_VALUE"""),961.07)</f>
        <v>961.07</v>
      </c>
    </row>
    <row r="1347">
      <c r="A1347" s="1" t="str">
        <f>IFERROR(__xludf.DUMMYFUNCTION("""COMPUTED_VALUE"""),"PR023")</f>
        <v>PR023</v>
      </c>
      <c r="B1347" s="1" t="str">
        <f>IFERROR(__xludf.DUMMYFUNCTION("""COMPUTED_VALUE"""),"VD036")</f>
        <v>VD036</v>
      </c>
      <c r="C1347" s="1">
        <f>IFERROR(__xludf.DUMMYFUNCTION("""COMPUTED_VALUE"""),6.0)</f>
        <v>6</v>
      </c>
      <c r="D1347" s="1">
        <f>IFERROR(__xludf.DUMMYFUNCTION("""COMPUTED_VALUE"""),1514.39)</f>
        <v>1514.39</v>
      </c>
    </row>
    <row r="1348">
      <c r="A1348" s="1" t="str">
        <f>IFERROR(__xludf.DUMMYFUNCTION("""COMPUTED_VALUE"""),"PR041")</f>
        <v>PR041</v>
      </c>
      <c r="B1348" s="1" t="str">
        <f>IFERROR(__xludf.DUMMYFUNCTION("""COMPUTED_VALUE"""),"VD013")</f>
        <v>VD013</v>
      </c>
      <c r="C1348" s="1">
        <f>IFERROR(__xludf.DUMMYFUNCTION("""COMPUTED_VALUE"""),9.0)</f>
        <v>9</v>
      </c>
      <c r="D1348" s="1">
        <f>IFERROR(__xludf.DUMMYFUNCTION("""COMPUTED_VALUE"""),503.98)</f>
        <v>503.98</v>
      </c>
    </row>
    <row r="1349">
      <c r="A1349" s="1" t="str">
        <f>IFERROR(__xludf.DUMMYFUNCTION("""COMPUTED_VALUE"""),"PR012")</f>
        <v>PR012</v>
      </c>
      <c r="B1349" s="1" t="str">
        <f>IFERROR(__xludf.DUMMYFUNCTION("""COMPUTED_VALUE"""),"VD015")</f>
        <v>VD015</v>
      </c>
      <c r="C1349" s="1">
        <f>IFERROR(__xludf.DUMMYFUNCTION("""COMPUTED_VALUE"""),10.0)</f>
        <v>10</v>
      </c>
      <c r="D1349" s="1">
        <f>IFERROR(__xludf.DUMMYFUNCTION("""COMPUTED_VALUE"""),518.34)</f>
        <v>518.34</v>
      </c>
    </row>
    <row r="1350">
      <c r="A1350" s="1" t="str">
        <f>IFERROR(__xludf.DUMMYFUNCTION("""COMPUTED_VALUE"""),"PR053")</f>
        <v>PR053</v>
      </c>
      <c r="B1350" s="1" t="str">
        <f>IFERROR(__xludf.DUMMYFUNCTION("""COMPUTED_VALUE"""),"VD021")</f>
        <v>VD021</v>
      </c>
      <c r="C1350" s="1">
        <f>IFERROR(__xludf.DUMMYFUNCTION("""COMPUTED_VALUE"""),18.0)</f>
        <v>18</v>
      </c>
      <c r="D1350" s="1">
        <f>IFERROR(__xludf.DUMMYFUNCTION("""COMPUTED_VALUE"""),898.2)</f>
        <v>898.2</v>
      </c>
    </row>
    <row r="1351">
      <c r="A1351" s="1" t="str">
        <f>IFERROR(__xludf.DUMMYFUNCTION("""COMPUTED_VALUE"""),"PR038")</f>
        <v>PR038</v>
      </c>
      <c r="B1351" s="1" t="str">
        <f>IFERROR(__xludf.DUMMYFUNCTION("""COMPUTED_VALUE"""),"VD013")</f>
        <v>VD013</v>
      </c>
      <c r="C1351" s="1">
        <f>IFERROR(__xludf.DUMMYFUNCTION("""COMPUTED_VALUE"""),2.0)</f>
        <v>2</v>
      </c>
      <c r="D1351" s="1">
        <f>IFERROR(__xludf.DUMMYFUNCTION("""COMPUTED_VALUE"""),311.52)</f>
        <v>311.52</v>
      </c>
    </row>
    <row r="1352">
      <c r="A1352" s="1" t="str">
        <f>IFERROR(__xludf.DUMMYFUNCTION("""COMPUTED_VALUE"""),"PR009")</f>
        <v>PR009</v>
      </c>
      <c r="B1352" s="1" t="str">
        <f>IFERROR(__xludf.DUMMYFUNCTION("""COMPUTED_VALUE"""),"VD022")</f>
        <v>VD022</v>
      </c>
      <c r="C1352" s="1">
        <f>IFERROR(__xludf.DUMMYFUNCTION("""COMPUTED_VALUE"""),12.0)</f>
        <v>12</v>
      </c>
      <c r="D1352" s="1">
        <f>IFERROR(__xludf.DUMMYFUNCTION("""COMPUTED_VALUE"""),1181.69)</f>
        <v>1181.69</v>
      </c>
    </row>
    <row r="1353">
      <c r="A1353" s="1" t="str">
        <f>IFERROR(__xludf.DUMMYFUNCTION("""COMPUTED_VALUE"""),"PR019")</f>
        <v>PR019</v>
      </c>
      <c r="B1353" s="1" t="str">
        <f>IFERROR(__xludf.DUMMYFUNCTION("""COMPUTED_VALUE"""),"VD025")</f>
        <v>VD025</v>
      </c>
      <c r="C1353" s="1">
        <f>IFERROR(__xludf.DUMMYFUNCTION("""COMPUTED_VALUE"""),14.0)</f>
        <v>14</v>
      </c>
      <c r="D1353" s="1">
        <f>IFERROR(__xludf.DUMMYFUNCTION("""COMPUTED_VALUE"""),705.59)</f>
        <v>705.59</v>
      </c>
    </row>
    <row r="1354">
      <c r="A1354" s="1" t="str">
        <f>IFERROR(__xludf.DUMMYFUNCTION("""COMPUTED_VALUE"""),"PR029")</f>
        <v>PR029</v>
      </c>
      <c r="B1354" s="1" t="str">
        <f>IFERROR(__xludf.DUMMYFUNCTION("""COMPUTED_VALUE"""),"VD018")</f>
        <v>VD018</v>
      </c>
      <c r="C1354" s="1">
        <f>IFERROR(__xludf.DUMMYFUNCTION("""COMPUTED_VALUE"""),1.0)</f>
        <v>1</v>
      </c>
      <c r="D1354" s="1">
        <f>IFERROR(__xludf.DUMMYFUNCTION("""COMPUTED_VALUE"""),257.55)</f>
        <v>257.55</v>
      </c>
    </row>
    <row r="1355">
      <c r="A1355" s="1" t="str">
        <f>IFERROR(__xludf.DUMMYFUNCTION("""COMPUTED_VALUE"""),"PR032")</f>
        <v>PR032</v>
      </c>
      <c r="B1355" s="1" t="str">
        <f>IFERROR(__xludf.DUMMYFUNCTION("""COMPUTED_VALUE"""),"VD018")</f>
        <v>VD018</v>
      </c>
      <c r="C1355" s="1">
        <f>IFERROR(__xludf.DUMMYFUNCTION("""COMPUTED_VALUE"""),2.0)</f>
        <v>2</v>
      </c>
      <c r="D1355" s="1">
        <f>IFERROR(__xludf.DUMMYFUNCTION("""COMPUTED_VALUE"""),520.0)</f>
        <v>520</v>
      </c>
    </row>
    <row r="1356">
      <c r="A1356" s="1" t="str">
        <f>IFERROR(__xludf.DUMMYFUNCTION("""COMPUTED_VALUE"""),"PR048")</f>
        <v>PR048</v>
      </c>
      <c r="B1356" s="1" t="str">
        <f>IFERROR(__xludf.DUMMYFUNCTION("""COMPUTED_VALUE"""),"VD042")</f>
        <v>VD042</v>
      </c>
      <c r="C1356" s="1">
        <f>IFERROR(__xludf.DUMMYFUNCTION("""COMPUTED_VALUE"""),2.0)</f>
        <v>2</v>
      </c>
      <c r="D1356" s="1">
        <f>IFERROR(__xludf.DUMMYFUNCTION("""COMPUTED_VALUE"""),585.6)</f>
        <v>585.6</v>
      </c>
    </row>
    <row r="1357">
      <c r="A1357" s="1" t="str">
        <f>IFERROR(__xludf.DUMMYFUNCTION("""COMPUTED_VALUE"""),"PR044")</f>
        <v>PR044</v>
      </c>
      <c r="B1357" s="1" t="str">
        <f>IFERROR(__xludf.DUMMYFUNCTION("""COMPUTED_VALUE"""),"VD042")</f>
        <v>VD042</v>
      </c>
      <c r="C1357" s="1">
        <f>IFERROR(__xludf.DUMMYFUNCTION("""COMPUTED_VALUE"""),8.0)</f>
        <v>8</v>
      </c>
      <c r="D1357" s="1">
        <f>IFERROR(__xludf.DUMMYFUNCTION("""COMPUTED_VALUE"""),626.4)</f>
        <v>626.4</v>
      </c>
    </row>
    <row r="1358">
      <c r="A1358" s="1" t="str">
        <f>IFERROR(__xludf.DUMMYFUNCTION("""COMPUTED_VALUE"""),"PR007")</f>
        <v>PR007</v>
      </c>
      <c r="B1358" s="1" t="str">
        <f>IFERROR(__xludf.DUMMYFUNCTION("""COMPUTED_VALUE"""),"VD019")</f>
        <v>VD019</v>
      </c>
      <c r="C1358" s="1">
        <f>IFERROR(__xludf.DUMMYFUNCTION("""COMPUTED_VALUE"""),3.0)</f>
        <v>3</v>
      </c>
      <c r="D1358" s="1">
        <f>IFERROR(__xludf.DUMMYFUNCTION("""COMPUTED_VALUE"""),280.89)</f>
        <v>280.89</v>
      </c>
    </row>
    <row r="1359">
      <c r="A1359" s="1" t="str">
        <f>IFERROR(__xludf.DUMMYFUNCTION("""COMPUTED_VALUE"""),"PR018")</f>
        <v>PR018</v>
      </c>
      <c r="B1359" s="1" t="str">
        <f>IFERROR(__xludf.DUMMYFUNCTION("""COMPUTED_VALUE"""),"VD029")</f>
        <v>VD029</v>
      </c>
      <c r="C1359" s="1">
        <f>IFERROR(__xludf.DUMMYFUNCTION("""COMPUTED_VALUE"""),20.0)</f>
        <v>20</v>
      </c>
      <c r="D1359" s="1">
        <f>IFERROR(__xludf.DUMMYFUNCTION("""COMPUTED_VALUE"""),717.22)</f>
        <v>717.22</v>
      </c>
    </row>
    <row r="1360">
      <c r="A1360" s="1" t="str">
        <f>IFERROR(__xludf.DUMMYFUNCTION("""COMPUTED_VALUE"""),"PR017")</f>
        <v>PR017</v>
      </c>
      <c r="B1360" s="1" t="str">
        <f>IFERROR(__xludf.DUMMYFUNCTION("""COMPUTED_VALUE"""),"VD028")</f>
        <v>VD028</v>
      </c>
      <c r="C1360" s="1">
        <f>IFERROR(__xludf.DUMMYFUNCTION("""COMPUTED_VALUE"""),9.0)</f>
        <v>9</v>
      </c>
      <c r="D1360" s="1">
        <f>IFERROR(__xludf.DUMMYFUNCTION("""COMPUTED_VALUE"""),279.86)</f>
        <v>279.86</v>
      </c>
    </row>
    <row r="1361">
      <c r="A1361" s="1" t="str">
        <f>IFERROR(__xludf.DUMMYFUNCTION("""COMPUTED_VALUE"""),"PR053")</f>
        <v>PR053</v>
      </c>
      <c r="B1361" s="1" t="str">
        <f>IFERROR(__xludf.DUMMYFUNCTION("""COMPUTED_VALUE"""),"VD014")</f>
        <v>VD014</v>
      </c>
      <c r="C1361" s="1">
        <f>IFERROR(__xludf.DUMMYFUNCTION("""COMPUTED_VALUE"""),8.0)</f>
        <v>8</v>
      </c>
      <c r="D1361" s="1">
        <f>IFERROR(__xludf.DUMMYFUNCTION("""COMPUTED_VALUE"""),419.16)</f>
        <v>419.16</v>
      </c>
    </row>
    <row r="1362">
      <c r="A1362" s="1" t="str">
        <f>IFERROR(__xludf.DUMMYFUNCTION("""COMPUTED_VALUE"""),"PR059")</f>
        <v>PR059</v>
      </c>
      <c r="B1362" s="1" t="str">
        <f>IFERROR(__xludf.DUMMYFUNCTION("""COMPUTED_VALUE"""),"VD015")</f>
        <v>VD015</v>
      </c>
      <c r="C1362" s="1">
        <f>IFERROR(__xludf.DUMMYFUNCTION("""COMPUTED_VALUE"""),1.0)</f>
        <v>1</v>
      </c>
      <c r="D1362" s="1">
        <f>IFERROR(__xludf.DUMMYFUNCTION("""COMPUTED_VALUE"""),181.8)</f>
        <v>181.8</v>
      </c>
    </row>
    <row r="1363">
      <c r="A1363" s="1" t="str">
        <f>IFERROR(__xludf.DUMMYFUNCTION("""COMPUTED_VALUE"""),"PR014")</f>
        <v>PR014</v>
      </c>
      <c r="B1363" s="1" t="str">
        <f>IFERROR(__xludf.DUMMYFUNCTION("""COMPUTED_VALUE"""),"VD018")</f>
        <v>VD018</v>
      </c>
      <c r="C1363" s="1">
        <f>IFERROR(__xludf.DUMMYFUNCTION("""COMPUTED_VALUE"""),16.0)</f>
        <v>16</v>
      </c>
      <c r="D1363" s="1">
        <f>IFERROR(__xludf.DUMMYFUNCTION("""COMPUTED_VALUE"""),651.17)</f>
        <v>651.17</v>
      </c>
    </row>
    <row r="1364">
      <c r="A1364" s="1" t="str">
        <f>IFERROR(__xludf.DUMMYFUNCTION("""COMPUTED_VALUE"""),"PR022")</f>
        <v>PR022</v>
      </c>
      <c r="B1364" s="1" t="str">
        <f>IFERROR(__xludf.DUMMYFUNCTION("""COMPUTED_VALUE"""),"VD032")</f>
        <v>VD032</v>
      </c>
      <c r="C1364" s="1">
        <f>IFERROR(__xludf.DUMMYFUNCTION("""COMPUTED_VALUE"""),10.0)</f>
        <v>10</v>
      </c>
      <c r="D1364" s="1">
        <f>IFERROR(__xludf.DUMMYFUNCTION("""COMPUTED_VALUE"""),3150.0)</f>
        <v>3150</v>
      </c>
    </row>
    <row r="1365">
      <c r="A1365" s="1" t="str">
        <f>IFERROR(__xludf.DUMMYFUNCTION("""COMPUTED_VALUE"""),"PR007")</f>
        <v>PR007</v>
      </c>
      <c r="B1365" s="1" t="str">
        <f>IFERROR(__xludf.DUMMYFUNCTION("""COMPUTED_VALUE"""),"VD028")</f>
        <v>VD028</v>
      </c>
      <c r="C1365" s="1">
        <f>IFERROR(__xludf.DUMMYFUNCTION("""COMPUTED_VALUE"""),10.0)</f>
        <v>10</v>
      </c>
      <c r="D1365" s="1">
        <f>IFERROR(__xludf.DUMMYFUNCTION("""COMPUTED_VALUE"""),859.0)</f>
        <v>859</v>
      </c>
    </row>
    <row r="1366">
      <c r="A1366" s="1" t="str">
        <f>IFERROR(__xludf.DUMMYFUNCTION("""COMPUTED_VALUE"""),"PR035")</f>
        <v>PR035</v>
      </c>
      <c r="B1366" s="1" t="str">
        <f>IFERROR(__xludf.DUMMYFUNCTION("""COMPUTED_VALUE"""),"VD049")</f>
        <v>VD049</v>
      </c>
      <c r="C1366" s="1">
        <f>IFERROR(__xludf.DUMMYFUNCTION("""COMPUTED_VALUE"""),8.0)</f>
        <v>8</v>
      </c>
      <c r="D1366" s="1">
        <f>IFERROR(__xludf.DUMMYFUNCTION("""COMPUTED_VALUE"""),775.07)</f>
        <v>775.07</v>
      </c>
    </row>
    <row r="1367">
      <c r="A1367" s="1" t="str">
        <f>IFERROR(__xludf.DUMMYFUNCTION("""COMPUTED_VALUE"""),"PR024")</f>
        <v>PR024</v>
      </c>
      <c r="B1367" s="1" t="str">
        <f>IFERROR(__xludf.DUMMYFUNCTION("""COMPUTED_VALUE"""),"VD037")</f>
        <v>VD037</v>
      </c>
      <c r="C1367" s="1">
        <f>IFERROR(__xludf.DUMMYFUNCTION("""COMPUTED_VALUE"""),5.0)</f>
        <v>5</v>
      </c>
      <c r="D1367" s="1">
        <f>IFERROR(__xludf.DUMMYFUNCTION("""COMPUTED_VALUE"""),1299.5)</f>
        <v>1299.5</v>
      </c>
    </row>
    <row r="1368">
      <c r="A1368" s="1" t="str">
        <f>IFERROR(__xludf.DUMMYFUNCTION("""COMPUTED_VALUE"""),"PR057")</f>
        <v>PR057</v>
      </c>
      <c r="B1368" s="1" t="str">
        <f>IFERROR(__xludf.DUMMYFUNCTION("""COMPUTED_VALUE"""),"VD033")</f>
        <v>VD033</v>
      </c>
      <c r="C1368" s="1">
        <f>IFERROR(__xludf.DUMMYFUNCTION("""COMPUTED_VALUE"""),14.0)</f>
        <v>14</v>
      </c>
      <c r="D1368" s="1">
        <f>IFERROR(__xludf.DUMMYFUNCTION("""COMPUTED_VALUE"""),1296.36)</f>
        <v>1296.36</v>
      </c>
    </row>
    <row r="1369">
      <c r="A1369" s="1" t="str">
        <f>IFERROR(__xludf.DUMMYFUNCTION("""COMPUTED_VALUE"""),"PR047")</f>
        <v>PR047</v>
      </c>
      <c r="B1369" s="1" t="str">
        <f>IFERROR(__xludf.DUMMYFUNCTION("""COMPUTED_VALUE"""),"VD037")</f>
        <v>VD037</v>
      </c>
      <c r="C1369" s="1">
        <f>IFERROR(__xludf.DUMMYFUNCTION("""COMPUTED_VALUE"""),3.0)</f>
        <v>3</v>
      </c>
      <c r="D1369" s="1">
        <f>IFERROR(__xludf.DUMMYFUNCTION("""COMPUTED_VALUE"""),913.19)</f>
        <v>913.19</v>
      </c>
    </row>
    <row r="1370">
      <c r="A1370" s="1" t="str">
        <f>IFERROR(__xludf.DUMMYFUNCTION("""COMPUTED_VALUE"""),"PR035")</f>
        <v>PR035</v>
      </c>
      <c r="B1370" s="1" t="str">
        <f>IFERROR(__xludf.DUMMYFUNCTION("""COMPUTED_VALUE"""),"VD042")</f>
        <v>VD042</v>
      </c>
      <c r="C1370" s="1">
        <f>IFERROR(__xludf.DUMMYFUNCTION("""COMPUTED_VALUE"""),20.0)</f>
        <v>20</v>
      </c>
      <c r="D1370" s="1">
        <f>IFERROR(__xludf.DUMMYFUNCTION("""COMPUTED_VALUE"""),1937.68)</f>
        <v>1937.68</v>
      </c>
    </row>
    <row r="1371">
      <c r="A1371" s="1" t="str">
        <f>IFERROR(__xludf.DUMMYFUNCTION("""COMPUTED_VALUE"""),"PR007")</f>
        <v>PR007</v>
      </c>
      <c r="B1371" s="1" t="str">
        <f>IFERROR(__xludf.DUMMYFUNCTION("""COMPUTED_VALUE"""),"VD026")</f>
        <v>VD026</v>
      </c>
      <c r="C1371" s="1">
        <f>IFERROR(__xludf.DUMMYFUNCTION("""COMPUTED_VALUE"""),3.0)</f>
        <v>3</v>
      </c>
      <c r="D1371" s="1">
        <f>IFERROR(__xludf.DUMMYFUNCTION("""COMPUTED_VALUE"""),270.59)</f>
        <v>270.59</v>
      </c>
    </row>
    <row r="1372">
      <c r="A1372" s="1" t="str">
        <f>IFERROR(__xludf.DUMMYFUNCTION("""COMPUTED_VALUE"""),"PR002")</f>
        <v>PR002</v>
      </c>
      <c r="B1372" s="1" t="str">
        <f>IFERROR(__xludf.DUMMYFUNCTION("""COMPUTED_VALUE"""),"VD013")</f>
        <v>VD013</v>
      </c>
      <c r="C1372" s="1">
        <f>IFERROR(__xludf.DUMMYFUNCTION("""COMPUTED_VALUE"""),5.0)</f>
        <v>5</v>
      </c>
      <c r="D1372" s="1">
        <f>IFERROR(__xludf.DUMMYFUNCTION("""COMPUTED_VALUE"""),373.97)</f>
        <v>373.97</v>
      </c>
    </row>
    <row r="1373">
      <c r="A1373" s="1" t="str">
        <f>IFERROR(__xludf.DUMMYFUNCTION("""COMPUTED_VALUE"""),"PR035")</f>
        <v>PR035</v>
      </c>
      <c r="B1373" s="1" t="str">
        <f>IFERROR(__xludf.DUMMYFUNCTION("""COMPUTED_VALUE"""),"VD036")</f>
        <v>VD036</v>
      </c>
      <c r="C1373" s="1">
        <f>IFERROR(__xludf.DUMMYFUNCTION("""COMPUTED_VALUE"""),2.0)</f>
        <v>2</v>
      </c>
      <c r="D1373" s="1">
        <f>IFERROR(__xludf.DUMMYFUNCTION("""COMPUTED_VALUE"""),184.63)</f>
        <v>184.63</v>
      </c>
    </row>
    <row r="1374">
      <c r="A1374" s="1" t="str">
        <f>IFERROR(__xludf.DUMMYFUNCTION("""COMPUTED_VALUE"""),"PR049")</f>
        <v>PR049</v>
      </c>
      <c r="B1374" s="1" t="str">
        <f>IFERROR(__xludf.DUMMYFUNCTION("""COMPUTED_VALUE"""),"VD026")</f>
        <v>VD026</v>
      </c>
      <c r="C1374" s="1">
        <f>IFERROR(__xludf.DUMMYFUNCTION("""COMPUTED_VALUE"""),10.0)</f>
        <v>10</v>
      </c>
      <c r="D1374" s="1">
        <f>IFERROR(__xludf.DUMMYFUNCTION("""COMPUTED_VALUE"""),348.74)</f>
        <v>348.74</v>
      </c>
    </row>
    <row r="1375">
      <c r="A1375" s="1" t="str">
        <f>IFERROR(__xludf.DUMMYFUNCTION("""COMPUTED_VALUE"""),"PR048")</f>
        <v>PR048</v>
      </c>
      <c r="B1375" s="1" t="str">
        <f>IFERROR(__xludf.DUMMYFUNCTION("""COMPUTED_VALUE"""),"VD019")</f>
        <v>VD019</v>
      </c>
      <c r="C1375" s="1">
        <f>IFERROR(__xludf.DUMMYFUNCTION("""COMPUTED_VALUE"""),14.0)</f>
        <v>14</v>
      </c>
      <c r="D1375" s="1">
        <f>IFERROR(__xludf.DUMMYFUNCTION("""COMPUTED_VALUE"""),4139.77)</f>
        <v>4139.77</v>
      </c>
    </row>
    <row r="1376">
      <c r="A1376" s="1" t="str">
        <f>IFERROR(__xludf.DUMMYFUNCTION("""COMPUTED_VALUE"""),"PR058")</f>
        <v>PR058</v>
      </c>
      <c r="B1376" s="1" t="str">
        <f>IFERROR(__xludf.DUMMYFUNCTION("""COMPUTED_VALUE"""),"VD029")</f>
        <v>VD029</v>
      </c>
      <c r="C1376" s="1">
        <f>IFERROR(__xludf.DUMMYFUNCTION("""COMPUTED_VALUE"""),5.0)</f>
        <v>5</v>
      </c>
      <c r="D1376" s="1">
        <f>IFERROR(__xludf.DUMMYFUNCTION("""COMPUTED_VALUE"""),918.0)</f>
        <v>918</v>
      </c>
    </row>
    <row r="1377">
      <c r="A1377" s="1" t="str">
        <f>IFERROR(__xludf.DUMMYFUNCTION("""COMPUTED_VALUE"""),"PR032")</f>
        <v>PR032</v>
      </c>
      <c r="B1377" s="1" t="str">
        <f>IFERROR(__xludf.DUMMYFUNCTION("""COMPUTED_VALUE"""),"VD038")</f>
        <v>VD038</v>
      </c>
      <c r="C1377" s="1">
        <f>IFERROR(__xludf.DUMMYFUNCTION("""COMPUTED_VALUE"""),8.0)</f>
        <v>8</v>
      </c>
      <c r="D1377" s="1">
        <f>IFERROR(__xludf.DUMMYFUNCTION("""COMPUTED_VALUE"""),2080.0)</f>
        <v>2080</v>
      </c>
    </row>
    <row r="1378">
      <c r="A1378" s="1" t="str">
        <f>IFERROR(__xludf.DUMMYFUNCTION("""COMPUTED_VALUE"""),"PR009")</f>
        <v>PR009</v>
      </c>
      <c r="B1378" s="1" t="str">
        <f>IFERROR(__xludf.DUMMYFUNCTION("""COMPUTED_VALUE"""),"VD032")</f>
        <v>VD032</v>
      </c>
      <c r="C1378" s="1">
        <f>IFERROR(__xludf.DUMMYFUNCTION("""COMPUTED_VALUE"""),20.0)</f>
        <v>20</v>
      </c>
      <c r="D1378" s="1">
        <f>IFERROR(__xludf.DUMMYFUNCTION("""COMPUTED_VALUE"""),1969.48)</f>
        <v>1969.48</v>
      </c>
    </row>
    <row r="1379">
      <c r="A1379" s="1" t="str">
        <f>IFERROR(__xludf.DUMMYFUNCTION("""COMPUTED_VALUE"""),"PR060")</f>
        <v>PR060</v>
      </c>
      <c r="B1379" s="1" t="str">
        <f>IFERROR(__xludf.DUMMYFUNCTION("""COMPUTED_VALUE"""),"VD032")</f>
        <v>VD032</v>
      </c>
      <c r="C1379" s="1">
        <f>IFERROR(__xludf.DUMMYFUNCTION("""COMPUTED_VALUE"""),5.0)</f>
        <v>5</v>
      </c>
      <c r="D1379" s="1">
        <f>IFERROR(__xludf.DUMMYFUNCTION("""COMPUTED_VALUE"""),927.0)</f>
        <v>927</v>
      </c>
    </row>
    <row r="1380">
      <c r="A1380" s="1" t="str">
        <f>IFERROR(__xludf.DUMMYFUNCTION("""COMPUTED_VALUE"""),"PR026")</f>
        <v>PR026</v>
      </c>
      <c r="B1380" s="1" t="str">
        <f>IFERROR(__xludf.DUMMYFUNCTION("""COMPUTED_VALUE"""),"VD026")</f>
        <v>VD026</v>
      </c>
      <c r="C1380" s="1">
        <f>IFERROR(__xludf.DUMMYFUNCTION("""COMPUTED_VALUE"""),14.0)</f>
        <v>14</v>
      </c>
      <c r="D1380" s="1">
        <f>IFERROR(__xludf.DUMMYFUNCTION("""COMPUTED_VALUE"""),5290.49)</f>
        <v>5290.49</v>
      </c>
    </row>
    <row r="1381">
      <c r="A1381" s="1" t="str">
        <f>IFERROR(__xludf.DUMMYFUNCTION("""COMPUTED_VALUE"""),"PR012")</f>
        <v>PR012</v>
      </c>
      <c r="B1381" s="1" t="str">
        <f>IFERROR(__xludf.DUMMYFUNCTION("""COMPUTED_VALUE"""),"VD035")</f>
        <v>VD035</v>
      </c>
      <c r="C1381" s="1">
        <f>IFERROR(__xludf.DUMMYFUNCTION("""COMPUTED_VALUE"""),16.0)</f>
        <v>16</v>
      </c>
      <c r="D1381" s="1">
        <f>IFERROR(__xludf.DUMMYFUNCTION("""COMPUTED_VALUE"""),852.82)</f>
        <v>852.82</v>
      </c>
    </row>
    <row r="1382">
      <c r="A1382" s="1" t="str">
        <f>IFERROR(__xludf.DUMMYFUNCTION("""COMPUTED_VALUE"""),"PR036")</f>
        <v>PR036</v>
      </c>
      <c r="B1382" s="1" t="str">
        <f>IFERROR(__xludf.DUMMYFUNCTION("""COMPUTED_VALUE"""),"VD046")</f>
        <v>VD046</v>
      </c>
      <c r="C1382" s="1">
        <f>IFERROR(__xludf.DUMMYFUNCTION("""COMPUTED_VALUE"""),5.0)</f>
        <v>5</v>
      </c>
      <c r="D1382" s="1">
        <f>IFERROR(__xludf.DUMMYFUNCTION("""COMPUTED_VALUE"""),514.25)</f>
        <v>514.25</v>
      </c>
    </row>
    <row r="1383">
      <c r="A1383" s="1" t="str">
        <f>IFERROR(__xludf.DUMMYFUNCTION("""COMPUTED_VALUE"""),"PR022")</f>
        <v>PR022</v>
      </c>
      <c r="B1383" s="1" t="str">
        <f>IFERROR(__xludf.DUMMYFUNCTION("""COMPUTED_VALUE"""),"VD011")</f>
        <v>VD011</v>
      </c>
      <c r="C1383" s="1">
        <f>IFERROR(__xludf.DUMMYFUNCTION("""COMPUTED_VALUE"""),9.0)</f>
        <v>9</v>
      </c>
      <c r="D1383" s="1">
        <f>IFERROR(__xludf.DUMMYFUNCTION("""COMPUTED_VALUE"""),2835.0)</f>
        <v>2835</v>
      </c>
    </row>
    <row r="1384">
      <c r="A1384" s="1" t="str">
        <f>IFERROR(__xludf.DUMMYFUNCTION("""COMPUTED_VALUE"""),"PR030")</f>
        <v>PR030</v>
      </c>
      <c r="B1384" s="1" t="str">
        <f>IFERROR(__xludf.DUMMYFUNCTION("""COMPUTED_VALUE"""),"VD023")</f>
        <v>VD023</v>
      </c>
      <c r="C1384" s="1">
        <f>IFERROR(__xludf.DUMMYFUNCTION("""COMPUTED_VALUE"""),8.0)</f>
        <v>8</v>
      </c>
      <c r="D1384" s="1">
        <f>IFERROR(__xludf.DUMMYFUNCTION("""COMPUTED_VALUE"""),2245.54)</f>
        <v>2245.54</v>
      </c>
    </row>
    <row r="1385">
      <c r="A1385" s="1" t="str">
        <f>IFERROR(__xludf.DUMMYFUNCTION("""COMPUTED_VALUE"""),"PR019")</f>
        <v>PR019</v>
      </c>
      <c r="B1385" s="1" t="str">
        <f>IFERROR(__xludf.DUMMYFUNCTION("""COMPUTED_VALUE"""),"VD039")</f>
        <v>VD039</v>
      </c>
      <c r="C1385" s="1">
        <f>IFERROR(__xludf.DUMMYFUNCTION("""COMPUTED_VALUE"""),16.0)</f>
        <v>16</v>
      </c>
      <c r="D1385" s="1">
        <f>IFERROR(__xludf.DUMMYFUNCTION("""COMPUTED_VALUE"""),822.35)</f>
        <v>822.35</v>
      </c>
    </row>
    <row r="1386">
      <c r="A1386" s="1" t="str">
        <f>IFERROR(__xludf.DUMMYFUNCTION("""COMPUTED_VALUE"""),"PR016")</f>
        <v>PR016</v>
      </c>
      <c r="B1386" s="1" t="str">
        <f>IFERROR(__xludf.DUMMYFUNCTION("""COMPUTED_VALUE"""),"VD018")</f>
        <v>VD018</v>
      </c>
      <c r="C1386" s="1">
        <f>IFERROR(__xludf.DUMMYFUNCTION("""COMPUTED_VALUE"""),9.0)</f>
        <v>9</v>
      </c>
      <c r="D1386" s="1">
        <f>IFERROR(__xludf.DUMMYFUNCTION("""COMPUTED_VALUE"""),244.76)</f>
        <v>244.76</v>
      </c>
    </row>
    <row r="1387">
      <c r="A1387" s="1" t="str">
        <f>IFERROR(__xludf.DUMMYFUNCTION("""COMPUTED_VALUE"""),"PR014")</f>
        <v>PR014</v>
      </c>
      <c r="B1387" s="1" t="str">
        <f>IFERROR(__xludf.DUMMYFUNCTION("""COMPUTED_VALUE"""),"VD027")</f>
        <v>VD027</v>
      </c>
      <c r="C1387" s="1">
        <f>IFERROR(__xludf.DUMMYFUNCTION("""COMPUTED_VALUE"""),10.0)</f>
        <v>10</v>
      </c>
      <c r="D1387" s="1">
        <f>IFERROR(__xludf.DUMMYFUNCTION("""COMPUTED_VALUE"""),410.97)</f>
        <v>410.97</v>
      </c>
    </row>
    <row r="1388">
      <c r="A1388" s="1" t="str">
        <f>IFERROR(__xludf.DUMMYFUNCTION("""COMPUTED_VALUE"""),"PR044")</f>
        <v>PR044</v>
      </c>
      <c r="B1388" s="1" t="str">
        <f>IFERROR(__xludf.DUMMYFUNCTION("""COMPUTED_VALUE"""),"VD025")</f>
        <v>VD025</v>
      </c>
      <c r="C1388" s="1">
        <f>IFERROR(__xludf.DUMMYFUNCTION("""COMPUTED_VALUE"""),14.0)</f>
        <v>14</v>
      </c>
      <c r="D1388" s="1">
        <f>IFERROR(__xludf.DUMMYFUNCTION("""COMPUTED_VALUE"""),1116.5)</f>
        <v>1116.5</v>
      </c>
    </row>
    <row r="1389">
      <c r="A1389" s="1" t="str">
        <f>IFERROR(__xludf.DUMMYFUNCTION("""COMPUTED_VALUE"""),"PR014")</f>
        <v>PR014</v>
      </c>
      <c r="B1389" s="1" t="str">
        <f>IFERROR(__xludf.DUMMYFUNCTION("""COMPUTED_VALUE"""),"VD024")</f>
        <v>VD024</v>
      </c>
      <c r="C1389" s="1">
        <f>IFERROR(__xludf.DUMMYFUNCTION("""COMPUTED_VALUE"""),5.0)</f>
        <v>5</v>
      </c>
      <c r="D1389" s="1">
        <f>IFERROR(__xludf.DUMMYFUNCTION("""COMPUTED_VALUE"""),203.49)</f>
        <v>203.49</v>
      </c>
    </row>
    <row r="1390">
      <c r="A1390" s="1" t="str">
        <f>IFERROR(__xludf.DUMMYFUNCTION("""COMPUTED_VALUE"""),"PR019")</f>
        <v>PR019</v>
      </c>
      <c r="B1390" s="1" t="str">
        <f>IFERROR(__xludf.DUMMYFUNCTION("""COMPUTED_VALUE"""),"VD043")</f>
        <v>VD043</v>
      </c>
      <c r="C1390" s="1">
        <f>IFERROR(__xludf.DUMMYFUNCTION("""COMPUTED_VALUE"""),12.0)</f>
        <v>12</v>
      </c>
      <c r="D1390" s="1">
        <f>IFERROR(__xludf.DUMMYFUNCTION("""COMPUTED_VALUE"""),604.79)</f>
        <v>604.79</v>
      </c>
    </row>
    <row r="1391">
      <c r="A1391" s="1" t="str">
        <f>IFERROR(__xludf.DUMMYFUNCTION("""COMPUTED_VALUE"""),"PR003")</f>
        <v>PR003</v>
      </c>
      <c r="B1391" s="1" t="str">
        <f>IFERROR(__xludf.DUMMYFUNCTION("""COMPUTED_VALUE"""),"VD039")</f>
        <v>VD039</v>
      </c>
      <c r="C1391" s="1">
        <f>IFERROR(__xludf.DUMMYFUNCTION("""COMPUTED_VALUE"""),5.0)</f>
        <v>5</v>
      </c>
      <c r="D1391" s="1">
        <f>IFERROR(__xludf.DUMMYFUNCTION("""COMPUTED_VALUE"""),354.5)</f>
        <v>354.5</v>
      </c>
    </row>
    <row r="1392">
      <c r="A1392" s="1" t="str">
        <f>IFERROR(__xludf.DUMMYFUNCTION("""COMPUTED_VALUE"""),"PR054")</f>
        <v>PR054</v>
      </c>
      <c r="B1392" s="1" t="str">
        <f>IFERROR(__xludf.DUMMYFUNCTION("""COMPUTED_VALUE"""),"VD019")</f>
        <v>VD019</v>
      </c>
      <c r="C1392" s="1">
        <f>IFERROR(__xludf.DUMMYFUNCTION("""COMPUTED_VALUE"""),4.0)</f>
        <v>4</v>
      </c>
      <c r="D1392" s="1">
        <f>IFERROR(__xludf.DUMMYFUNCTION("""COMPUTED_VALUE"""),217.56)</f>
        <v>217.56</v>
      </c>
    </row>
    <row r="1393">
      <c r="A1393" s="1" t="str">
        <f>IFERROR(__xludf.DUMMYFUNCTION("""COMPUTED_VALUE"""),"PR003")</f>
        <v>PR003</v>
      </c>
      <c r="B1393" s="1" t="str">
        <f>IFERROR(__xludf.DUMMYFUNCTION("""COMPUTED_VALUE"""),"VD030")</f>
        <v>VD030</v>
      </c>
      <c r="C1393" s="1">
        <f>IFERROR(__xludf.DUMMYFUNCTION("""COMPUTED_VALUE"""),5.0)</f>
        <v>5</v>
      </c>
      <c r="D1393" s="1">
        <f>IFERROR(__xludf.DUMMYFUNCTION("""COMPUTED_VALUE"""),386.41)</f>
        <v>386.41</v>
      </c>
    </row>
    <row r="1394">
      <c r="A1394" s="1" t="str">
        <f>IFERROR(__xludf.DUMMYFUNCTION("""COMPUTED_VALUE"""),"PR033")</f>
        <v>PR033</v>
      </c>
      <c r="B1394" s="1" t="str">
        <f>IFERROR(__xludf.DUMMYFUNCTION("""COMPUTED_VALUE"""),"VD025")</f>
        <v>VD025</v>
      </c>
      <c r="C1394" s="1">
        <f>IFERROR(__xludf.DUMMYFUNCTION("""COMPUTED_VALUE"""),2.0)</f>
        <v>2</v>
      </c>
      <c r="D1394" s="1">
        <f>IFERROR(__xludf.DUMMYFUNCTION("""COMPUTED_VALUE"""),550.99)</f>
        <v>550.99</v>
      </c>
    </row>
    <row r="1395">
      <c r="A1395" s="1" t="str">
        <f>IFERROR(__xludf.DUMMYFUNCTION("""COMPUTED_VALUE"""),"PR054")</f>
        <v>PR054</v>
      </c>
      <c r="B1395" s="1" t="str">
        <f>IFERROR(__xludf.DUMMYFUNCTION("""COMPUTED_VALUE"""),"VD028")</f>
        <v>VD028</v>
      </c>
      <c r="C1395" s="1">
        <f>IFERROR(__xludf.DUMMYFUNCTION("""COMPUTED_VALUE"""),5.0)</f>
        <v>5</v>
      </c>
      <c r="D1395" s="1">
        <f>IFERROR(__xludf.DUMMYFUNCTION("""COMPUTED_VALUE"""),274.45)</f>
        <v>274.45</v>
      </c>
    </row>
    <row r="1396">
      <c r="A1396" s="1" t="str">
        <f>IFERROR(__xludf.DUMMYFUNCTION("""COMPUTED_VALUE"""),"PR050")</f>
        <v>PR050</v>
      </c>
      <c r="B1396" s="1" t="str">
        <f>IFERROR(__xludf.DUMMYFUNCTION("""COMPUTED_VALUE"""),"VD043")</f>
        <v>VD043</v>
      </c>
      <c r="C1396" s="1">
        <f>IFERROR(__xludf.DUMMYFUNCTION("""COMPUTED_VALUE"""),4.0)</f>
        <v>4</v>
      </c>
      <c r="D1396" s="1">
        <f>IFERROR(__xludf.DUMMYFUNCTION("""COMPUTED_VALUE"""),132.92)</f>
        <v>132.92</v>
      </c>
    </row>
    <row r="1397">
      <c r="A1397" s="1" t="str">
        <f>IFERROR(__xludf.DUMMYFUNCTION("""COMPUTED_VALUE"""),"PR029")</f>
        <v>PR029</v>
      </c>
      <c r="B1397" s="1" t="str">
        <f>IFERROR(__xludf.DUMMYFUNCTION("""COMPUTED_VALUE"""),"VD021")</f>
        <v>VD021</v>
      </c>
      <c r="C1397" s="1">
        <f>IFERROR(__xludf.DUMMYFUNCTION("""COMPUTED_VALUE"""),6.0)</f>
        <v>6</v>
      </c>
      <c r="D1397" s="1">
        <f>IFERROR(__xludf.DUMMYFUNCTION("""COMPUTED_VALUE"""),1683.0)</f>
        <v>1683</v>
      </c>
    </row>
    <row r="1398">
      <c r="A1398" s="1" t="str">
        <f>IFERROR(__xludf.DUMMYFUNCTION("""COMPUTED_VALUE"""),"PR057")</f>
        <v>PR057</v>
      </c>
      <c r="B1398" s="1" t="str">
        <f>IFERROR(__xludf.DUMMYFUNCTION("""COMPUTED_VALUE"""),"VD033")</f>
        <v>VD033</v>
      </c>
      <c r="C1398" s="1">
        <f>IFERROR(__xludf.DUMMYFUNCTION("""COMPUTED_VALUE"""),6.0)</f>
        <v>6</v>
      </c>
      <c r="D1398" s="1">
        <f>IFERROR(__xludf.DUMMYFUNCTION("""COMPUTED_VALUE"""),566.37)</f>
        <v>566.37</v>
      </c>
    </row>
    <row r="1399">
      <c r="A1399" s="1" t="str">
        <f>IFERROR(__xludf.DUMMYFUNCTION("""COMPUTED_VALUE"""),"PR006")</f>
        <v>PR006</v>
      </c>
      <c r="B1399" s="1" t="str">
        <f>IFERROR(__xludf.DUMMYFUNCTION("""COMPUTED_VALUE"""),"VD028")</f>
        <v>VD028</v>
      </c>
      <c r="C1399" s="1">
        <f>IFERROR(__xludf.DUMMYFUNCTION("""COMPUTED_VALUE"""),16.0)</f>
        <v>16</v>
      </c>
      <c r="D1399" s="1">
        <f>IFERROR(__xludf.DUMMYFUNCTION("""COMPUTED_VALUE"""),689.47)</f>
        <v>689.47</v>
      </c>
    </row>
    <row r="1400">
      <c r="A1400" s="1" t="str">
        <f>IFERROR(__xludf.DUMMYFUNCTION("""COMPUTED_VALUE"""),"PR006")</f>
        <v>PR006</v>
      </c>
      <c r="B1400" s="1" t="str">
        <f>IFERROR(__xludf.DUMMYFUNCTION("""COMPUTED_VALUE"""),"VD032")</f>
        <v>VD032</v>
      </c>
      <c r="C1400" s="1">
        <f>IFERROR(__xludf.DUMMYFUNCTION("""COMPUTED_VALUE"""),8.0)</f>
        <v>8</v>
      </c>
      <c r="D1400" s="1">
        <f>IFERROR(__xludf.DUMMYFUNCTION("""COMPUTED_VALUE"""),347.93)</f>
        <v>347.93</v>
      </c>
    </row>
    <row r="1401">
      <c r="A1401" s="1" t="str">
        <f>IFERROR(__xludf.DUMMYFUNCTION("""COMPUTED_VALUE"""),"PR014")</f>
        <v>PR014</v>
      </c>
      <c r="B1401" s="1" t="str">
        <f>IFERROR(__xludf.DUMMYFUNCTION("""COMPUTED_VALUE"""),"VD028")</f>
        <v>VD028</v>
      </c>
      <c r="C1401" s="1">
        <f>IFERROR(__xludf.DUMMYFUNCTION("""COMPUTED_VALUE"""),7.0)</f>
        <v>7</v>
      </c>
      <c r="D1401" s="1">
        <f>IFERROR(__xludf.DUMMYFUNCTION("""COMPUTED_VALUE"""),290.47)</f>
        <v>290.47</v>
      </c>
    </row>
    <row r="1402">
      <c r="A1402" s="1" t="str">
        <f>IFERROR(__xludf.DUMMYFUNCTION("""COMPUTED_VALUE"""),"PR027")</f>
        <v>PR027</v>
      </c>
      <c r="B1402" s="1" t="str">
        <f>IFERROR(__xludf.DUMMYFUNCTION("""COMPUTED_VALUE"""),"VD042")</f>
        <v>VD042</v>
      </c>
      <c r="C1402" s="1">
        <f>IFERROR(__xludf.DUMMYFUNCTION("""COMPUTED_VALUE"""),8.0)</f>
        <v>8</v>
      </c>
      <c r="D1402" s="1">
        <f>IFERROR(__xludf.DUMMYFUNCTION("""COMPUTED_VALUE"""),960.0)</f>
        <v>960</v>
      </c>
    </row>
    <row r="1403">
      <c r="A1403" s="1" t="str">
        <f>IFERROR(__xludf.DUMMYFUNCTION("""COMPUTED_VALUE"""),"PR004")</f>
        <v>PR004</v>
      </c>
      <c r="B1403" s="1" t="str">
        <f>IFERROR(__xludf.DUMMYFUNCTION("""COMPUTED_VALUE"""),"VD012")</f>
        <v>VD012</v>
      </c>
      <c r="C1403" s="1">
        <f>IFERROR(__xludf.DUMMYFUNCTION("""COMPUTED_VALUE"""),4.0)</f>
        <v>4</v>
      </c>
      <c r="D1403" s="1">
        <f>IFERROR(__xludf.DUMMYFUNCTION("""COMPUTED_VALUE"""),620.6)</f>
        <v>620.6</v>
      </c>
    </row>
    <row r="1404">
      <c r="A1404" s="1" t="str">
        <f>IFERROR(__xludf.DUMMYFUNCTION("""COMPUTED_VALUE"""),"PR020")</f>
        <v>PR020</v>
      </c>
      <c r="B1404" s="1" t="str">
        <f>IFERROR(__xludf.DUMMYFUNCTION("""COMPUTED_VALUE"""),"VD018")</f>
        <v>VD018</v>
      </c>
      <c r="C1404" s="1">
        <f>IFERROR(__xludf.DUMMYFUNCTION("""COMPUTED_VALUE"""),10.0)</f>
        <v>10</v>
      </c>
      <c r="D1404" s="1">
        <f>IFERROR(__xludf.DUMMYFUNCTION("""COMPUTED_VALUE"""),3118.96)</f>
        <v>3118.96</v>
      </c>
    </row>
    <row r="1405">
      <c r="A1405" s="1" t="str">
        <f>IFERROR(__xludf.DUMMYFUNCTION("""COMPUTED_VALUE"""),"PR004")</f>
        <v>PR004</v>
      </c>
      <c r="B1405" s="1" t="str">
        <f>IFERROR(__xludf.DUMMYFUNCTION("""COMPUTED_VALUE"""),"VD032")</f>
        <v>VD032</v>
      </c>
      <c r="C1405" s="1">
        <f>IFERROR(__xludf.DUMMYFUNCTION("""COMPUTED_VALUE"""),14.0)</f>
        <v>14</v>
      </c>
      <c r="D1405" s="1">
        <f>IFERROR(__xludf.DUMMYFUNCTION("""COMPUTED_VALUE"""),2172.1)</f>
        <v>2172.1</v>
      </c>
    </row>
    <row r="1406">
      <c r="A1406" s="1" t="str">
        <f>IFERROR(__xludf.DUMMYFUNCTION("""COMPUTED_VALUE"""),"PR014")</f>
        <v>PR014</v>
      </c>
      <c r="B1406" s="1" t="str">
        <f>IFERROR(__xludf.DUMMYFUNCTION("""COMPUTED_VALUE"""),"VD036")</f>
        <v>VD036</v>
      </c>
      <c r="C1406" s="1">
        <f>IFERROR(__xludf.DUMMYFUNCTION("""COMPUTED_VALUE"""),3.0)</f>
        <v>3</v>
      </c>
      <c r="D1406" s="1">
        <f>IFERROR(__xludf.DUMMYFUNCTION("""COMPUTED_VALUE"""),124.49)</f>
        <v>124.49</v>
      </c>
    </row>
    <row r="1407">
      <c r="A1407" s="1" t="str">
        <f>IFERROR(__xludf.DUMMYFUNCTION("""COMPUTED_VALUE"""),"PR033")</f>
        <v>PR033</v>
      </c>
      <c r="B1407" s="1" t="str">
        <f>IFERROR(__xludf.DUMMYFUNCTION("""COMPUTED_VALUE"""),"VD011")</f>
        <v>VD011</v>
      </c>
      <c r="C1407" s="1">
        <f>IFERROR(__xludf.DUMMYFUNCTION("""COMPUTED_VALUE"""),12.0)</f>
        <v>12</v>
      </c>
      <c r="D1407" s="1">
        <f>IFERROR(__xludf.DUMMYFUNCTION("""COMPUTED_VALUE"""),3149.99)</f>
        <v>3149.99</v>
      </c>
    </row>
    <row r="1408">
      <c r="A1408" s="1" t="str">
        <f>IFERROR(__xludf.DUMMYFUNCTION("""COMPUTED_VALUE"""),"PR049")</f>
        <v>PR049</v>
      </c>
      <c r="B1408" s="1" t="str">
        <f>IFERROR(__xludf.DUMMYFUNCTION("""COMPUTED_VALUE"""),"VD021")</f>
        <v>VD021</v>
      </c>
      <c r="C1408" s="1">
        <f>IFERROR(__xludf.DUMMYFUNCTION("""COMPUTED_VALUE"""),5.0)</f>
        <v>5</v>
      </c>
      <c r="D1408" s="1">
        <f>IFERROR(__xludf.DUMMYFUNCTION("""COMPUTED_VALUE"""),164.5)</f>
        <v>164.5</v>
      </c>
    </row>
    <row r="1409">
      <c r="A1409" s="1" t="str">
        <f>IFERROR(__xludf.DUMMYFUNCTION("""COMPUTED_VALUE"""),"PR021")</f>
        <v>PR021</v>
      </c>
      <c r="B1409" s="1" t="str">
        <f>IFERROR(__xludf.DUMMYFUNCTION("""COMPUTED_VALUE"""),"VD045")</f>
        <v>VD045</v>
      </c>
      <c r="C1409" s="1">
        <f>IFERROR(__xludf.DUMMYFUNCTION("""COMPUTED_VALUE"""),16.0)</f>
        <v>16</v>
      </c>
      <c r="D1409" s="1">
        <f>IFERROR(__xludf.DUMMYFUNCTION("""COMPUTED_VALUE"""),5088.72)</f>
        <v>5088.72</v>
      </c>
    </row>
    <row r="1410">
      <c r="A1410" s="1" t="str">
        <f>IFERROR(__xludf.DUMMYFUNCTION("""COMPUTED_VALUE"""),"PR018")</f>
        <v>PR018</v>
      </c>
      <c r="B1410" s="1" t="str">
        <f>IFERROR(__xludf.DUMMYFUNCTION("""COMPUTED_VALUE"""),"VD017")</f>
        <v>VD017</v>
      </c>
      <c r="C1410" s="1">
        <f>IFERROR(__xludf.DUMMYFUNCTION("""COMPUTED_VALUE"""),8.0)</f>
        <v>8</v>
      </c>
      <c r="D1410" s="1">
        <f>IFERROR(__xludf.DUMMYFUNCTION("""COMPUTED_VALUE"""),268.46)</f>
        <v>268.46</v>
      </c>
    </row>
    <row r="1411">
      <c r="A1411" s="1" t="str">
        <f>IFERROR(__xludf.DUMMYFUNCTION("""COMPUTED_VALUE"""),"PR038")</f>
        <v>PR038</v>
      </c>
      <c r="B1411" s="1" t="str">
        <f>IFERROR(__xludf.DUMMYFUNCTION("""COMPUTED_VALUE"""),"VD028")</f>
        <v>VD028</v>
      </c>
      <c r="C1411" s="1">
        <f>IFERROR(__xludf.DUMMYFUNCTION("""COMPUTED_VALUE"""),6.0)</f>
        <v>6</v>
      </c>
      <c r="D1411" s="1">
        <f>IFERROR(__xludf.DUMMYFUNCTION("""COMPUTED_VALUE"""),908.84)</f>
        <v>908.84</v>
      </c>
    </row>
    <row r="1412">
      <c r="A1412" s="1" t="str">
        <f>IFERROR(__xludf.DUMMYFUNCTION("""COMPUTED_VALUE"""),"PR037")</f>
        <v>PR037</v>
      </c>
      <c r="B1412" s="1" t="str">
        <f>IFERROR(__xludf.DUMMYFUNCTION("""COMPUTED_VALUE"""),"VD019")</f>
        <v>VD019</v>
      </c>
      <c r="C1412" s="1">
        <f>IFERROR(__xludf.DUMMYFUNCTION("""COMPUTED_VALUE"""),5.0)</f>
        <v>5</v>
      </c>
      <c r="D1412" s="1">
        <f>IFERROR(__xludf.DUMMYFUNCTION("""COMPUTED_VALUE"""),707.0)</f>
        <v>707</v>
      </c>
    </row>
    <row r="1413">
      <c r="A1413" s="1" t="str">
        <f>IFERROR(__xludf.DUMMYFUNCTION("""COMPUTED_VALUE"""),"PR041")</f>
        <v>PR041</v>
      </c>
      <c r="B1413" s="1" t="str">
        <f>IFERROR(__xludf.DUMMYFUNCTION("""COMPUTED_VALUE"""),"VD024")</f>
        <v>VD024</v>
      </c>
      <c r="C1413" s="1">
        <f>IFERROR(__xludf.DUMMYFUNCTION("""COMPUTED_VALUE"""),10.0)</f>
        <v>10</v>
      </c>
      <c r="D1413" s="1">
        <f>IFERROR(__xludf.DUMMYFUNCTION("""COMPUTED_VALUE"""),576.45)</f>
        <v>576.45</v>
      </c>
    </row>
    <row r="1414">
      <c r="A1414" s="1" t="str">
        <f>IFERROR(__xludf.DUMMYFUNCTION("""COMPUTED_VALUE"""),"PR014")</f>
        <v>PR014</v>
      </c>
      <c r="B1414" s="1" t="str">
        <f>IFERROR(__xludf.DUMMYFUNCTION("""COMPUTED_VALUE"""),"VD034")</f>
        <v>VD034</v>
      </c>
      <c r="C1414" s="1">
        <f>IFERROR(__xludf.DUMMYFUNCTION("""COMPUTED_VALUE"""),6.0)</f>
        <v>6</v>
      </c>
      <c r="D1414" s="1">
        <f>IFERROR(__xludf.DUMMYFUNCTION("""COMPUTED_VALUE"""),260.95)</f>
        <v>260.95</v>
      </c>
    </row>
    <row r="1415">
      <c r="A1415" s="1" t="str">
        <f>IFERROR(__xludf.DUMMYFUNCTION("""COMPUTED_VALUE"""),"PR002")</f>
        <v>PR002</v>
      </c>
      <c r="B1415" s="1" t="str">
        <f>IFERROR(__xludf.DUMMYFUNCTION("""COMPUTED_VALUE"""),"VD041")</f>
        <v>VD041</v>
      </c>
      <c r="C1415" s="1">
        <f>IFERROR(__xludf.DUMMYFUNCTION("""COMPUTED_VALUE"""),8.0)</f>
        <v>8</v>
      </c>
      <c r="D1415" s="1">
        <f>IFERROR(__xludf.DUMMYFUNCTION("""COMPUTED_VALUE"""),609.53)</f>
        <v>609.53</v>
      </c>
    </row>
    <row r="1416">
      <c r="A1416" s="1" t="str">
        <f>IFERROR(__xludf.DUMMYFUNCTION("""COMPUTED_VALUE"""),"PR023")</f>
        <v>PR023</v>
      </c>
      <c r="B1416" s="1" t="str">
        <f>IFERROR(__xludf.DUMMYFUNCTION("""COMPUTED_VALUE"""),"VD035")</f>
        <v>VD035</v>
      </c>
      <c r="C1416" s="1">
        <f>IFERROR(__xludf.DUMMYFUNCTION("""COMPUTED_VALUE"""),6.0)</f>
        <v>6</v>
      </c>
      <c r="D1416" s="1">
        <f>IFERROR(__xludf.DUMMYFUNCTION("""COMPUTED_VALUE"""),1604.36)</f>
        <v>1604.36</v>
      </c>
    </row>
    <row r="1417">
      <c r="A1417" s="1" t="str">
        <f>IFERROR(__xludf.DUMMYFUNCTION("""COMPUTED_VALUE"""),"PR008")</f>
        <v>PR008</v>
      </c>
      <c r="B1417" s="1" t="str">
        <f>IFERROR(__xludf.DUMMYFUNCTION("""COMPUTED_VALUE"""),"VD043")</f>
        <v>VD043</v>
      </c>
      <c r="C1417" s="1">
        <f>IFERROR(__xludf.DUMMYFUNCTION("""COMPUTED_VALUE"""),8.0)</f>
        <v>8</v>
      </c>
      <c r="D1417" s="1">
        <f>IFERROR(__xludf.DUMMYFUNCTION("""COMPUTED_VALUE"""),726.39)</f>
        <v>726.39</v>
      </c>
    </row>
    <row r="1418">
      <c r="A1418" s="1" t="str">
        <f>IFERROR(__xludf.DUMMYFUNCTION("""COMPUTED_VALUE"""),"PR053")</f>
        <v>PR053</v>
      </c>
      <c r="B1418" s="1" t="str">
        <f>IFERROR(__xludf.DUMMYFUNCTION("""COMPUTED_VALUE"""),"VD037")</f>
        <v>VD037</v>
      </c>
      <c r="C1418" s="1">
        <f>IFERROR(__xludf.DUMMYFUNCTION("""COMPUTED_VALUE"""),8.0)</f>
        <v>8</v>
      </c>
      <c r="D1418" s="1">
        <f>IFERROR(__xludf.DUMMYFUNCTION("""COMPUTED_VALUE"""),415.17)</f>
        <v>415.17</v>
      </c>
    </row>
    <row r="1419">
      <c r="A1419" s="1" t="str">
        <f>IFERROR(__xludf.DUMMYFUNCTION("""COMPUTED_VALUE"""),"PR014")</f>
        <v>PR014</v>
      </c>
      <c r="B1419" s="1" t="str">
        <f>IFERROR(__xludf.DUMMYFUNCTION("""COMPUTED_VALUE"""),"VD026")</f>
        <v>VD026</v>
      </c>
      <c r="C1419" s="1">
        <f>IFERROR(__xludf.DUMMYFUNCTION("""COMPUTED_VALUE"""),3.0)</f>
        <v>3</v>
      </c>
      <c r="D1419" s="1">
        <f>IFERROR(__xludf.DUMMYFUNCTION("""COMPUTED_VALUE"""),129.28)</f>
        <v>129.28</v>
      </c>
    </row>
    <row r="1420">
      <c r="A1420" s="1" t="str">
        <f>IFERROR(__xludf.DUMMYFUNCTION("""COMPUTED_VALUE"""),"PR028")</f>
        <v>PR028</v>
      </c>
      <c r="B1420" s="1" t="str">
        <f>IFERROR(__xludf.DUMMYFUNCTION("""COMPUTED_VALUE"""),"VD015")</f>
        <v>VD015</v>
      </c>
      <c r="C1420" s="1">
        <f>IFERROR(__xludf.DUMMYFUNCTION("""COMPUTED_VALUE"""),2.0)</f>
        <v>2</v>
      </c>
      <c r="D1420" s="1">
        <f>IFERROR(__xludf.DUMMYFUNCTION("""COMPUTED_VALUE"""),544.78)</f>
        <v>544.78</v>
      </c>
    </row>
    <row r="1421">
      <c r="A1421" s="1" t="str">
        <f>IFERROR(__xludf.DUMMYFUNCTION("""COMPUTED_VALUE"""),"PR059")</f>
        <v>PR059</v>
      </c>
      <c r="B1421" s="1" t="str">
        <f>IFERROR(__xludf.DUMMYFUNCTION("""COMPUTED_VALUE"""),"VD028")</f>
        <v>VD028</v>
      </c>
      <c r="C1421" s="1">
        <f>IFERROR(__xludf.DUMMYFUNCTION("""COMPUTED_VALUE"""),8.0)</f>
        <v>8</v>
      </c>
      <c r="D1421" s="1">
        <f>IFERROR(__xludf.DUMMYFUNCTION("""COMPUTED_VALUE"""),1440.0)</f>
        <v>1440</v>
      </c>
    </row>
    <row r="1422">
      <c r="A1422" s="1" t="str">
        <f>IFERROR(__xludf.DUMMYFUNCTION("""COMPUTED_VALUE"""),"PR053")</f>
        <v>PR053</v>
      </c>
      <c r="B1422" s="1" t="str">
        <f>IFERROR(__xludf.DUMMYFUNCTION("""COMPUTED_VALUE"""),"VD031")</f>
        <v>VD031</v>
      </c>
      <c r="C1422" s="1">
        <f>IFERROR(__xludf.DUMMYFUNCTION("""COMPUTED_VALUE"""),6.0)</f>
        <v>6</v>
      </c>
      <c r="D1422" s="1">
        <f>IFERROR(__xludf.DUMMYFUNCTION("""COMPUTED_VALUE"""),329.34)</f>
        <v>329.34</v>
      </c>
    </row>
    <row r="1423">
      <c r="A1423" s="1" t="str">
        <f>IFERROR(__xludf.DUMMYFUNCTION("""COMPUTED_VALUE"""),"PR005")</f>
        <v>PR005</v>
      </c>
      <c r="B1423" s="1" t="str">
        <f>IFERROR(__xludf.DUMMYFUNCTION("""COMPUTED_VALUE"""),"VD046")</f>
        <v>VD046</v>
      </c>
      <c r="C1423" s="1">
        <f>IFERROR(__xludf.DUMMYFUNCTION("""COMPUTED_VALUE"""),14.0)</f>
        <v>14</v>
      </c>
      <c r="D1423" s="1">
        <f>IFERROR(__xludf.DUMMYFUNCTION("""COMPUTED_VALUE"""),3674.99)</f>
        <v>3674.99</v>
      </c>
    </row>
    <row r="1424">
      <c r="A1424" s="1" t="str">
        <f>IFERROR(__xludf.DUMMYFUNCTION("""COMPUTED_VALUE"""),"PR016")</f>
        <v>PR016</v>
      </c>
      <c r="B1424" s="1" t="str">
        <f>IFERROR(__xludf.DUMMYFUNCTION("""COMPUTED_VALUE"""),"VD047")</f>
        <v>VD047</v>
      </c>
      <c r="C1424" s="1">
        <f>IFERROR(__xludf.DUMMYFUNCTION("""COMPUTED_VALUE"""),6.0)</f>
        <v>6</v>
      </c>
      <c r="D1424" s="1">
        <f>IFERROR(__xludf.DUMMYFUNCTION("""COMPUTED_VALUE"""),158.51)</f>
        <v>158.51</v>
      </c>
    </row>
    <row r="1425">
      <c r="A1425" s="1" t="str">
        <f>IFERROR(__xludf.DUMMYFUNCTION("""COMPUTED_VALUE"""),"PR019")</f>
        <v>PR019</v>
      </c>
      <c r="B1425" s="1" t="str">
        <f>IFERROR(__xludf.DUMMYFUNCTION("""COMPUTED_VALUE"""),"VD023")</f>
        <v>VD023</v>
      </c>
      <c r="C1425" s="1">
        <f>IFERROR(__xludf.DUMMYFUNCTION("""COMPUTED_VALUE"""),8.0)</f>
        <v>8</v>
      </c>
      <c r="D1425" s="1">
        <f>IFERROR(__xludf.DUMMYFUNCTION("""COMPUTED_VALUE"""),407.18)</f>
        <v>407.18</v>
      </c>
    </row>
    <row r="1426">
      <c r="A1426" s="1" t="str">
        <f>IFERROR(__xludf.DUMMYFUNCTION("""COMPUTED_VALUE"""),"PR049")</f>
        <v>PR049</v>
      </c>
      <c r="B1426" s="1" t="str">
        <f>IFERROR(__xludf.DUMMYFUNCTION("""COMPUTED_VALUE"""),"VD028")</f>
        <v>VD028</v>
      </c>
      <c r="C1426" s="1">
        <f>IFERROR(__xludf.DUMMYFUNCTION("""COMPUTED_VALUE"""),2.0)</f>
        <v>2</v>
      </c>
      <c r="D1426" s="1">
        <f>IFERROR(__xludf.DUMMYFUNCTION("""COMPUTED_VALUE"""),69.75)</f>
        <v>69.75</v>
      </c>
    </row>
    <row r="1427">
      <c r="A1427" s="1" t="str">
        <f>IFERROR(__xludf.DUMMYFUNCTION("""COMPUTED_VALUE"""),"PR036")</f>
        <v>PR036</v>
      </c>
      <c r="B1427" s="1" t="str">
        <f>IFERROR(__xludf.DUMMYFUNCTION("""COMPUTED_VALUE"""),"VD043")</f>
        <v>VD043</v>
      </c>
      <c r="C1427" s="1">
        <f>IFERROR(__xludf.DUMMYFUNCTION("""COMPUTED_VALUE"""),4.0)</f>
        <v>4</v>
      </c>
      <c r="D1427" s="1">
        <f>IFERROR(__xludf.DUMMYFUNCTION("""COMPUTED_VALUE"""),381.48)</f>
        <v>381.48</v>
      </c>
    </row>
    <row r="1428">
      <c r="A1428" s="1" t="str">
        <f>IFERROR(__xludf.DUMMYFUNCTION("""COMPUTED_VALUE"""),"PR027")</f>
        <v>PR027</v>
      </c>
      <c r="B1428" s="1" t="str">
        <f>IFERROR(__xludf.DUMMYFUNCTION("""COMPUTED_VALUE"""),"VD019")</f>
        <v>VD019</v>
      </c>
      <c r="C1428" s="1">
        <f>IFERROR(__xludf.DUMMYFUNCTION("""COMPUTED_VALUE"""),1.0)</f>
        <v>1</v>
      </c>
      <c r="D1428" s="1">
        <f>IFERROR(__xludf.DUMMYFUNCTION("""COMPUTED_VALUE"""),122.4)</f>
        <v>122.4</v>
      </c>
    </row>
    <row r="1429">
      <c r="A1429" s="1" t="str">
        <f>IFERROR(__xludf.DUMMYFUNCTION("""COMPUTED_VALUE"""),"PR028")</f>
        <v>PR028</v>
      </c>
      <c r="B1429" s="1" t="str">
        <f>IFERROR(__xludf.DUMMYFUNCTION("""COMPUTED_VALUE"""),"VD020")</f>
        <v>VD020</v>
      </c>
      <c r="C1429" s="1">
        <f>IFERROR(__xludf.DUMMYFUNCTION("""COMPUTED_VALUE"""),14.0)</f>
        <v>14</v>
      </c>
      <c r="D1429" s="1">
        <f>IFERROR(__xludf.DUMMYFUNCTION("""COMPUTED_VALUE"""),3533.59)</f>
        <v>3533.59</v>
      </c>
    </row>
    <row r="1430">
      <c r="A1430" s="1" t="str">
        <f>IFERROR(__xludf.DUMMYFUNCTION("""COMPUTED_VALUE"""),"PR022")</f>
        <v>PR022</v>
      </c>
      <c r="B1430" s="1" t="str">
        <f>IFERROR(__xludf.DUMMYFUNCTION("""COMPUTED_VALUE"""),"VD010")</f>
        <v>VD010</v>
      </c>
      <c r="C1430" s="1">
        <f>IFERROR(__xludf.DUMMYFUNCTION("""COMPUTED_VALUE"""),20.0)</f>
        <v>20</v>
      </c>
      <c r="D1430" s="1">
        <f>IFERROR(__xludf.DUMMYFUNCTION("""COMPUTED_VALUE"""),6060.0)</f>
        <v>6060</v>
      </c>
    </row>
    <row r="1431">
      <c r="A1431" s="1" t="str">
        <f>IFERROR(__xludf.DUMMYFUNCTION("""COMPUTED_VALUE"""),"PR059")</f>
        <v>PR059</v>
      </c>
      <c r="B1431" s="1" t="str">
        <f>IFERROR(__xludf.DUMMYFUNCTION("""COMPUTED_VALUE"""),"VD010")</f>
        <v>VD010</v>
      </c>
      <c r="C1431" s="1">
        <f>IFERROR(__xludf.DUMMYFUNCTION("""COMPUTED_VALUE"""),8.0)</f>
        <v>8</v>
      </c>
      <c r="D1431" s="1">
        <f>IFERROR(__xludf.DUMMYFUNCTION("""COMPUTED_VALUE"""),1584.0)</f>
        <v>1584</v>
      </c>
    </row>
    <row r="1432">
      <c r="A1432" s="1" t="str">
        <f>IFERROR(__xludf.DUMMYFUNCTION("""COMPUTED_VALUE"""),"PR059")</f>
        <v>PR059</v>
      </c>
      <c r="B1432" s="1" t="str">
        <f>IFERROR(__xludf.DUMMYFUNCTION("""COMPUTED_VALUE"""),"VD029")</f>
        <v>VD029</v>
      </c>
      <c r="C1432" s="1">
        <f>IFERROR(__xludf.DUMMYFUNCTION("""COMPUTED_VALUE"""),18.0)</f>
        <v>18</v>
      </c>
      <c r="D1432" s="1">
        <f>IFERROR(__xludf.DUMMYFUNCTION("""COMPUTED_VALUE"""),3564.0)</f>
        <v>3564</v>
      </c>
    </row>
    <row r="1433">
      <c r="A1433" s="1" t="str">
        <f>IFERROR(__xludf.DUMMYFUNCTION("""COMPUTED_VALUE"""),"PR056")</f>
        <v>PR056</v>
      </c>
      <c r="B1433" s="1" t="str">
        <f>IFERROR(__xludf.DUMMYFUNCTION("""COMPUTED_VALUE"""),"VD011")</f>
        <v>VD011</v>
      </c>
      <c r="C1433" s="1">
        <f>IFERROR(__xludf.DUMMYFUNCTION("""COMPUTED_VALUE"""),12.0)</f>
        <v>12</v>
      </c>
      <c r="D1433" s="1">
        <f>IFERROR(__xludf.DUMMYFUNCTION("""COMPUTED_VALUE"""),1121.95)</f>
        <v>1121.95</v>
      </c>
    </row>
    <row r="1434">
      <c r="A1434" s="1" t="str">
        <f>IFERROR(__xludf.DUMMYFUNCTION("""COMPUTED_VALUE"""),"PR033")</f>
        <v>PR033</v>
      </c>
      <c r="B1434" s="1" t="str">
        <f>IFERROR(__xludf.DUMMYFUNCTION("""COMPUTED_VALUE"""),"VD027")</f>
        <v>VD027</v>
      </c>
      <c r="C1434" s="1">
        <f>IFERROR(__xludf.DUMMYFUNCTION("""COMPUTED_VALUE"""),6.0)</f>
        <v>6</v>
      </c>
      <c r="D1434" s="1">
        <f>IFERROR(__xludf.DUMMYFUNCTION("""COMPUTED_VALUE"""),1699.75)</f>
        <v>1699.75</v>
      </c>
    </row>
    <row r="1435">
      <c r="A1435" s="1" t="str">
        <f>IFERROR(__xludf.DUMMYFUNCTION("""COMPUTED_VALUE"""),"PR021")</f>
        <v>PR021</v>
      </c>
      <c r="B1435" s="1" t="str">
        <f>IFERROR(__xludf.DUMMYFUNCTION("""COMPUTED_VALUE"""),"VD038")</f>
        <v>VD038</v>
      </c>
      <c r="C1435" s="1">
        <f>IFERROR(__xludf.DUMMYFUNCTION("""COMPUTED_VALUE"""),2.0)</f>
        <v>2</v>
      </c>
      <c r="D1435" s="1">
        <f>IFERROR(__xludf.DUMMYFUNCTION("""COMPUTED_VALUE"""),605.8)</f>
        <v>605.8</v>
      </c>
    </row>
    <row r="1436">
      <c r="A1436" s="1" t="str">
        <f>IFERROR(__xludf.DUMMYFUNCTION("""COMPUTED_VALUE"""),"PR045")</f>
        <v>PR045</v>
      </c>
      <c r="B1436" s="1" t="str">
        <f>IFERROR(__xludf.DUMMYFUNCTION("""COMPUTED_VALUE"""),"VD018")</f>
        <v>VD018</v>
      </c>
      <c r="C1436" s="1">
        <f>IFERROR(__xludf.DUMMYFUNCTION("""COMPUTED_VALUE"""),6.0)</f>
        <v>6</v>
      </c>
      <c r="D1436" s="1">
        <f>IFERROR(__xludf.DUMMYFUNCTION("""COMPUTED_VALUE"""),443.7)</f>
        <v>443.7</v>
      </c>
    </row>
    <row r="1437">
      <c r="A1437" s="1" t="str">
        <f>IFERROR(__xludf.DUMMYFUNCTION("""COMPUTED_VALUE"""),"PR055")</f>
        <v>PR055</v>
      </c>
      <c r="B1437" s="1" t="str">
        <f>IFERROR(__xludf.DUMMYFUNCTION("""COMPUTED_VALUE"""),"VD019")</f>
        <v>VD019</v>
      </c>
      <c r="C1437" s="1">
        <f>IFERROR(__xludf.DUMMYFUNCTION("""COMPUTED_VALUE"""),6.0)</f>
        <v>6</v>
      </c>
      <c r="D1437" s="1">
        <f>IFERROR(__xludf.DUMMYFUNCTION("""COMPUTED_VALUE"""),560.98)</f>
        <v>560.98</v>
      </c>
    </row>
    <row r="1438">
      <c r="A1438" s="1" t="str">
        <f>IFERROR(__xludf.DUMMYFUNCTION("""COMPUTED_VALUE"""),"PR017")</f>
        <v>PR017</v>
      </c>
      <c r="B1438" s="1" t="str">
        <f>IFERROR(__xludf.DUMMYFUNCTION("""COMPUTED_VALUE"""),"VD013")</f>
        <v>VD013</v>
      </c>
      <c r="C1438" s="1">
        <f>IFERROR(__xludf.DUMMYFUNCTION("""COMPUTED_VALUE"""),9.0)</f>
        <v>9</v>
      </c>
      <c r="D1438" s="1">
        <f>IFERROR(__xludf.DUMMYFUNCTION("""COMPUTED_VALUE"""),282.56)</f>
        <v>282.56</v>
      </c>
    </row>
    <row r="1439">
      <c r="A1439" s="1" t="str">
        <f>IFERROR(__xludf.DUMMYFUNCTION("""COMPUTED_VALUE"""),"PR039")</f>
        <v>PR039</v>
      </c>
      <c r="B1439" s="1" t="str">
        <f>IFERROR(__xludf.DUMMYFUNCTION("""COMPUTED_VALUE"""),"VD040")</f>
        <v>VD040</v>
      </c>
      <c r="C1439" s="1">
        <f>IFERROR(__xludf.DUMMYFUNCTION("""COMPUTED_VALUE"""),4.0)</f>
        <v>4</v>
      </c>
      <c r="D1439" s="1">
        <f>IFERROR(__xludf.DUMMYFUNCTION("""COMPUTED_VALUE"""),601.52)</f>
        <v>601.52</v>
      </c>
    </row>
    <row r="1440">
      <c r="A1440" s="1" t="str">
        <f>IFERROR(__xludf.DUMMYFUNCTION("""COMPUTED_VALUE"""),"PR060")</f>
        <v>PR060</v>
      </c>
      <c r="B1440" s="1" t="str">
        <f>IFERROR(__xludf.DUMMYFUNCTION("""COMPUTED_VALUE"""),"VD037")</f>
        <v>VD037</v>
      </c>
      <c r="C1440" s="1">
        <f>IFERROR(__xludf.DUMMYFUNCTION("""COMPUTED_VALUE"""),10.0)</f>
        <v>10</v>
      </c>
      <c r="D1440" s="1">
        <f>IFERROR(__xludf.DUMMYFUNCTION("""COMPUTED_VALUE"""),1818.0)</f>
        <v>1818</v>
      </c>
    </row>
    <row r="1441">
      <c r="A1441" s="1" t="str">
        <f>IFERROR(__xludf.DUMMYFUNCTION("""COMPUTED_VALUE"""),"PR029")</f>
        <v>PR029</v>
      </c>
      <c r="B1441" s="1" t="str">
        <f>IFERROR(__xludf.DUMMYFUNCTION("""COMPUTED_VALUE"""),"VD013")</f>
        <v>VD013</v>
      </c>
      <c r="C1441" s="1">
        <f>IFERROR(__xludf.DUMMYFUNCTION("""COMPUTED_VALUE"""),7.0)</f>
        <v>7</v>
      </c>
      <c r="D1441" s="1">
        <f>IFERROR(__xludf.DUMMYFUNCTION("""COMPUTED_VALUE"""),1963.5)</f>
        <v>1963.5</v>
      </c>
    </row>
    <row r="1442">
      <c r="A1442" s="1" t="str">
        <f>IFERROR(__xludf.DUMMYFUNCTION("""COMPUTED_VALUE"""),"PR009")</f>
        <v>PR009</v>
      </c>
      <c r="B1442" s="1" t="str">
        <f>IFERROR(__xludf.DUMMYFUNCTION("""COMPUTED_VALUE"""),"VD011")</f>
        <v>VD011</v>
      </c>
      <c r="C1442" s="1">
        <f>IFERROR(__xludf.DUMMYFUNCTION("""COMPUTED_VALUE"""),14.0)</f>
        <v>14</v>
      </c>
      <c r="D1442" s="1">
        <f>IFERROR(__xludf.DUMMYFUNCTION("""COMPUTED_VALUE"""),1365.63)</f>
        <v>1365.63</v>
      </c>
    </row>
    <row r="1443">
      <c r="A1443" s="1" t="str">
        <f>IFERROR(__xludf.DUMMYFUNCTION("""COMPUTED_VALUE"""),"PR050")</f>
        <v>PR050</v>
      </c>
      <c r="B1443" s="1" t="str">
        <f>IFERROR(__xludf.DUMMYFUNCTION("""COMPUTED_VALUE"""),"VD033")</f>
        <v>VD033</v>
      </c>
      <c r="C1443" s="1">
        <f>IFERROR(__xludf.DUMMYFUNCTION("""COMPUTED_VALUE"""),6.0)</f>
        <v>6</v>
      </c>
      <c r="D1443" s="1">
        <f>IFERROR(__xludf.DUMMYFUNCTION("""COMPUTED_VALUE"""),205.3)</f>
        <v>205.3</v>
      </c>
    </row>
    <row r="1444">
      <c r="A1444" s="1" t="str">
        <f>IFERROR(__xludf.DUMMYFUNCTION("""COMPUTED_VALUE"""),"PR004")</f>
        <v>PR004</v>
      </c>
      <c r="B1444" s="1" t="str">
        <f>IFERROR(__xludf.DUMMYFUNCTION("""COMPUTED_VALUE"""),"VD021")</f>
        <v>VD021</v>
      </c>
      <c r="C1444" s="1">
        <f>IFERROR(__xludf.DUMMYFUNCTION("""COMPUTED_VALUE"""),8.0)</f>
        <v>8</v>
      </c>
      <c r="D1444" s="1">
        <f>IFERROR(__xludf.DUMMYFUNCTION("""COMPUTED_VALUE"""),1264.4)</f>
        <v>1264.4</v>
      </c>
    </row>
    <row r="1445">
      <c r="A1445" s="1" t="str">
        <f>IFERROR(__xludf.DUMMYFUNCTION("""COMPUTED_VALUE"""),"PR017")</f>
        <v>PR017</v>
      </c>
      <c r="B1445" s="1" t="str">
        <f>IFERROR(__xludf.DUMMYFUNCTION("""COMPUTED_VALUE"""),"VD045")</f>
        <v>VD045</v>
      </c>
      <c r="C1445" s="1">
        <f>IFERROR(__xludf.DUMMYFUNCTION("""COMPUTED_VALUE"""),9.0)</f>
        <v>9</v>
      </c>
      <c r="D1445" s="1">
        <f>IFERROR(__xludf.DUMMYFUNCTION("""COMPUTED_VALUE"""),269.1)</f>
        <v>269.1</v>
      </c>
    </row>
    <row r="1446">
      <c r="A1446" s="1" t="str">
        <f>IFERROR(__xludf.DUMMYFUNCTION("""COMPUTED_VALUE"""),"PR054")</f>
        <v>PR054</v>
      </c>
      <c r="B1446" s="1" t="str">
        <f>IFERROR(__xludf.DUMMYFUNCTION("""COMPUTED_VALUE"""),"VD049")</f>
        <v>VD049</v>
      </c>
      <c r="C1446" s="1">
        <f>IFERROR(__xludf.DUMMYFUNCTION("""COMPUTED_VALUE"""),8.0)</f>
        <v>8</v>
      </c>
      <c r="D1446" s="1">
        <f>IFERROR(__xludf.DUMMYFUNCTION("""COMPUTED_VALUE"""),403.19)</f>
        <v>403.19</v>
      </c>
    </row>
    <row r="1447">
      <c r="A1447" s="1" t="str">
        <f>IFERROR(__xludf.DUMMYFUNCTION("""COMPUTED_VALUE"""),"PR028")</f>
        <v>PR028</v>
      </c>
      <c r="B1447" s="1" t="str">
        <f>IFERROR(__xludf.DUMMYFUNCTION("""COMPUTED_VALUE"""),"VD033")</f>
        <v>VD033</v>
      </c>
      <c r="C1447" s="1">
        <f>IFERROR(__xludf.DUMMYFUNCTION("""COMPUTED_VALUE"""),8.0)</f>
        <v>8</v>
      </c>
      <c r="D1447" s="1">
        <f>IFERROR(__xludf.DUMMYFUNCTION("""COMPUTED_VALUE"""),2119.15)</f>
        <v>2119.15</v>
      </c>
    </row>
    <row r="1448">
      <c r="A1448" s="1" t="str">
        <f>IFERROR(__xludf.DUMMYFUNCTION("""COMPUTED_VALUE"""),"PR037")</f>
        <v>PR037</v>
      </c>
      <c r="B1448" s="1" t="str">
        <f>IFERROR(__xludf.DUMMYFUNCTION("""COMPUTED_VALUE"""),"VD024")</f>
        <v>VD024</v>
      </c>
      <c r="C1448" s="1">
        <f>IFERROR(__xludf.DUMMYFUNCTION("""COMPUTED_VALUE"""),6.0)</f>
        <v>6</v>
      </c>
      <c r="D1448" s="1">
        <f>IFERROR(__xludf.DUMMYFUNCTION("""COMPUTED_VALUE"""),924.0)</f>
        <v>924</v>
      </c>
    </row>
    <row r="1449">
      <c r="A1449" s="1" t="str">
        <f>IFERROR(__xludf.DUMMYFUNCTION("""COMPUTED_VALUE"""),"PR011")</f>
        <v>PR011</v>
      </c>
      <c r="B1449" s="1" t="str">
        <f>IFERROR(__xludf.DUMMYFUNCTION("""COMPUTED_VALUE"""),"VD012")</f>
        <v>VD012</v>
      </c>
      <c r="C1449" s="1">
        <f>IFERROR(__xludf.DUMMYFUNCTION("""COMPUTED_VALUE"""),3.0)</f>
        <v>3</v>
      </c>
      <c r="D1449" s="1">
        <f>IFERROR(__xludf.DUMMYFUNCTION("""COMPUTED_VALUE"""),143.51)</f>
        <v>143.51</v>
      </c>
    </row>
    <row r="1450">
      <c r="A1450" s="1" t="str">
        <f>IFERROR(__xludf.DUMMYFUNCTION("""COMPUTED_VALUE"""),"PR047")</f>
        <v>PR047</v>
      </c>
      <c r="B1450" s="1" t="str">
        <f>IFERROR(__xludf.DUMMYFUNCTION("""COMPUTED_VALUE"""),"VD037")</f>
        <v>VD037</v>
      </c>
      <c r="C1450" s="1">
        <f>IFERROR(__xludf.DUMMYFUNCTION("""COMPUTED_VALUE"""),6.0)</f>
        <v>6</v>
      </c>
      <c r="D1450" s="1">
        <f>IFERROR(__xludf.DUMMYFUNCTION("""COMPUTED_VALUE"""),1808.98)</f>
        <v>1808.98</v>
      </c>
    </row>
    <row r="1451">
      <c r="A1451" s="1" t="str">
        <f>IFERROR(__xludf.DUMMYFUNCTION("""COMPUTED_VALUE"""),"PR036")</f>
        <v>PR036</v>
      </c>
      <c r="B1451" s="1" t="str">
        <f>IFERROR(__xludf.DUMMYFUNCTION("""COMPUTED_VALUE"""),"VD027")</f>
        <v>VD027</v>
      </c>
      <c r="C1451" s="1">
        <f>IFERROR(__xludf.DUMMYFUNCTION("""COMPUTED_VALUE"""),7.0)</f>
        <v>7</v>
      </c>
      <c r="D1451" s="1">
        <f>IFERROR(__xludf.DUMMYFUNCTION("""COMPUTED_VALUE"""),693.77)</f>
        <v>693.77</v>
      </c>
    </row>
    <row r="1452">
      <c r="A1452" s="1" t="str">
        <f>IFERROR(__xludf.DUMMYFUNCTION("""COMPUTED_VALUE"""),"PR027")</f>
        <v>PR027</v>
      </c>
      <c r="B1452" s="1" t="str">
        <f>IFERROR(__xludf.DUMMYFUNCTION("""COMPUTED_VALUE"""),"VD034")</f>
        <v>VD034</v>
      </c>
      <c r="C1452" s="1">
        <f>IFERROR(__xludf.DUMMYFUNCTION("""COMPUTED_VALUE"""),6.0)</f>
        <v>6</v>
      </c>
      <c r="D1452" s="1">
        <f>IFERROR(__xludf.DUMMYFUNCTION("""COMPUTED_VALUE"""),720.0)</f>
        <v>720</v>
      </c>
    </row>
    <row r="1453">
      <c r="A1453" s="1" t="str">
        <f>IFERROR(__xludf.DUMMYFUNCTION("""COMPUTED_VALUE"""),"PR018")</f>
        <v>PR018</v>
      </c>
      <c r="B1453" s="1" t="str">
        <f>IFERROR(__xludf.DUMMYFUNCTION("""COMPUTED_VALUE"""),"VD017")</f>
        <v>VD017</v>
      </c>
      <c r="C1453" s="1">
        <f>IFERROR(__xludf.DUMMYFUNCTION("""COMPUTED_VALUE"""),8.0)</f>
        <v>8</v>
      </c>
      <c r="D1453" s="1">
        <f>IFERROR(__xludf.DUMMYFUNCTION("""COMPUTED_VALUE"""),268.46)</f>
        <v>268.46</v>
      </c>
    </row>
    <row r="1454">
      <c r="A1454" s="1" t="str">
        <f>IFERROR(__xludf.DUMMYFUNCTION("""COMPUTED_VALUE"""),"PR043")</f>
        <v>PR043</v>
      </c>
      <c r="B1454" s="1" t="str">
        <f>IFERROR(__xludf.DUMMYFUNCTION("""COMPUTED_VALUE"""),"VD038")</f>
        <v>VD038</v>
      </c>
      <c r="C1454" s="1">
        <f>IFERROR(__xludf.DUMMYFUNCTION("""COMPUTED_VALUE"""),14.0)</f>
        <v>14</v>
      </c>
      <c r="D1454" s="1">
        <f>IFERROR(__xludf.DUMMYFUNCTION("""COMPUTED_VALUE"""),1035.3)</f>
        <v>1035.3</v>
      </c>
    </row>
    <row r="1455">
      <c r="A1455" s="1" t="str">
        <f>IFERROR(__xludf.DUMMYFUNCTION("""COMPUTED_VALUE"""),"PR023")</f>
        <v>PR023</v>
      </c>
      <c r="B1455" s="1" t="str">
        <f>IFERROR(__xludf.DUMMYFUNCTION("""COMPUTED_VALUE"""),"VD046")</f>
        <v>VD046</v>
      </c>
      <c r="C1455" s="1">
        <f>IFERROR(__xludf.DUMMYFUNCTION("""COMPUTED_VALUE"""),12.0)</f>
        <v>12</v>
      </c>
      <c r="D1455" s="1">
        <f>IFERROR(__xludf.DUMMYFUNCTION("""COMPUTED_VALUE"""),3058.78)</f>
        <v>3058.78</v>
      </c>
    </row>
    <row r="1456">
      <c r="A1456" s="1" t="str">
        <f>IFERROR(__xludf.DUMMYFUNCTION("""COMPUTED_VALUE"""),"PR014")</f>
        <v>PR014</v>
      </c>
      <c r="B1456" s="1" t="str">
        <f>IFERROR(__xludf.DUMMYFUNCTION("""COMPUTED_VALUE"""),"VD019")</f>
        <v>VD019</v>
      </c>
      <c r="C1456" s="1">
        <f>IFERROR(__xludf.DUMMYFUNCTION("""COMPUTED_VALUE"""),18.0)</f>
        <v>18</v>
      </c>
      <c r="D1456" s="1">
        <f>IFERROR(__xludf.DUMMYFUNCTION("""COMPUTED_VALUE"""),718.2)</f>
        <v>718.2</v>
      </c>
    </row>
    <row r="1457">
      <c r="A1457" s="1" t="str">
        <f>IFERROR(__xludf.DUMMYFUNCTION("""COMPUTED_VALUE"""),"PR028")</f>
        <v>PR028</v>
      </c>
      <c r="B1457" s="1" t="str">
        <f>IFERROR(__xludf.DUMMYFUNCTION("""COMPUTED_VALUE"""),"VD029")</f>
        <v>VD029</v>
      </c>
      <c r="C1457" s="1">
        <f>IFERROR(__xludf.DUMMYFUNCTION("""COMPUTED_VALUE"""),9.0)</f>
        <v>9</v>
      </c>
      <c r="D1457" s="1">
        <f>IFERROR(__xludf.DUMMYFUNCTION("""COMPUTED_VALUE"""),2406.54)</f>
        <v>2406.54</v>
      </c>
    </row>
    <row r="1458">
      <c r="A1458" s="1" t="str">
        <f>IFERROR(__xludf.DUMMYFUNCTION("""COMPUTED_VALUE"""),"PR054")</f>
        <v>PR054</v>
      </c>
      <c r="B1458" s="1" t="str">
        <f>IFERROR(__xludf.DUMMYFUNCTION("""COMPUTED_VALUE"""),"VD015")</f>
        <v>VD015</v>
      </c>
      <c r="C1458" s="1">
        <f>IFERROR(__xludf.DUMMYFUNCTION("""COMPUTED_VALUE"""),2.0)</f>
        <v>2</v>
      </c>
      <c r="D1458" s="1">
        <f>IFERROR(__xludf.DUMMYFUNCTION("""COMPUTED_VALUE"""),100.8)</f>
        <v>100.8</v>
      </c>
    </row>
    <row r="1459">
      <c r="A1459" s="1" t="str">
        <f>IFERROR(__xludf.DUMMYFUNCTION("""COMPUTED_VALUE"""),"PR010")</f>
        <v>PR010</v>
      </c>
      <c r="B1459" s="1" t="str">
        <f>IFERROR(__xludf.DUMMYFUNCTION("""COMPUTED_VALUE"""),"VD018")</f>
        <v>VD018</v>
      </c>
      <c r="C1459" s="1">
        <f>IFERROR(__xludf.DUMMYFUNCTION("""COMPUTED_VALUE"""),10.0)</f>
        <v>10</v>
      </c>
      <c r="D1459" s="1">
        <f>IFERROR(__xludf.DUMMYFUNCTION("""COMPUTED_VALUE"""),475.94)</f>
        <v>475.94</v>
      </c>
    </row>
    <row r="1460">
      <c r="A1460" s="1" t="str">
        <f>IFERROR(__xludf.DUMMYFUNCTION("""COMPUTED_VALUE"""),"PR042")</f>
        <v>PR042</v>
      </c>
      <c r="B1460" s="1" t="str">
        <f>IFERROR(__xludf.DUMMYFUNCTION("""COMPUTED_VALUE"""),"VD026")</f>
        <v>VD026</v>
      </c>
      <c r="C1460" s="1">
        <f>IFERROR(__xludf.DUMMYFUNCTION("""COMPUTED_VALUE"""),3.0)</f>
        <v>3</v>
      </c>
      <c r="D1460" s="1">
        <f>IFERROR(__xludf.DUMMYFUNCTION("""COMPUTED_VALUE"""),164.7)</f>
        <v>164.7</v>
      </c>
    </row>
    <row r="1461">
      <c r="A1461" s="1" t="str">
        <f>IFERROR(__xludf.DUMMYFUNCTION("""COMPUTED_VALUE"""),"PR039")</f>
        <v>PR039</v>
      </c>
      <c r="B1461" s="1" t="str">
        <f>IFERROR(__xludf.DUMMYFUNCTION("""COMPUTED_VALUE"""),"VD044")</f>
        <v>VD044</v>
      </c>
      <c r="C1461" s="1">
        <f>IFERROR(__xludf.DUMMYFUNCTION("""COMPUTED_VALUE"""),2.0)</f>
        <v>2</v>
      </c>
      <c r="D1461" s="1">
        <f>IFERROR(__xludf.DUMMYFUNCTION("""COMPUTED_VALUE"""),312.44)</f>
        <v>312.44</v>
      </c>
    </row>
    <row r="1462">
      <c r="A1462" s="1" t="str">
        <f>IFERROR(__xludf.DUMMYFUNCTION("""COMPUTED_VALUE"""),"PR010")</f>
        <v>PR010</v>
      </c>
      <c r="B1462" s="1" t="str">
        <f>IFERROR(__xludf.DUMMYFUNCTION("""COMPUTED_VALUE"""),"VD047")</f>
        <v>VD047</v>
      </c>
      <c r="C1462" s="1">
        <f>IFERROR(__xludf.DUMMYFUNCTION("""COMPUTED_VALUE"""),2.0)</f>
        <v>2</v>
      </c>
      <c r="D1462" s="1">
        <f>IFERROR(__xludf.DUMMYFUNCTION("""COMPUTED_VALUE"""),91.6)</f>
        <v>91.6</v>
      </c>
    </row>
    <row r="1463">
      <c r="A1463" s="1" t="str">
        <f>IFERROR(__xludf.DUMMYFUNCTION("""COMPUTED_VALUE"""),"PR046")</f>
        <v>PR046</v>
      </c>
      <c r="B1463" s="1" t="str">
        <f>IFERROR(__xludf.DUMMYFUNCTION("""COMPUTED_VALUE"""),"VD024")</f>
        <v>VD024</v>
      </c>
      <c r="C1463" s="1">
        <f>IFERROR(__xludf.DUMMYFUNCTION("""COMPUTED_VALUE"""),10.0)</f>
        <v>10</v>
      </c>
      <c r="D1463" s="1">
        <f>IFERROR(__xludf.DUMMYFUNCTION("""COMPUTED_VALUE"""),3043.95)</f>
        <v>3043.95</v>
      </c>
    </row>
    <row r="1464">
      <c r="A1464" s="1" t="str">
        <f>IFERROR(__xludf.DUMMYFUNCTION("""COMPUTED_VALUE"""),"PR059")</f>
        <v>PR059</v>
      </c>
      <c r="B1464" s="1" t="str">
        <f>IFERROR(__xludf.DUMMYFUNCTION("""COMPUTED_VALUE"""),"VD019")</f>
        <v>VD019</v>
      </c>
      <c r="C1464" s="1">
        <f>IFERROR(__xludf.DUMMYFUNCTION("""COMPUTED_VALUE"""),7.0)</f>
        <v>7</v>
      </c>
      <c r="D1464" s="1">
        <f>IFERROR(__xludf.DUMMYFUNCTION("""COMPUTED_VALUE"""),1285.2)</f>
        <v>1285.2</v>
      </c>
    </row>
    <row r="1465">
      <c r="A1465" s="1" t="str">
        <f>IFERROR(__xludf.DUMMYFUNCTION("""COMPUTED_VALUE"""),"PR048")</f>
        <v>PR048</v>
      </c>
      <c r="B1465" s="1" t="str">
        <f>IFERROR(__xludf.DUMMYFUNCTION("""COMPUTED_VALUE"""),"VD034")</f>
        <v>VD034</v>
      </c>
      <c r="C1465" s="1">
        <f>IFERROR(__xludf.DUMMYFUNCTION("""COMPUTED_VALUE"""),20.0)</f>
        <v>20</v>
      </c>
      <c r="D1465" s="1">
        <f>IFERROR(__xludf.DUMMYFUNCTION("""COMPUTED_VALUE"""),6145.88)</f>
        <v>6145.88</v>
      </c>
    </row>
    <row r="1466">
      <c r="A1466" s="1" t="str">
        <f>IFERROR(__xludf.DUMMYFUNCTION("""COMPUTED_VALUE"""),"PR047")</f>
        <v>PR047</v>
      </c>
      <c r="B1466" s="1" t="str">
        <f>IFERROR(__xludf.DUMMYFUNCTION("""COMPUTED_VALUE"""),"VD048")</f>
        <v>VD048</v>
      </c>
      <c r="C1466" s="1">
        <f>IFERROR(__xludf.DUMMYFUNCTION("""COMPUTED_VALUE"""),10.0)</f>
        <v>10</v>
      </c>
      <c r="D1466" s="1">
        <f>IFERROR(__xludf.DUMMYFUNCTION("""COMPUTED_VALUE"""),3159.91)</f>
        <v>3159.91</v>
      </c>
    </row>
    <row r="1467">
      <c r="A1467" s="1" t="str">
        <f>IFERROR(__xludf.DUMMYFUNCTION("""COMPUTED_VALUE"""),"PR029")</f>
        <v>PR029</v>
      </c>
      <c r="B1467" s="1" t="str">
        <f>IFERROR(__xludf.DUMMYFUNCTION("""COMPUTED_VALUE"""),"VD014")</f>
        <v>VD014</v>
      </c>
      <c r="C1467" s="1">
        <f>IFERROR(__xludf.DUMMYFUNCTION("""COMPUTED_VALUE"""),9.0)</f>
        <v>9</v>
      </c>
      <c r="D1467" s="1">
        <f>IFERROR(__xludf.DUMMYFUNCTION("""COMPUTED_VALUE"""),2340.9)</f>
        <v>2340.9</v>
      </c>
    </row>
    <row r="1468">
      <c r="A1468" s="1" t="str">
        <f>IFERROR(__xludf.DUMMYFUNCTION("""COMPUTED_VALUE"""),"PR053")</f>
        <v>PR053</v>
      </c>
      <c r="B1468" s="1" t="str">
        <f>IFERROR(__xludf.DUMMYFUNCTION("""COMPUTED_VALUE"""),"VD043")</f>
        <v>VD043</v>
      </c>
      <c r="C1468" s="1">
        <f>IFERROR(__xludf.DUMMYFUNCTION("""COMPUTED_VALUE"""),6.0)</f>
        <v>6</v>
      </c>
      <c r="D1468" s="1">
        <f>IFERROR(__xludf.DUMMYFUNCTION("""COMPUTED_VALUE"""),299.4)</f>
        <v>299.4</v>
      </c>
    </row>
    <row r="1469">
      <c r="A1469" s="1" t="str">
        <f>IFERROR(__xludf.DUMMYFUNCTION("""COMPUTED_VALUE"""),"PR005")</f>
        <v>PR005</v>
      </c>
      <c r="B1469" s="1" t="str">
        <f>IFERROR(__xludf.DUMMYFUNCTION("""COMPUTED_VALUE"""),"VD047")</f>
        <v>VD047</v>
      </c>
      <c r="C1469" s="1">
        <f>IFERROR(__xludf.DUMMYFUNCTION("""COMPUTED_VALUE"""),2.0)</f>
        <v>2</v>
      </c>
      <c r="D1469" s="1">
        <f>IFERROR(__xludf.DUMMYFUNCTION("""COMPUTED_VALUE"""),556.19)</f>
        <v>556.19</v>
      </c>
    </row>
    <row r="1470">
      <c r="A1470" s="1" t="str">
        <f>IFERROR(__xludf.DUMMYFUNCTION("""COMPUTED_VALUE"""),"PR039")</f>
        <v>PR039</v>
      </c>
      <c r="B1470" s="1" t="str">
        <f>IFERROR(__xludf.DUMMYFUNCTION("""COMPUTED_VALUE"""),"VD020")</f>
        <v>VD020</v>
      </c>
      <c r="C1470" s="1">
        <f>IFERROR(__xludf.DUMMYFUNCTION("""COMPUTED_VALUE"""),2.0)</f>
        <v>2</v>
      </c>
      <c r="D1470" s="1">
        <f>IFERROR(__xludf.DUMMYFUNCTION("""COMPUTED_VALUE"""),292.0)</f>
        <v>292</v>
      </c>
    </row>
    <row r="1471">
      <c r="A1471" s="1" t="str">
        <f>IFERROR(__xludf.DUMMYFUNCTION("""COMPUTED_VALUE"""),"PR031")</f>
        <v>PR031</v>
      </c>
      <c r="B1471" s="1" t="str">
        <f>IFERROR(__xludf.DUMMYFUNCTION("""COMPUTED_VALUE"""),"VD031")</f>
        <v>VD031</v>
      </c>
      <c r="C1471" s="1">
        <f>IFERROR(__xludf.DUMMYFUNCTION("""COMPUTED_VALUE"""),8.0)</f>
        <v>8</v>
      </c>
      <c r="D1471" s="1">
        <f>IFERROR(__xludf.DUMMYFUNCTION("""COMPUTED_VALUE"""),2097.2)</f>
        <v>2097.2</v>
      </c>
    </row>
    <row r="1472">
      <c r="A1472" s="1" t="str">
        <f>IFERROR(__xludf.DUMMYFUNCTION("""COMPUTED_VALUE"""),"PR056")</f>
        <v>PR056</v>
      </c>
      <c r="B1472" s="1" t="str">
        <f>IFERROR(__xludf.DUMMYFUNCTION("""COMPUTED_VALUE"""),"VD022")</f>
        <v>VD022</v>
      </c>
      <c r="C1472" s="1">
        <f>IFERROR(__xludf.DUMMYFUNCTION("""COMPUTED_VALUE"""),10.0)</f>
        <v>10</v>
      </c>
      <c r="D1472" s="1">
        <f>IFERROR(__xludf.DUMMYFUNCTION("""COMPUTED_VALUE"""),961.93)</f>
        <v>961.93</v>
      </c>
    </row>
    <row r="1473">
      <c r="A1473" s="1" t="str">
        <f>IFERROR(__xludf.DUMMYFUNCTION("""COMPUTED_VALUE"""),"PR018")</f>
        <v>PR018</v>
      </c>
      <c r="B1473" s="1" t="str">
        <f>IFERROR(__xludf.DUMMYFUNCTION("""COMPUTED_VALUE"""),"VD025")</f>
        <v>VD025</v>
      </c>
      <c r="C1473" s="1">
        <f>IFERROR(__xludf.DUMMYFUNCTION("""COMPUTED_VALUE"""),2.0)</f>
        <v>2</v>
      </c>
      <c r="D1473" s="1">
        <f>IFERROR(__xludf.DUMMYFUNCTION("""COMPUTED_VALUE"""),70.41)</f>
        <v>70.41</v>
      </c>
    </row>
    <row r="1474">
      <c r="A1474" s="1" t="str">
        <f>IFERROR(__xludf.DUMMYFUNCTION("""COMPUTED_VALUE"""),"PR055")</f>
        <v>PR055</v>
      </c>
      <c r="B1474" s="1" t="str">
        <f>IFERROR(__xludf.DUMMYFUNCTION("""COMPUTED_VALUE"""),"VD020")</f>
        <v>VD020</v>
      </c>
      <c r="C1474" s="1">
        <f>IFERROR(__xludf.DUMMYFUNCTION("""COMPUTED_VALUE"""),10.0)</f>
        <v>10</v>
      </c>
      <c r="D1474" s="1">
        <f>IFERROR(__xludf.DUMMYFUNCTION("""COMPUTED_VALUE"""),925.97)</f>
        <v>925.97</v>
      </c>
    </row>
    <row r="1475">
      <c r="A1475" s="1" t="str">
        <f>IFERROR(__xludf.DUMMYFUNCTION("""COMPUTED_VALUE"""),"PR047")</f>
        <v>PR047</v>
      </c>
      <c r="B1475" s="1" t="str">
        <f>IFERROR(__xludf.DUMMYFUNCTION("""COMPUTED_VALUE"""),"VD046")</f>
        <v>VD046</v>
      </c>
      <c r="C1475" s="1">
        <f>IFERROR(__xludf.DUMMYFUNCTION("""COMPUTED_VALUE"""),2.0)</f>
        <v>2</v>
      </c>
      <c r="D1475" s="1">
        <f>IFERROR(__xludf.DUMMYFUNCTION("""COMPUTED_VALUE"""),585.6)</f>
        <v>585.6</v>
      </c>
    </row>
    <row r="1476">
      <c r="A1476" s="1" t="str">
        <f>IFERROR(__xludf.DUMMYFUNCTION("""COMPUTED_VALUE"""),"PR027")</f>
        <v>PR027</v>
      </c>
      <c r="B1476" s="1" t="str">
        <f>IFERROR(__xludf.DUMMYFUNCTION("""COMPUTED_VALUE"""),"VD044")</f>
        <v>VD044</v>
      </c>
      <c r="C1476" s="1">
        <f>IFERROR(__xludf.DUMMYFUNCTION("""COMPUTED_VALUE"""),8.0)</f>
        <v>8</v>
      </c>
      <c r="D1476" s="1">
        <f>IFERROR(__xludf.DUMMYFUNCTION("""COMPUTED_VALUE"""),998.4)</f>
        <v>998.4</v>
      </c>
    </row>
    <row r="1477">
      <c r="A1477" s="1" t="str">
        <f>IFERROR(__xludf.DUMMYFUNCTION("""COMPUTED_VALUE"""),"PR047")</f>
        <v>PR047</v>
      </c>
      <c r="B1477" s="1" t="str">
        <f>IFERROR(__xludf.DUMMYFUNCTION("""COMPUTED_VALUE"""),"VD029")</f>
        <v>VD029</v>
      </c>
      <c r="C1477" s="1">
        <f>IFERROR(__xludf.DUMMYFUNCTION("""COMPUTED_VALUE"""),5.0)</f>
        <v>5</v>
      </c>
      <c r="D1477" s="1">
        <f>IFERROR(__xludf.DUMMYFUNCTION("""COMPUTED_VALUE"""),1492.99)</f>
        <v>1492.99</v>
      </c>
    </row>
    <row r="1478">
      <c r="A1478" s="1" t="str">
        <f>IFERROR(__xludf.DUMMYFUNCTION("""COMPUTED_VALUE"""),"PR022")</f>
        <v>PR022</v>
      </c>
      <c r="B1478" s="1" t="str">
        <f>IFERROR(__xludf.DUMMYFUNCTION("""COMPUTED_VALUE"""),"VD021")</f>
        <v>VD021</v>
      </c>
      <c r="C1478" s="1">
        <f>IFERROR(__xludf.DUMMYFUNCTION("""COMPUTED_VALUE"""),2.0)</f>
        <v>2</v>
      </c>
      <c r="D1478" s="1">
        <f>IFERROR(__xludf.DUMMYFUNCTION("""COMPUTED_VALUE"""),636.0)</f>
        <v>636</v>
      </c>
    </row>
    <row r="1479">
      <c r="A1479" s="1" t="str">
        <f>IFERROR(__xludf.DUMMYFUNCTION("""COMPUTED_VALUE"""),"PR050")</f>
        <v>PR050</v>
      </c>
      <c r="B1479" s="1" t="str">
        <f>IFERROR(__xludf.DUMMYFUNCTION("""COMPUTED_VALUE"""),"VD010")</f>
        <v>VD010</v>
      </c>
      <c r="C1479" s="1">
        <f>IFERROR(__xludf.DUMMYFUNCTION("""COMPUTED_VALUE"""),16.0)</f>
        <v>16</v>
      </c>
      <c r="D1479" s="1">
        <f>IFERROR(__xludf.DUMMYFUNCTION("""COMPUTED_VALUE"""),573.78)</f>
        <v>573.78</v>
      </c>
    </row>
    <row r="1480">
      <c r="A1480" s="1" t="str">
        <f>IFERROR(__xludf.DUMMYFUNCTION("""COMPUTED_VALUE"""),"PR019")</f>
        <v>PR019</v>
      </c>
      <c r="B1480" s="1" t="str">
        <f>IFERROR(__xludf.DUMMYFUNCTION("""COMPUTED_VALUE"""),"VD030")</f>
        <v>VD030</v>
      </c>
      <c r="C1480" s="1">
        <f>IFERROR(__xludf.DUMMYFUNCTION("""COMPUTED_VALUE"""),18.0)</f>
        <v>18</v>
      </c>
      <c r="D1480" s="1">
        <f>IFERROR(__xludf.DUMMYFUNCTION("""COMPUTED_VALUE"""),934.13)</f>
        <v>934.13</v>
      </c>
    </row>
    <row r="1481">
      <c r="A1481" s="1" t="str">
        <f>IFERROR(__xludf.DUMMYFUNCTION("""COMPUTED_VALUE"""),"PR030")</f>
        <v>PR030</v>
      </c>
      <c r="B1481" s="1" t="str">
        <f>IFERROR(__xludf.DUMMYFUNCTION("""COMPUTED_VALUE"""),"VD043")</f>
        <v>VD043</v>
      </c>
      <c r="C1481" s="1">
        <f>IFERROR(__xludf.DUMMYFUNCTION("""COMPUTED_VALUE"""),18.0)</f>
        <v>18</v>
      </c>
      <c r="D1481" s="1">
        <f>IFERROR(__xludf.DUMMYFUNCTION("""COMPUTED_VALUE"""),4912.11)</f>
        <v>4912.11</v>
      </c>
    </row>
    <row r="1482">
      <c r="A1482" s="1" t="str">
        <f>IFERROR(__xludf.DUMMYFUNCTION("""COMPUTED_VALUE"""),"PR030")</f>
        <v>PR030</v>
      </c>
      <c r="B1482" s="1" t="str">
        <f>IFERROR(__xludf.DUMMYFUNCTION("""COMPUTED_VALUE"""),"VD021")</f>
        <v>VD021</v>
      </c>
      <c r="C1482" s="1">
        <f>IFERROR(__xludf.DUMMYFUNCTION("""COMPUTED_VALUE"""),12.0)</f>
        <v>12</v>
      </c>
      <c r="D1482" s="1">
        <f>IFERROR(__xludf.DUMMYFUNCTION("""COMPUTED_VALUE"""),3181.18)</f>
        <v>3181.18</v>
      </c>
    </row>
    <row r="1483">
      <c r="A1483" s="1" t="str">
        <f>IFERROR(__xludf.DUMMYFUNCTION("""COMPUTED_VALUE"""),"PR026")</f>
        <v>PR026</v>
      </c>
      <c r="B1483" s="1" t="str">
        <f>IFERROR(__xludf.DUMMYFUNCTION("""COMPUTED_VALUE"""),"VD043")</f>
        <v>VD043</v>
      </c>
      <c r="C1483" s="1">
        <f>IFERROR(__xludf.DUMMYFUNCTION("""COMPUTED_VALUE"""),10.0)</f>
        <v>10</v>
      </c>
      <c r="D1483" s="1">
        <f>IFERROR(__xludf.DUMMYFUNCTION("""COMPUTED_VALUE"""),3743.93)</f>
        <v>3743.93</v>
      </c>
    </row>
    <row r="1484">
      <c r="A1484" s="1" t="str">
        <f>IFERROR(__xludf.DUMMYFUNCTION("""COMPUTED_VALUE"""),"PR025")</f>
        <v>PR025</v>
      </c>
      <c r="B1484" s="1" t="str">
        <f>IFERROR(__xludf.DUMMYFUNCTION("""COMPUTED_VALUE"""),"VD021")</f>
        <v>VD021</v>
      </c>
      <c r="C1484" s="1">
        <f>IFERROR(__xludf.DUMMYFUNCTION("""COMPUTED_VALUE"""),16.0)</f>
        <v>16</v>
      </c>
      <c r="D1484" s="1">
        <f>IFERROR(__xludf.DUMMYFUNCTION("""COMPUTED_VALUE"""),5182.27)</f>
        <v>5182.27</v>
      </c>
    </row>
    <row r="1485">
      <c r="A1485" s="1" t="str">
        <f>IFERROR(__xludf.DUMMYFUNCTION("""COMPUTED_VALUE"""),"PR039")</f>
        <v>PR039</v>
      </c>
      <c r="B1485" s="1" t="str">
        <f>IFERROR(__xludf.DUMMYFUNCTION("""COMPUTED_VALUE"""),"VD019")</f>
        <v>VD019</v>
      </c>
      <c r="C1485" s="1">
        <f>IFERROR(__xludf.DUMMYFUNCTION("""COMPUTED_VALUE"""),20.0)</f>
        <v>20</v>
      </c>
      <c r="D1485" s="1">
        <f>IFERROR(__xludf.DUMMYFUNCTION("""COMPUTED_VALUE"""),3036.8)</f>
        <v>3036.8</v>
      </c>
    </row>
    <row r="1486">
      <c r="A1486" s="1" t="str">
        <f>IFERROR(__xludf.DUMMYFUNCTION("""COMPUTED_VALUE"""),"PR046")</f>
        <v>PR046</v>
      </c>
      <c r="B1486" s="1" t="str">
        <f>IFERROR(__xludf.DUMMYFUNCTION("""COMPUTED_VALUE"""),"VD022")</f>
        <v>VD022</v>
      </c>
      <c r="C1486" s="1">
        <f>IFERROR(__xludf.DUMMYFUNCTION("""COMPUTED_VALUE"""),4.0)</f>
        <v>4</v>
      </c>
      <c r="D1486" s="1">
        <f>IFERROR(__xludf.DUMMYFUNCTION("""COMPUTED_VALUE"""),1171.2)</f>
        <v>1171.2</v>
      </c>
    </row>
    <row r="1487">
      <c r="A1487" s="1" t="str">
        <f>IFERROR(__xludf.DUMMYFUNCTION("""COMPUTED_VALUE"""),"PR043")</f>
        <v>PR043</v>
      </c>
      <c r="B1487" s="1" t="str">
        <f>IFERROR(__xludf.DUMMYFUNCTION("""COMPUTED_VALUE"""),"VD016")</f>
        <v>VD016</v>
      </c>
      <c r="C1487" s="1">
        <f>IFERROR(__xludf.DUMMYFUNCTION("""COMPUTED_VALUE"""),20.0)</f>
        <v>20</v>
      </c>
      <c r="D1487" s="1">
        <f>IFERROR(__xludf.DUMMYFUNCTION("""COMPUTED_VALUE"""),1595.0)</f>
        <v>1595</v>
      </c>
    </row>
    <row r="1488">
      <c r="A1488" s="1" t="str">
        <f>IFERROR(__xludf.DUMMYFUNCTION("""COMPUTED_VALUE"""),"PR048")</f>
        <v>PR048</v>
      </c>
      <c r="B1488" s="1" t="str">
        <f>IFERROR(__xludf.DUMMYFUNCTION("""COMPUTED_VALUE"""),"VD023")</f>
        <v>VD023</v>
      </c>
      <c r="C1488" s="1">
        <f>IFERROR(__xludf.DUMMYFUNCTION("""COMPUTED_VALUE"""),3.0)</f>
        <v>3</v>
      </c>
      <c r="D1488" s="1">
        <f>IFERROR(__xludf.DUMMYFUNCTION("""COMPUTED_VALUE"""),887.09)</f>
        <v>887.09</v>
      </c>
    </row>
    <row r="1489">
      <c r="A1489" s="1" t="str">
        <f>IFERROR(__xludf.DUMMYFUNCTION("""COMPUTED_VALUE"""),"PR039")</f>
        <v>PR039</v>
      </c>
      <c r="B1489" s="1" t="str">
        <f>IFERROR(__xludf.DUMMYFUNCTION("""COMPUTED_VALUE"""),"VD025")</f>
        <v>VD025</v>
      </c>
      <c r="C1489" s="1">
        <f>IFERROR(__xludf.DUMMYFUNCTION("""COMPUTED_VALUE"""),10.0)</f>
        <v>10</v>
      </c>
      <c r="D1489" s="1">
        <f>IFERROR(__xludf.DUMMYFUNCTION("""COMPUTED_VALUE"""),1533.0)</f>
        <v>1533</v>
      </c>
    </row>
    <row r="1490">
      <c r="A1490" s="1" t="str">
        <f>IFERROR(__xludf.DUMMYFUNCTION("""COMPUTED_VALUE"""),"PR060")</f>
        <v>PR060</v>
      </c>
      <c r="B1490" s="1" t="str">
        <f>IFERROR(__xludf.DUMMYFUNCTION("""COMPUTED_VALUE"""),"VD030")</f>
        <v>VD030</v>
      </c>
      <c r="C1490" s="1">
        <f>IFERROR(__xludf.DUMMYFUNCTION("""COMPUTED_VALUE"""),9.0)</f>
        <v>9</v>
      </c>
      <c r="D1490" s="1">
        <f>IFERROR(__xludf.DUMMYFUNCTION("""COMPUTED_VALUE"""),1717.2)</f>
        <v>1717.2</v>
      </c>
    </row>
    <row r="1491">
      <c r="A1491" s="1" t="str">
        <f>IFERROR(__xludf.DUMMYFUNCTION("""COMPUTED_VALUE"""),"PR053")</f>
        <v>PR053</v>
      </c>
      <c r="B1491" s="1" t="str">
        <f>IFERROR(__xludf.DUMMYFUNCTION("""COMPUTED_VALUE"""),"VD043")</f>
        <v>VD043</v>
      </c>
      <c r="C1491" s="1">
        <f>IFERROR(__xludf.DUMMYFUNCTION("""COMPUTED_VALUE"""),5.0)</f>
        <v>5</v>
      </c>
      <c r="D1491" s="1">
        <f>IFERROR(__xludf.DUMMYFUNCTION("""COMPUTED_VALUE"""),254.49)</f>
        <v>254.49</v>
      </c>
    </row>
    <row r="1492">
      <c r="A1492" s="1" t="str">
        <f>IFERROR(__xludf.DUMMYFUNCTION("""COMPUTED_VALUE"""),"PR057")</f>
        <v>PR057</v>
      </c>
      <c r="B1492" s="1" t="str">
        <f>IFERROR(__xludf.DUMMYFUNCTION("""COMPUTED_VALUE"""),"VD034")</f>
        <v>VD034</v>
      </c>
      <c r="C1492" s="1">
        <f>IFERROR(__xludf.DUMMYFUNCTION("""COMPUTED_VALUE"""),2.0)</f>
        <v>2</v>
      </c>
      <c r="D1492" s="1">
        <f>IFERROR(__xludf.DUMMYFUNCTION("""COMPUTED_VALUE"""),194.18)</f>
        <v>194.18</v>
      </c>
    </row>
    <row r="1493">
      <c r="A1493" s="1" t="str">
        <f>IFERROR(__xludf.DUMMYFUNCTION("""COMPUTED_VALUE"""),"PR031")</f>
        <v>PR031</v>
      </c>
      <c r="B1493" s="1" t="str">
        <f>IFERROR(__xludf.DUMMYFUNCTION("""COMPUTED_VALUE"""),"VD046")</f>
        <v>VD046</v>
      </c>
      <c r="C1493" s="1">
        <f>IFERROR(__xludf.DUMMYFUNCTION("""COMPUTED_VALUE"""),5.0)</f>
        <v>5</v>
      </c>
      <c r="D1493" s="1">
        <f>IFERROR(__xludf.DUMMYFUNCTION("""COMPUTED_VALUE"""),1323.0)</f>
        <v>1323</v>
      </c>
    </row>
    <row r="1494">
      <c r="A1494" s="1" t="str">
        <f>IFERROR(__xludf.DUMMYFUNCTION("""COMPUTED_VALUE"""),"PR025")</f>
        <v>PR025</v>
      </c>
      <c r="B1494" s="1" t="str">
        <f>IFERROR(__xludf.DUMMYFUNCTION("""COMPUTED_VALUE"""),"VD033")</f>
        <v>VD033</v>
      </c>
      <c r="C1494" s="1">
        <f>IFERROR(__xludf.DUMMYFUNCTION("""COMPUTED_VALUE"""),10.0)</f>
        <v>10</v>
      </c>
      <c r="D1494" s="1">
        <f>IFERROR(__xludf.DUMMYFUNCTION("""COMPUTED_VALUE"""),3088.97)</f>
        <v>3088.97</v>
      </c>
    </row>
    <row r="1495">
      <c r="A1495" s="1" t="str">
        <f>IFERROR(__xludf.DUMMYFUNCTION("""COMPUTED_VALUE"""),"PR052")</f>
        <v>PR052</v>
      </c>
      <c r="B1495" s="1" t="str">
        <f>IFERROR(__xludf.DUMMYFUNCTION("""COMPUTED_VALUE"""),"VD011")</f>
        <v>VD011</v>
      </c>
      <c r="C1495" s="1">
        <f>IFERROR(__xludf.DUMMYFUNCTION("""COMPUTED_VALUE"""),4.0)</f>
        <v>4</v>
      </c>
      <c r="D1495" s="1">
        <f>IFERROR(__xludf.DUMMYFUNCTION("""COMPUTED_VALUE"""),213.57)</f>
        <v>213.57</v>
      </c>
    </row>
    <row r="1496">
      <c r="A1496" s="1" t="str">
        <f>IFERROR(__xludf.DUMMYFUNCTION("""COMPUTED_VALUE"""),"PR001")</f>
        <v>PR001</v>
      </c>
      <c r="B1496" s="1" t="str">
        <f>IFERROR(__xludf.DUMMYFUNCTION("""COMPUTED_VALUE"""),"VD037")</f>
        <v>VD037</v>
      </c>
      <c r="C1496" s="1">
        <f>IFERROR(__xludf.DUMMYFUNCTION("""COMPUTED_VALUE"""),6.0)</f>
        <v>6</v>
      </c>
      <c r="D1496" s="1">
        <f>IFERROR(__xludf.DUMMYFUNCTION("""COMPUTED_VALUE"""),399.35)</f>
        <v>399.35</v>
      </c>
    </row>
    <row r="1497">
      <c r="A1497" s="1" t="str">
        <f>IFERROR(__xludf.DUMMYFUNCTION("""COMPUTED_VALUE"""),"PR004")</f>
        <v>PR004</v>
      </c>
      <c r="B1497" s="1" t="str">
        <f>IFERROR(__xludf.DUMMYFUNCTION("""COMPUTED_VALUE"""),"VD041")</f>
        <v>VD041</v>
      </c>
      <c r="C1497" s="1">
        <f>IFERROR(__xludf.DUMMYFUNCTION("""COMPUTED_VALUE"""),18.0)</f>
        <v>18</v>
      </c>
      <c r="D1497" s="1">
        <f>IFERROR(__xludf.DUMMYFUNCTION("""COMPUTED_VALUE"""),2871.0)</f>
        <v>2871</v>
      </c>
    </row>
    <row r="1498">
      <c r="A1498" s="1" t="str">
        <f>IFERROR(__xludf.DUMMYFUNCTION("""COMPUTED_VALUE"""),"PR038")</f>
        <v>PR038</v>
      </c>
      <c r="B1498" s="1" t="str">
        <f>IFERROR(__xludf.DUMMYFUNCTION("""COMPUTED_VALUE"""),"VD010")</f>
        <v>VD010</v>
      </c>
      <c r="C1498" s="1">
        <f>IFERROR(__xludf.DUMMYFUNCTION("""COMPUTED_VALUE"""),5.0)</f>
        <v>5</v>
      </c>
      <c r="D1498" s="1">
        <f>IFERROR(__xludf.DUMMYFUNCTION("""COMPUTED_VALUE"""),714.5)</f>
        <v>714.5</v>
      </c>
    </row>
    <row r="1499">
      <c r="A1499" s="1" t="str">
        <f>IFERROR(__xludf.DUMMYFUNCTION("""COMPUTED_VALUE"""),"PR007")</f>
        <v>PR007</v>
      </c>
      <c r="B1499" s="1" t="str">
        <f>IFERROR(__xludf.DUMMYFUNCTION("""COMPUTED_VALUE"""),"VD011")</f>
        <v>VD011</v>
      </c>
      <c r="C1499" s="1">
        <f>IFERROR(__xludf.DUMMYFUNCTION("""COMPUTED_VALUE"""),2.0)</f>
        <v>2</v>
      </c>
      <c r="D1499" s="1">
        <f>IFERROR(__xludf.DUMMYFUNCTION("""COMPUTED_VALUE"""),180.39)</f>
        <v>180.39</v>
      </c>
    </row>
    <row r="1500">
      <c r="A1500" s="1" t="str">
        <f>IFERROR(__xludf.DUMMYFUNCTION("""COMPUTED_VALUE"""),"PR018")</f>
        <v>PR018</v>
      </c>
      <c r="B1500" s="1" t="str">
        <f>IFERROR(__xludf.DUMMYFUNCTION("""COMPUTED_VALUE"""),"VD036")</f>
        <v>VD036</v>
      </c>
      <c r="C1500" s="1">
        <f>IFERROR(__xludf.DUMMYFUNCTION("""COMPUTED_VALUE"""),10.0)</f>
        <v>10</v>
      </c>
      <c r="D1500" s="1">
        <f>IFERROR(__xludf.DUMMYFUNCTION("""COMPUTED_VALUE"""),355.32)</f>
        <v>355.32</v>
      </c>
    </row>
    <row r="1501">
      <c r="A1501" s="1" t="str">
        <f>IFERROR(__xludf.DUMMYFUNCTION("""COMPUTED_VALUE"""),"PR039")</f>
        <v>PR039</v>
      </c>
      <c r="B1501" s="1" t="str">
        <f>IFERROR(__xludf.DUMMYFUNCTION("""COMPUTED_VALUE"""),"VD026")</f>
        <v>VD026</v>
      </c>
      <c r="C1501" s="1">
        <f>IFERROR(__xludf.DUMMYFUNCTION("""COMPUTED_VALUE"""),10.0)</f>
        <v>10</v>
      </c>
      <c r="D1501" s="1">
        <f>IFERROR(__xludf.DUMMYFUNCTION("""COMPUTED_VALUE"""),1518.4)</f>
        <v>1518.4</v>
      </c>
    </row>
    <row r="1502">
      <c r="A1502" s="1" t="str">
        <f>IFERROR(__xludf.DUMMYFUNCTION("""COMPUTED_VALUE"""),"PR022")</f>
        <v>PR022</v>
      </c>
      <c r="B1502" s="1" t="str">
        <f>IFERROR(__xludf.DUMMYFUNCTION("""COMPUTED_VALUE"""),"VD041")</f>
        <v>VD041</v>
      </c>
      <c r="C1502" s="1">
        <f>IFERROR(__xludf.DUMMYFUNCTION("""COMPUTED_VALUE"""),9.0)</f>
        <v>9</v>
      </c>
      <c r="D1502" s="1">
        <f>IFERROR(__xludf.DUMMYFUNCTION("""COMPUTED_VALUE"""),2808.0)</f>
        <v>2808</v>
      </c>
    </row>
    <row r="1503">
      <c r="A1503" s="1" t="str">
        <f>IFERROR(__xludf.DUMMYFUNCTION("""COMPUTED_VALUE"""),"PR007")</f>
        <v>PR007</v>
      </c>
      <c r="B1503" s="1" t="str">
        <f>IFERROR(__xludf.DUMMYFUNCTION("""COMPUTED_VALUE"""),"VD020")</f>
        <v>VD020</v>
      </c>
      <c r="C1503" s="1">
        <f>IFERROR(__xludf.DUMMYFUNCTION("""COMPUTED_VALUE"""),18.0)</f>
        <v>18</v>
      </c>
      <c r="D1503" s="1">
        <f>IFERROR(__xludf.DUMMYFUNCTION("""COMPUTED_VALUE"""),1623.51)</f>
        <v>1623.51</v>
      </c>
    </row>
    <row r="1504">
      <c r="A1504" s="1" t="str">
        <f>IFERROR(__xludf.DUMMYFUNCTION("""COMPUTED_VALUE"""),"PR059")</f>
        <v>PR059</v>
      </c>
      <c r="B1504" s="1" t="str">
        <f>IFERROR(__xludf.DUMMYFUNCTION("""COMPUTED_VALUE"""),"VD036")</f>
        <v>VD036</v>
      </c>
      <c r="C1504" s="1">
        <f>IFERROR(__xludf.DUMMYFUNCTION("""COMPUTED_VALUE"""),8.0)</f>
        <v>8</v>
      </c>
      <c r="D1504" s="1">
        <f>IFERROR(__xludf.DUMMYFUNCTION("""COMPUTED_VALUE"""),1512.0)</f>
        <v>1512</v>
      </c>
    </row>
    <row r="1505">
      <c r="A1505" s="1" t="str">
        <f>IFERROR(__xludf.DUMMYFUNCTION("""COMPUTED_VALUE"""),"PR006")</f>
        <v>PR006</v>
      </c>
      <c r="B1505" s="1" t="str">
        <f>IFERROR(__xludf.DUMMYFUNCTION("""COMPUTED_VALUE"""),"VD038")</f>
        <v>VD038</v>
      </c>
      <c r="C1505" s="1">
        <f>IFERROR(__xludf.DUMMYFUNCTION("""COMPUTED_VALUE"""),12.0)</f>
        <v>12</v>
      </c>
      <c r="D1505" s="1">
        <f>IFERROR(__xludf.DUMMYFUNCTION("""COMPUTED_VALUE"""),526.68)</f>
        <v>526.68</v>
      </c>
    </row>
    <row r="1506">
      <c r="A1506" s="1" t="str">
        <f>IFERROR(__xludf.DUMMYFUNCTION("""COMPUTED_VALUE"""),"PR017")</f>
        <v>PR017</v>
      </c>
      <c r="B1506" s="1" t="str">
        <f>IFERROR(__xludf.DUMMYFUNCTION("""COMPUTED_VALUE"""),"VD013")</f>
        <v>VD013</v>
      </c>
      <c r="C1506" s="1">
        <f>IFERROR(__xludf.DUMMYFUNCTION("""COMPUTED_VALUE"""),9.0)</f>
        <v>9</v>
      </c>
      <c r="D1506" s="1">
        <f>IFERROR(__xludf.DUMMYFUNCTION("""COMPUTED_VALUE"""),285.25)</f>
        <v>285.25</v>
      </c>
    </row>
    <row r="1507">
      <c r="A1507" s="1" t="str">
        <f>IFERROR(__xludf.DUMMYFUNCTION("""COMPUTED_VALUE"""),"PR015")</f>
        <v>PR015</v>
      </c>
      <c r="B1507" s="1" t="str">
        <f>IFERROR(__xludf.DUMMYFUNCTION("""COMPUTED_VALUE"""),"VD032")</f>
        <v>VD032</v>
      </c>
      <c r="C1507" s="1">
        <f>IFERROR(__xludf.DUMMYFUNCTION("""COMPUTED_VALUE"""),3.0)</f>
        <v>3</v>
      </c>
      <c r="D1507" s="1">
        <f>IFERROR(__xludf.DUMMYFUNCTION("""COMPUTED_VALUE"""),140.25)</f>
        <v>140.25</v>
      </c>
    </row>
    <row r="1508">
      <c r="A1508" s="1" t="str">
        <f>IFERROR(__xludf.DUMMYFUNCTION("""COMPUTED_VALUE"""),"PR051")</f>
        <v>PR051</v>
      </c>
      <c r="B1508" s="1" t="str">
        <f>IFERROR(__xludf.DUMMYFUNCTION("""COMPUTED_VALUE"""),"VD041")</f>
        <v>VD041</v>
      </c>
      <c r="C1508" s="1">
        <f>IFERROR(__xludf.DUMMYFUNCTION("""COMPUTED_VALUE"""),12.0)</f>
        <v>12</v>
      </c>
      <c r="D1508" s="1">
        <f>IFERROR(__xludf.DUMMYFUNCTION("""COMPUTED_VALUE"""),418.49)</f>
        <v>418.49</v>
      </c>
    </row>
    <row r="1509">
      <c r="A1509" s="1" t="str">
        <f>IFERROR(__xludf.DUMMYFUNCTION("""COMPUTED_VALUE"""),"PR028")</f>
        <v>PR028</v>
      </c>
      <c r="B1509" s="1" t="str">
        <f>IFERROR(__xludf.DUMMYFUNCTION("""COMPUTED_VALUE"""),"VD011")</f>
        <v>VD011</v>
      </c>
      <c r="C1509" s="1">
        <f>IFERROR(__xludf.DUMMYFUNCTION("""COMPUTED_VALUE"""),16.0)</f>
        <v>16</v>
      </c>
      <c r="D1509" s="1">
        <f>IFERROR(__xludf.DUMMYFUNCTION("""COMPUTED_VALUE"""),4238.3)</f>
        <v>4238.3</v>
      </c>
    </row>
    <row r="1510">
      <c r="A1510" s="1" t="str">
        <f>IFERROR(__xludf.DUMMYFUNCTION("""COMPUTED_VALUE"""),"PR052")</f>
        <v>PR052</v>
      </c>
      <c r="B1510" s="1" t="str">
        <f>IFERROR(__xludf.DUMMYFUNCTION("""COMPUTED_VALUE"""),"VD043")</f>
        <v>VD043</v>
      </c>
      <c r="C1510" s="1">
        <f>IFERROR(__xludf.DUMMYFUNCTION("""COMPUTED_VALUE"""),6.0)</f>
        <v>6</v>
      </c>
      <c r="D1510" s="1">
        <f>IFERROR(__xludf.DUMMYFUNCTION("""COMPUTED_VALUE"""),329.34)</f>
        <v>329.34</v>
      </c>
    </row>
    <row r="1511">
      <c r="A1511" s="1" t="str">
        <f>IFERROR(__xludf.DUMMYFUNCTION("""COMPUTED_VALUE"""),"PR026")</f>
        <v>PR026</v>
      </c>
      <c r="B1511" s="1" t="str">
        <f>IFERROR(__xludf.DUMMYFUNCTION("""COMPUTED_VALUE"""),"VD045")</f>
        <v>VD045</v>
      </c>
      <c r="C1511" s="1">
        <f>IFERROR(__xludf.DUMMYFUNCTION("""COMPUTED_VALUE"""),4.0)</f>
        <v>4</v>
      </c>
      <c r="D1511" s="1">
        <f>IFERROR(__xludf.DUMMYFUNCTION("""COMPUTED_VALUE"""),1511.57)</f>
        <v>1511.57</v>
      </c>
    </row>
    <row r="1512">
      <c r="A1512" s="1" t="str">
        <f>IFERROR(__xludf.DUMMYFUNCTION("""COMPUTED_VALUE"""),"PR007")</f>
        <v>PR007</v>
      </c>
      <c r="B1512" s="1" t="str">
        <f>IFERROR(__xludf.DUMMYFUNCTION("""COMPUTED_VALUE"""),"VD043")</f>
        <v>VD043</v>
      </c>
      <c r="C1512" s="1">
        <f>IFERROR(__xludf.DUMMYFUNCTION("""COMPUTED_VALUE"""),20.0)</f>
        <v>20</v>
      </c>
      <c r="D1512" s="1">
        <f>IFERROR(__xludf.DUMMYFUNCTION("""COMPUTED_VALUE"""),1735.18)</f>
        <v>1735.18</v>
      </c>
    </row>
    <row r="1513">
      <c r="A1513" s="1" t="str">
        <f>IFERROR(__xludf.DUMMYFUNCTION("""COMPUTED_VALUE"""),"PR031")</f>
        <v>PR031</v>
      </c>
      <c r="B1513" s="1" t="str">
        <f>IFERROR(__xludf.DUMMYFUNCTION("""COMPUTED_VALUE"""),"VD026")</f>
        <v>VD026</v>
      </c>
      <c r="C1513" s="1">
        <f>IFERROR(__xludf.DUMMYFUNCTION("""COMPUTED_VALUE"""),16.0)</f>
        <v>16</v>
      </c>
      <c r="D1513" s="1">
        <f>IFERROR(__xludf.DUMMYFUNCTION("""COMPUTED_VALUE"""),4194.4)</f>
        <v>4194.4</v>
      </c>
    </row>
    <row r="1514">
      <c r="A1514" s="1" t="str">
        <f>IFERROR(__xludf.DUMMYFUNCTION("""COMPUTED_VALUE"""),"PR002")</f>
        <v>PR002</v>
      </c>
      <c r="B1514" s="1" t="str">
        <f>IFERROR(__xludf.DUMMYFUNCTION("""COMPUTED_VALUE"""),"VD030")</f>
        <v>VD030</v>
      </c>
      <c r="C1514" s="1">
        <f>IFERROR(__xludf.DUMMYFUNCTION("""COMPUTED_VALUE"""),16.0)</f>
        <v>16</v>
      </c>
      <c r="D1514" s="1">
        <f>IFERROR(__xludf.DUMMYFUNCTION("""COMPUTED_VALUE"""),1118.4)</f>
        <v>1118.4</v>
      </c>
    </row>
    <row r="1515">
      <c r="A1515" s="1" t="str">
        <f>IFERROR(__xludf.DUMMYFUNCTION("""COMPUTED_VALUE"""),"PR028")</f>
        <v>PR028</v>
      </c>
      <c r="B1515" s="1" t="str">
        <f>IFERROR(__xludf.DUMMYFUNCTION("""COMPUTED_VALUE"""),"VD023")</f>
        <v>VD023</v>
      </c>
      <c r="C1515" s="1">
        <f>IFERROR(__xludf.DUMMYFUNCTION("""COMPUTED_VALUE"""),7.0)</f>
        <v>7</v>
      </c>
      <c r="D1515" s="1">
        <f>IFERROR(__xludf.DUMMYFUNCTION("""COMPUTED_VALUE"""),1819.27)</f>
        <v>1819.27</v>
      </c>
    </row>
    <row r="1516">
      <c r="A1516" s="1" t="str">
        <f>IFERROR(__xludf.DUMMYFUNCTION("""COMPUTED_VALUE"""),"PR042")</f>
        <v>PR042</v>
      </c>
      <c r="B1516" s="1" t="str">
        <f>IFERROR(__xludf.DUMMYFUNCTION("""COMPUTED_VALUE"""),"VD042")</f>
        <v>VD042</v>
      </c>
      <c r="C1516" s="1">
        <f>IFERROR(__xludf.DUMMYFUNCTION("""COMPUTED_VALUE"""),3.0)</f>
        <v>3</v>
      </c>
      <c r="D1516" s="1">
        <f>IFERROR(__xludf.DUMMYFUNCTION("""COMPUTED_VALUE"""),179.52)</f>
        <v>179.52</v>
      </c>
    </row>
    <row r="1517">
      <c r="A1517" s="1" t="str">
        <f>IFERROR(__xludf.DUMMYFUNCTION("""COMPUTED_VALUE"""),"PR016")</f>
        <v>PR016</v>
      </c>
      <c r="B1517" s="1" t="str">
        <f>IFERROR(__xludf.DUMMYFUNCTION("""COMPUTED_VALUE"""),"VD028")</f>
        <v>VD028</v>
      </c>
      <c r="C1517" s="1">
        <f>IFERROR(__xludf.DUMMYFUNCTION("""COMPUTED_VALUE"""),20.0)</f>
        <v>20</v>
      </c>
      <c r="D1517" s="1">
        <f>IFERROR(__xludf.DUMMYFUNCTION("""COMPUTED_VALUE"""),554.26)</f>
        <v>554.26</v>
      </c>
    </row>
    <row r="1518">
      <c r="A1518" s="1" t="str">
        <f>IFERROR(__xludf.DUMMYFUNCTION("""COMPUTED_VALUE"""),"PR029")</f>
        <v>PR029</v>
      </c>
      <c r="B1518" s="1" t="str">
        <f>IFERROR(__xludf.DUMMYFUNCTION("""COMPUTED_VALUE"""),"VD032")</f>
        <v>VD032</v>
      </c>
      <c r="C1518" s="1">
        <f>IFERROR(__xludf.DUMMYFUNCTION("""COMPUTED_VALUE"""),14.0)</f>
        <v>14</v>
      </c>
      <c r="D1518" s="1">
        <f>IFERROR(__xludf.DUMMYFUNCTION("""COMPUTED_VALUE"""),3677.1)</f>
        <v>3677.1</v>
      </c>
    </row>
    <row r="1519">
      <c r="A1519" s="1" t="str">
        <f>IFERROR(__xludf.DUMMYFUNCTION("""COMPUTED_VALUE"""),"PR005")</f>
        <v>PR005</v>
      </c>
      <c r="B1519" s="1" t="str">
        <f>IFERROR(__xludf.DUMMYFUNCTION("""COMPUTED_VALUE"""),"VD043")</f>
        <v>VD043</v>
      </c>
      <c r="C1519" s="1">
        <f>IFERROR(__xludf.DUMMYFUNCTION("""COMPUTED_VALUE"""),6.0)</f>
        <v>6</v>
      </c>
      <c r="D1519" s="1">
        <f>IFERROR(__xludf.DUMMYFUNCTION("""COMPUTED_VALUE"""),1590.59)</f>
        <v>1590.59</v>
      </c>
    </row>
    <row r="1520">
      <c r="A1520" s="1" t="str">
        <f>IFERROR(__xludf.DUMMYFUNCTION("""COMPUTED_VALUE"""),"PR036")</f>
        <v>PR036</v>
      </c>
      <c r="B1520" s="1" t="str">
        <f>IFERROR(__xludf.DUMMYFUNCTION("""COMPUTED_VALUE"""),"VD016")</f>
        <v>VD016</v>
      </c>
      <c r="C1520" s="1">
        <f>IFERROR(__xludf.DUMMYFUNCTION("""COMPUTED_VALUE"""),9.0)</f>
        <v>9</v>
      </c>
      <c r="D1520" s="1">
        <f>IFERROR(__xludf.DUMMYFUNCTION("""COMPUTED_VALUE"""),866.75)</f>
        <v>866.75</v>
      </c>
    </row>
    <row r="1521">
      <c r="A1521" s="1" t="str">
        <f>IFERROR(__xludf.DUMMYFUNCTION("""COMPUTED_VALUE"""),"PR011")</f>
        <v>PR011</v>
      </c>
      <c r="B1521" s="1" t="str">
        <f>IFERROR(__xludf.DUMMYFUNCTION("""COMPUTED_VALUE"""),"VD024")</f>
        <v>VD024</v>
      </c>
      <c r="C1521" s="1">
        <f>IFERROR(__xludf.DUMMYFUNCTION("""COMPUTED_VALUE"""),8.0)</f>
        <v>8</v>
      </c>
      <c r="D1521" s="1">
        <f>IFERROR(__xludf.DUMMYFUNCTION("""COMPUTED_VALUE"""),390.21)</f>
        <v>390.21</v>
      </c>
    </row>
    <row r="1522">
      <c r="A1522" s="1" t="str">
        <f>IFERROR(__xludf.DUMMYFUNCTION("""COMPUTED_VALUE"""),"PR042")</f>
        <v>PR042</v>
      </c>
      <c r="B1522" s="1" t="str">
        <f>IFERROR(__xludf.DUMMYFUNCTION("""COMPUTED_VALUE"""),"VD029")</f>
        <v>VD029</v>
      </c>
      <c r="C1522" s="1">
        <f>IFERROR(__xludf.DUMMYFUNCTION("""COMPUTED_VALUE"""),7.0)</f>
        <v>7</v>
      </c>
      <c r="D1522" s="1">
        <f>IFERROR(__xludf.DUMMYFUNCTION("""COMPUTED_VALUE"""),391.99)</f>
        <v>391.99</v>
      </c>
    </row>
    <row r="1523">
      <c r="A1523" s="1" t="str">
        <f>IFERROR(__xludf.DUMMYFUNCTION("""COMPUTED_VALUE"""),"PR024")</f>
        <v>PR024</v>
      </c>
      <c r="B1523" s="1" t="str">
        <f>IFERROR(__xludf.DUMMYFUNCTION("""COMPUTED_VALUE"""),"VD036")</f>
        <v>VD036</v>
      </c>
      <c r="C1523" s="1">
        <f>IFERROR(__xludf.DUMMYFUNCTION("""COMPUTED_VALUE"""),5.0)</f>
        <v>5</v>
      </c>
      <c r="D1523" s="1">
        <f>IFERROR(__xludf.DUMMYFUNCTION("""COMPUTED_VALUE"""),1377.47)</f>
        <v>1377.47</v>
      </c>
    </row>
    <row r="1524">
      <c r="A1524" s="1" t="str">
        <f>IFERROR(__xludf.DUMMYFUNCTION("""COMPUTED_VALUE"""),"PR055")</f>
        <v>PR055</v>
      </c>
      <c r="B1524" s="1" t="str">
        <f>IFERROR(__xludf.DUMMYFUNCTION("""COMPUTED_VALUE"""),"VD042")</f>
        <v>VD042</v>
      </c>
      <c r="C1524" s="1">
        <f>IFERROR(__xludf.DUMMYFUNCTION("""COMPUTED_VALUE"""),10.0)</f>
        <v>10</v>
      </c>
      <c r="D1524" s="1">
        <f>IFERROR(__xludf.DUMMYFUNCTION("""COMPUTED_VALUE"""),899.0)</f>
        <v>899</v>
      </c>
    </row>
    <row r="1525">
      <c r="A1525" s="1" t="str">
        <f>IFERROR(__xludf.DUMMYFUNCTION("""COMPUTED_VALUE"""),"PR031")</f>
        <v>PR031</v>
      </c>
      <c r="B1525" s="1" t="str">
        <f>IFERROR(__xludf.DUMMYFUNCTION("""COMPUTED_VALUE"""),"VD039")</f>
        <v>VD039</v>
      </c>
      <c r="C1525" s="1">
        <f>IFERROR(__xludf.DUMMYFUNCTION("""COMPUTED_VALUE"""),7.0)</f>
        <v>7</v>
      </c>
      <c r="D1525" s="1">
        <f>IFERROR(__xludf.DUMMYFUNCTION("""COMPUTED_VALUE"""),1835.05)</f>
        <v>1835.05</v>
      </c>
    </row>
    <row r="1526">
      <c r="A1526" s="1" t="str">
        <f>IFERROR(__xludf.DUMMYFUNCTION("""COMPUTED_VALUE"""),"PR051")</f>
        <v>PR051</v>
      </c>
      <c r="B1526" s="1" t="str">
        <f>IFERROR(__xludf.DUMMYFUNCTION("""COMPUTED_VALUE"""),"VD011")</f>
        <v>VD011</v>
      </c>
      <c r="C1526" s="1">
        <f>IFERROR(__xludf.DUMMYFUNCTION("""COMPUTED_VALUE"""),4.0)</f>
        <v>4</v>
      </c>
      <c r="D1526" s="1">
        <f>IFERROR(__xludf.DUMMYFUNCTION("""COMPUTED_VALUE"""),131.6)</f>
        <v>131.6</v>
      </c>
    </row>
    <row r="1527">
      <c r="A1527" s="1" t="str">
        <f>IFERROR(__xludf.DUMMYFUNCTION("""COMPUTED_VALUE"""),"PR007")</f>
        <v>PR007</v>
      </c>
      <c r="B1527" s="1" t="str">
        <f>IFERROR(__xludf.DUMMYFUNCTION("""COMPUTED_VALUE"""),"VD021")</f>
        <v>VD021</v>
      </c>
      <c r="C1527" s="1">
        <f>IFERROR(__xludf.DUMMYFUNCTION("""COMPUTED_VALUE"""),2.0)</f>
        <v>2</v>
      </c>
      <c r="D1527" s="1">
        <f>IFERROR(__xludf.DUMMYFUNCTION("""COMPUTED_VALUE"""),171.8)</f>
        <v>171.8</v>
      </c>
    </row>
    <row r="1528">
      <c r="A1528" s="1" t="str">
        <f>IFERROR(__xludf.DUMMYFUNCTION("""COMPUTED_VALUE"""),"PR018")</f>
        <v>PR018</v>
      </c>
      <c r="B1528" s="1" t="str">
        <f>IFERROR(__xludf.DUMMYFUNCTION("""COMPUTED_VALUE"""),"VD016")</f>
        <v>VD016</v>
      </c>
      <c r="C1528" s="1">
        <f>IFERROR(__xludf.DUMMYFUNCTION("""COMPUTED_VALUE"""),8.0)</f>
        <v>8</v>
      </c>
      <c r="D1528" s="1">
        <f>IFERROR(__xludf.DUMMYFUNCTION("""COMPUTED_VALUE"""),286.89)</f>
        <v>286.89</v>
      </c>
    </row>
    <row r="1529">
      <c r="A1529" s="1" t="str">
        <f>IFERROR(__xludf.DUMMYFUNCTION("""COMPUTED_VALUE"""),"PR014")</f>
        <v>PR014</v>
      </c>
      <c r="B1529" s="1" t="str">
        <f>IFERROR(__xludf.DUMMYFUNCTION("""COMPUTED_VALUE"""),"VD045")</f>
        <v>VD045</v>
      </c>
      <c r="C1529" s="1">
        <f>IFERROR(__xludf.DUMMYFUNCTION("""COMPUTED_VALUE"""),3.0)</f>
        <v>3</v>
      </c>
      <c r="D1529" s="1">
        <f>IFERROR(__xludf.DUMMYFUNCTION("""COMPUTED_VALUE"""),129.28)</f>
        <v>129.28</v>
      </c>
    </row>
    <row r="1530">
      <c r="A1530" s="1" t="str">
        <f>IFERROR(__xludf.DUMMYFUNCTION("""COMPUTED_VALUE"""),"PR024")</f>
        <v>PR024</v>
      </c>
      <c r="B1530" s="1" t="str">
        <f>IFERROR(__xludf.DUMMYFUNCTION("""COMPUTED_VALUE"""),"VD041")</f>
        <v>VD041</v>
      </c>
      <c r="C1530" s="1">
        <f>IFERROR(__xludf.DUMMYFUNCTION("""COMPUTED_VALUE"""),10.0)</f>
        <v>10</v>
      </c>
      <c r="D1530" s="1">
        <f>IFERROR(__xludf.DUMMYFUNCTION("""COMPUTED_VALUE"""),2754.94)</f>
        <v>2754.94</v>
      </c>
    </row>
    <row r="1531">
      <c r="A1531" s="1" t="str">
        <f>IFERROR(__xludf.DUMMYFUNCTION("""COMPUTED_VALUE"""),"PR031")</f>
        <v>PR031</v>
      </c>
      <c r="B1531" s="1" t="str">
        <f>IFERROR(__xludf.DUMMYFUNCTION("""COMPUTED_VALUE"""),"VD049")</f>
        <v>VD049</v>
      </c>
      <c r="C1531" s="1">
        <f>IFERROR(__xludf.DUMMYFUNCTION("""COMPUTED_VALUE"""),10.0)</f>
        <v>10</v>
      </c>
      <c r="D1531" s="1">
        <f>IFERROR(__xludf.DUMMYFUNCTION("""COMPUTED_VALUE"""),2646.0)</f>
        <v>2646</v>
      </c>
    </row>
    <row r="1532">
      <c r="A1532" s="1" t="str">
        <f>IFERROR(__xludf.DUMMYFUNCTION("""COMPUTED_VALUE"""),"PR021")</f>
        <v>PR021</v>
      </c>
      <c r="B1532" s="1" t="str">
        <f>IFERROR(__xludf.DUMMYFUNCTION("""COMPUTED_VALUE"""),"VD021")</f>
        <v>VD021</v>
      </c>
      <c r="C1532" s="1">
        <f>IFERROR(__xludf.DUMMYFUNCTION("""COMPUTED_VALUE"""),2.0)</f>
        <v>2</v>
      </c>
      <c r="D1532" s="1">
        <f>IFERROR(__xludf.DUMMYFUNCTION("""COMPUTED_VALUE"""),623.97)</f>
        <v>623.97</v>
      </c>
    </row>
    <row r="1533">
      <c r="A1533" s="1" t="str">
        <f>IFERROR(__xludf.DUMMYFUNCTION("""COMPUTED_VALUE"""),"PR012")</f>
        <v>PR012</v>
      </c>
      <c r="B1533" s="1" t="str">
        <f>IFERROR(__xludf.DUMMYFUNCTION("""COMPUTED_VALUE"""),"VD046")</f>
        <v>VD046</v>
      </c>
      <c r="C1533" s="1">
        <f>IFERROR(__xludf.DUMMYFUNCTION("""COMPUTED_VALUE"""),4.0)</f>
        <v>4</v>
      </c>
      <c r="D1533" s="1">
        <f>IFERROR(__xludf.DUMMYFUNCTION("""COMPUTED_VALUE"""),215.16)</f>
        <v>215.16</v>
      </c>
    </row>
    <row r="1534">
      <c r="A1534" s="1" t="str">
        <f>IFERROR(__xludf.DUMMYFUNCTION("""COMPUTED_VALUE"""),"PR037")</f>
        <v>PR037</v>
      </c>
      <c r="B1534" s="1" t="str">
        <f>IFERROR(__xludf.DUMMYFUNCTION("""COMPUTED_VALUE"""),"VD027")</f>
        <v>VD027</v>
      </c>
      <c r="C1534" s="1">
        <f>IFERROR(__xludf.DUMMYFUNCTION("""COMPUTED_VALUE"""),10.0)</f>
        <v>10</v>
      </c>
      <c r="D1534" s="1">
        <f>IFERROR(__xludf.DUMMYFUNCTION("""COMPUTED_VALUE"""),1442.0)</f>
        <v>1442</v>
      </c>
    </row>
    <row r="1535">
      <c r="A1535" s="1" t="str">
        <f>IFERROR(__xludf.DUMMYFUNCTION("""COMPUTED_VALUE"""),"PR051")</f>
        <v>PR051</v>
      </c>
      <c r="B1535" s="1" t="str">
        <f>IFERROR(__xludf.DUMMYFUNCTION("""COMPUTED_VALUE"""),"VD017")</f>
        <v>VD017</v>
      </c>
      <c r="C1535" s="1">
        <f>IFERROR(__xludf.DUMMYFUNCTION("""COMPUTED_VALUE"""),8.0)</f>
        <v>8</v>
      </c>
      <c r="D1535" s="1">
        <f>IFERROR(__xludf.DUMMYFUNCTION("""COMPUTED_VALUE"""),276.36)</f>
        <v>276.36</v>
      </c>
    </row>
    <row r="1536">
      <c r="A1536" s="1" t="str">
        <f>IFERROR(__xludf.DUMMYFUNCTION("""COMPUTED_VALUE"""),"PR016")</f>
        <v>PR016</v>
      </c>
      <c r="B1536" s="1" t="str">
        <f>IFERROR(__xludf.DUMMYFUNCTION("""COMPUTED_VALUE"""),"VD033")</f>
        <v>VD033</v>
      </c>
      <c r="C1536" s="1">
        <f>IFERROR(__xludf.DUMMYFUNCTION("""COMPUTED_VALUE"""),14.0)</f>
        <v>14</v>
      </c>
      <c r="D1536" s="1">
        <f>IFERROR(__xludf.DUMMYFUNCTION("""COMPUTED_VALUE"""),362.6)</f>
        <v>362.6</v>
      </c>
    </row>
    <row r="1537">
      <c r="A1537" s="1" t="str">
        <f>IFERROR(__xludf.DUMMYFUNCTION("""COMPUTED_VALUE"""),"PR019")</f>
        <v>PR019</v>
      </c>
      <c r="B1537" s="1" t="str">
        <f>IFERROR(__xludf.DUMMYFUNCTION("""COMPUTED_VALUE"""),"VD031")</f>
        <v>VD031</v>
      </c>
      <c r="C1537" s="1">
        <f>IFERROR(__xludf.DUMMYFUNCTION("""COMPUTED_VALUE"""),20.0)</f>
        <v>20</v>
      </c>
      <c r="D1537" s="1">
        <f>IFERROR(__xludf.DUMMYFUNCTION("""COMPUTED_VALUE"""),1097.8)</f>
        <v>1097.8</v>
      </c>
    </row>
    <row r="1538">
      <c r="A1538" s="1" t="str">
        <f>IFERROR(__xludf.DUMMYFUNCTION("""COMPUTED_VALUE"""),"PR018")</f>
        <v>PR018</v>
      </c>
      <c r="B1538" s="1" t="str">
        <f>IFERROR(__xludf.DUMMYFUNCTION("""COMPUTED_VALUE"""),"VD029")</f>
        <v>VD029</v>
      </c>
      <c r="C1538" s="1">
        <f>IFERROR(__xludf.DUMMYFUNCTION("""COMPUTED_VALUE"""),6.0)</f>
        <v>6</v>
      </c>
      <c r="D1538" s="1">
        <f>IFERROR(__xludf.DUMMYFUNCTION("""COMPUTED_VALUE"""),217.14)</f>
        <v>217.14</v>
      </c>
    </row>
    <row r="1539">
      <c r="A1539" s="1" t="str">
        <f>IFERROR(__xludf.DUMMYFUNCTION("""COMPUTED_VALUE"""),"PR045")</f>
        <v>PR045</v>
      </c>
      <c r="B1539" s="1" t="str">
        <f>IFERROR(__xludf.DUMMYFUNCTION("""COMPUTED_VALUE"""),"VD021")</f>
        <v>VD021</v>
      </c>
      <c r="C1539" s="1">
        <f>IFERROR(__xludf.DUMMYFUNCTION("""COMPUTED_VALUE"""),20.0)</f>
        <v>20</v>
      </c>
      <c r="D1539" s="1">
        <f>IFERROR(__xludf.DUMMYFUNCTION("""COMPUTED_VALUE"""),1479.0)</f>
        <v>1479</v>
      </c>
    </row>
    <row r="1540">
      <c r="A1540" s="1" t="str">
        <f>IFERROR(__xludf.DUMMYFUNCTION("""COMPUTED_VALUE"""),"PR020")</f>
        <v>PR020</v>
      </c>
      <c r="B1540" s="1" t="str">
        <f>IFERROR(__xludf.DUMMYFUNCTION("""COMPUTED_VALUE"""),"VD013")</f>
        <v>VD013</v>
      </c>
      <c r="C1540" s="1">
        <f>IFERROR(__xludf.DUMMYFUNCTION("""COMPUTED_VALUE"""),12.0)</f>
        <v>12</v>
      </c>
      <c r="D1540" s="1">
        <f>IFERROR(__xludf.DUMMYFUNCTION("""COMPUTED_VALUE"""),3598.8)</f>
        <v>3598.8</v>
      </c>
    </row>
    <row r="1541">
      <c r="A1541" s="1" t="str">
        <f>IFERROR(__xludf.DUMMYFUNCTION("""COMPUTED_VALUE"""),"PR049")</f>
        <v>PR049</v>
      </c>
      <c r="B1541" s="1" t="str">
        <f>IFERROR(__xludf.DUMMYFUNCTION("""COMPUTED_VALUE"""),"VD022")</f>
        <v>VD022</v>
      </c>
      <c r="C1541" s="1">
        <f>IFERROR(__xludf.DUMMYFUNCTION("""COMPUTED_VALUE"""),14.0)</f>
        <v>14</v>
      </c>
      <c r="D1541" s="1">
        <f>IFERROR(__xludf.DUMMYFUNCTION("""COMPUTED_VALUE"""),483.63)</f>
        <v>483.63</v>
      </c>
    </row>
    <row r="1542">
      <c r="A1542" s="1" t="str">
        <f>IFERROR(__xludf.DUMMYFUNCTION("""COMPUTED_VALUE"""),"PR048")</f>
        <v>PR048</v>
      </c>
      <c r="B1542" s="1" t="str">
        <f>IFERROR(__xludf.DUMMYFUNCTION("""COMPUTED_VALUE"""),"VD026")</f>
        <v>VD026</v>
      </c>
      <c r="C1542" s="1">
        <f>IFERROR(__xludf.DUMMYFUNCTION("""COMPUTED_VALUE"""),1.0)</f>
        <v>1</v>
      </c>
      <c r="D1542" s="1">
        <f>IFERROR(__xludf.DUMMYFUNCTION("""COMPUTED_VALUE"""),304.4)</f>
        <v>304.4</v>
      </c>
    </row>
    <row r="1543">
      <c r="A1543" s="1" t="str">
        <f>IFERROR(__xludf.DUMMYFUNCTION("""COMPUTED_VALUE"""),"PR060")</f>
        <v>PR060</v>
      </c>
      <c r="B1543" s="1" t="str">
        <f>IFERROR(__xludf.DUMMYFUNCTION("""COMPUTED_VALUE"""),"VD033")</f>
        <v>VD033</v>
      </c>
      <c r="C1543" s="1">
        <f>IFERROR(__xludf.DUMMYFUNCTION("""COMPUTED_VALUE"""),8.0)</f>
        <v>8</v>
      </c>
      <c r="D1543" s="1">
        <f>IFERROR(__xludf.DUMMYFUNCTION("""COMPUTED_VALUE"""),1526.4)</f>
        <v>1526.4</v>
      </c>
    </row>
    <row r="1544">
      <c r="A1544" s="1" t="str">
        <f>IFERROR(__xludf.DUMMYFUNCTION("""COMPUTED_VALUE"""),"PR021")</f>
        <v>PR021</v>
      </c>
      <c r="B1544" s="1" t="str">
        <f>IFERROR(__xludf.DUMMYFUNCTION("""COMPUTED_VALUE"""),"VD016")</f>
        <v>VD016</v>
      </c>
      <c r="C1544" s="1">
        <f>IFERROR(__xludf.DUMMYFUNCTION("""COMPUTED_VALUE"""),18.0)</f>
        <v>18</v>
      </c>
      <c r="D1544" s="1">
        <f>IFERROR(__xludf.DUMMYFUNCTION("""COMPUTED_VALUE"""),5561.24)</f>
        <v>5561.24</v>
      </c>
    </row>
    <row r="1545">
      <c r="A1545" s="1" t="str">
        <f>IFERROR(__xludf.DUMMYFUNCTION("""COMPUTED_VALUE"""),"PR035")</f>
        <v>PR035</v>
      </c>
      <c r="B1545" s="1" t="str">
        <f>IFERROR(__xludf.DUMMYFUNCTION("""COMPUTED_VALUE"""),"VD049")</f>
        <v>VD049</v>
      </c>
      <c r="C1545" s="1">
        <f>IFERROR(__xludf.DUMMYFUNCTION("""COMPUTED_VALUE"""),16.0)</f>
        <v>16</v>
      </c>
      <c r="D1545" s="1">
        <f>IFERROR(__xludf.DUMMYFUNCTION("""COMPUTED_VALUE"""),1564.77)</f>
        <v>1564.77</v>
      </c>
    </row>
    <row r="1546">
      <c r="A1546" s="1" t="str">
        <f>IFERROR(__xludf.DUMMYFUNCTION("""COMPUTED_VALUE"""),"PR012")</f>
        <v>PR012</v>
      </c>
      <c r="B1546" s="1" t="str">
        <f>IFERROR(__xludf.DUMMYFUNCTION("""COMPUTED_VALUE"""),"VD036")</f>
        <v>VD036</v>
      </c>
      <c r="C1546" s="1">
        <f>IFERROR(__xludf.DUMMYFUNCTION("""COMPUTED_VALUE"""),2.0)</f>
        <v>2</v>
      </c>
      <c r="D1546" s="1">
        <f>IFERROR(__xludf.DUMMYFUNCTION("""COMPUTED_VALUE"""),98.78)</f>
        <v>98.78</v>
      </c>
    </row>
    <row r="1547">
      <c r="A1547" s="1" t="str">
        <f>IFERROR(__xludf.DUMMYFUNCTION("""COMPUTED_VALUE"""),"PR018")</f>
        <v>PR018</v>
      </c>
      <c r="B1547" s="1" t="str">
        <f>IFERROR(__xludf.DUMMYFUNCTION("""COMPUTED_VALUE"""),"VD046")</f>
        <v>VD046</v>
      </c>
      <c r="C1547" s="1">
        <f>IFERROR(__xludf.DUMMYFUNCTION("""COMPUTED_VALUE"""),2.0)</f>
        <v>2</v>
      </c>
      <c r="D1547" s="1">
        <f>IFERROR(__xludf.DUMMYFUNCTION("""COMPUTED_VALUE"""),66.46)</f>
        <v>66.46</v>
      </c>
    </row>
    <row r="1548">
      <c r="A1548" s="1" t="str">
        <f>IFERROR(__xludf.DUMMYFUNCTION("""COMPUTED_VALUE"""),"PR057")</f>
        <v>PR057</v>
      </c>
      <c r="B1548" s="1" t="str">
        <f>IFERROR(__xludf.DUMMYFUNCTION("""COMPUTED_VALUE"""),"VD042")</f>
        <v>VD042</v>
      </c>
      <c r="C1548" s="1">
        <f>IFERROR(__xludf.DUMMYFUNCTION("""COMPUTED_VALUE"""),6.0)</f>
        <v>6</v>
      </c>
      <c r="D1548" s="1">
        <f>IFERROR(__xludf.DUMMYFUNCTION("""COMPUTED_VALUE"""),577.16)</f>
        <v>577.16</v>
      </c>
    </row>
    <row r="1549">
      <c r="A1549" s="1" t="str">
        <f>IFERROR(__xludf.DUMMYFUNCTION("""COMPUTED_VALUE"""),"PR018")</f>
        <v>PR018</v>
      </c>
      <c r="B1549" s="1" t="str">
        <f>IFERROR(__xludf.DUMMYFUNCTION("""COMPUTED_VALUE"""),"VD046")</f>
        <v>VD046</v>
      </c>
      <c r="C1549" s="1">
        <f>IFERROR(__xludf.DUMMYFUNCTION("""COMPUTED_VALUE"""),2.0)</f>
        <v>2</v>
      </c>
      <c r="D1549" s="1">
        <f>IFERROR(__xludf.DUMMYFUNCTION("""COMPUTED_VALUE"""),71.06)</f>
        <v>71.06</v>
      </c>
    </row>
    <row r="1550">
      <c r="A1550" s="1" t="str">
        <f>IFERROR(__xludf.DUMMYFUNCTION("""COMPUTED_VALUE"""),"PR053")</f>
        <v>PR053</v>
      </c>
      <c r="B1550" s="1" t="str">
        <f>IFERROR(__xludf.DUMMYFUNCTION("""COMPUTED_VALUE"""),"VD039")</f>
        <v>VD039</v>
      </c>
      <c r="C1550" s="1">
        <f>IFERROR(__xludf.DUMMYFUNCTION("""COMPUTED_VALUE"""),14.0)</f>
        <v>14</v>
      </c>
      <c r="D1550" s="1">
        <f>IFERROR(__xludf.DUMMYFUNCTION("""COMPUTED_VALUE"""),761.47)</f>
        <v>761.47</v>
      </c>
    </row>
    <row r="1551">
      <c r="A1551" s="1" t="str">
        <f>IFERROR(__xludf.DUMMYFUNCTION("""COMPUTED_VALUE"""),"PR053")</f>
        <v>PR053</v>
      </c>
      <c r="B1551" s="1" t="str">
        <f>IFERROR(__xludf.DUMMYFUNCTION("""COMPUTED_VALUE"""),"VD029")</f>
        <v>VD029</v>
      </c>
      <c r="C1551" s="1">
        <f>IFERROR(__xludf.DUMMYFUNCTION("""COMPUTED_VALUE"""),9.0)</f>
        <v>9</v>
      </c>
      <c r="D1551" s="1">
        <f>IFERROR(__xludf.DUMMYFUNCTION("""COMPUTED_VALUE"""),480.54)</f>
        <v>480.54</v>
      </c>
    </row>
    <row r="1552">
      <c r="A1552" s="1" t="str">
        <f>IFERROR(__xludf.DUMMYFUNCTION("""COMPUTED_VALUE"""),"PR004")</f>
        <v>PR004</v>
      </c>
      <c r="B1552" s="1" t="str">
        <f>IFERROR(__xludf.DUMMYFUNCTION("""COMPUTED_VALUE"""),"VD049")</f>
        <v>VD049</v>
      </c>
      <c r="C1552" s="1">
        <f>IFERROR(__xludf.DUMMYFUNCTION("""COMPUTED_VALUE"""),2.0)</f>
        <v>2</v>
      </c>
      <c r="D1552" s="1">
        <f>IFERROR(__xludf.DUMMYFUNCTION("""COMPUTED_VALUE"""),307.4)</f>
        <v>307.4</v>
      </c>
    </row>
    <row r="1553">
      <c r="A1553" s="1" t="str">
        <f>IFERROR(__xludf.DUMMYFUNCTION("""COMPUTED_VALUE"""),"PR005")</f>
        <v>PR005</v>
      </c>
      <c r="B1553" s="1" t="str">
        <f>IFERROR(__xludf.DUMMYFUNCTION("""COMPUTED_VALUE"""),"VD036")</f>
        <v>VD036</v>
      </c>
      <c r="C1553" s="1">
        <f>IFERROR(__xludf.DUMMYFUNCTION("""COMPUTED_VALUE"""),4.0)</f>
        <v>4</v>
      </c>
      <c r="D1553" s="1">
        <f>IFERROR(__xludf.DUMMYFUNCTION("""COMPUTED_VALUE"""),1050.0)</f>
        <v>1050</v>
      </c>
    </row>
    <row r="1554">
      <c r="A1554" s="1" t="str">
        <f>IFERROR(__xludf.DUMMYFUNCTION("""COMPUTED_VALUE"""),"PR030")</f>
        <v>PR030</v>
      </c>
      <c r="B1554" s="1" t="str">
        <f>IFERROR(__xludf.DUMMYFUNCTION("""COMPUTED_VALUE"""),"VD018")</f>
        <v>VD018</v>
      </c>
      <c r="C1554" s="1">
        <f>IFERROR(__xludf.DUMMYFUNCTION("""COMPUTED_VALUE"""),5.0)</f>
        <v>5</v>
      </c>
      <c r="D1554" s="1">
        <f>IFERROR(__xludf.DUMMYFUNCTION("""COMPUTED_VALUE"""),1403.46)</f>
        <v>1403.46</v>
      </c>
    </row>
    <row r="1555">
      <c r="A1555" s="1" t="str">
        <f>IFERROR(__xludf.DUMMYFUNCTION("""COMPUTED_VALUE"""),"PR013")</f>
        <v>PR013</v>
      </c>
      <c r="B1555" s="1" t="str">
        <f>IFERROR(__xludf.DUMMYFUNCTION("""COMPUTED_VALUE"""),"VD015")</f>
        <v>VD015</v>
      </c>
      <c r="C1555" s="1">
        <f>IFERROR(__xludf.DUMMYFUNCTION("""COMPUTED_VALUE"""),6.0)</f>
        <v>6</v>
      </c>
      <c r="D1555" s="1">
        <f>IFERROR(__xludf.DUMMYFUNCTION("""COMPUTED_VALUE"""),258.55)</f>
        <v>258.55</v>
      </c>
    </row>
    <row r="1556">
      <c r="A1556" s="1" t="str">
        <f>IFERROR(__xludf.DUMMYFUNCTION("""COMPUTED_VALUE"""),"PR007")</f>
        <v>PR007</v>
      </c>
      <c r="B1556" s="1" t="str">
        <f>IFERROR(__xludf.DUMMYFUNCTION("""COMPUTED_VALUE"""),"VD029")</f>
        <v>VD029</v>
      </c>
      <c r="C1556" s="1">
        <f>IFERROR(__xludf.DUMMYFUNCTION("""COMPUTED_VALUE"""),9.0)</f>
        <v>9</v>
      </c>
      <c r="D1556" s="1">
        <f>IFERROR(__xludf.DUMMYFUNCTION("""COMPUTED_VALUE"""),811.76)</f>
        <v>811.76</v>
      </c>
    </row>
    <row r="1557">
      <c r="A1557" s="1" t="str">
        <f>IFERROR(__xludf.DUMMYFUNCTION("""COMPUTED_VALUE"""),"PR035")</f>
        <v>PR035</v>
      </c>
      <c r="B1557" s="1" t="str">
        <f>IFERROR(__xludf.DUMMYFUNCTION("""COMPUTED_VALUE"""),"VD040")</f>
        <v>VD040</v>
      </c>
      <c r="C1557" s="1">
        <f>IFERROR(__xludf.DUMMYFUNCTION("""COMPUTED_VALUE"""),3.0)</f>
        <v>3</v>
      </c>
      <c r="D1557" s="1">
        <f>IFERROR(__xludf.DUMMYFUNCTION("""COMPUTED_VALUE"""),279.68)</f>
        <v>279.68</v>
      </c>
    </row>
    <row r="1558">
      <c r="A1558" s="1" t="str">
        <f>IFERROR(__xludf.DUMMYFUNCTION("""COMPUTED_VALUE"""),"PR030")</f>
        <v>PR030</v>
      </c>
      <c r="B1558" s="1" t="str">
        <f>IFERROR(__xludf.DUMMYFUNCTION("""COMPUTED_VALUE"""),"VD010")</f>
        <v>VD010</v>
      </c>
      <c r="C1558" s="1">
        <f>IFERROR(__xludf.DUMMYFUNCTION("""COMPUTED_VALUE"""),20.0)</f>
        <v>20</v>
      </c>
      <c r="D1558" s="1">
        <f>IFERROR(__xludf.DUMMYFUNCTION("""COMPUTED_VALUE"""),5301.96)</f>
        <v>5301.96</v>
      </c>
    </row>
    <row r="1559">
      <c r="A1559" s="1" t="str">
        <f>IFERROR(__xludf.DUMMYFUNCTION("""COMPUTED_VALUE"""),"PR018")</f>
        <v>PR018</v>
      </c>
      <c r="B1559" s="1" t="str">
        <f>IFERROR(__xludf.DUMMYFUNCTION("""COMPUTED_VALUE"""),"VD046")</f>
        <v>VD046</v>
      </c>
      <c r="C1559" s="1">
        <f>IFERROR(__xludf.DUMMYFUNCTION("""COMPUTED_VALUE"""),14.0)</f>
        <v>14</v>
      </c>
      <c r="D1559" s="1">
        <f>IFERROR(__xludf.DUMMYFUNCTION("""COMPUTED_VALUE"""),474.42)</f>
        <v>474.42</v>
      </c>
    </row>
    <row r="1560">
      <c r="A1560" s="1" t="str">
        <f>IFERROR(__xludf.DUMMYFUNCTION("""COMPUTED_VALUE"""),"PR016")</f>
        <v>PR016</v>
      </c>
      <c r="B1560" s="1" t="str">
        <f>IFERROR(__xludf.DUMMYFUNCTION("""COMPUTED_VALUE"""),"VD044")</f>
        <v>VD044</v>
      </c>
      <c r="C1560" s="1">
        <f>IFERROR(__xludf.DUMMYFUNCTION("""COMPUTED_VALUE"""),16.0)</f>
        <v>16</v>
      </c>
      <c r="D1560" s="1">
        <f>IFERROR(__xludf.DUMMYFUNCTION("""COMPUTED_VALUE"""),430.98)</f>
        <v>430.98</v>
      </c>
    </row>
    <row r="1561">
      <c r="A1561" s="1" t="str">
        <f>IFERROR(__xludf.DUMMYFUNCTION("""COMPUTED_VALUE"""),"PR030")</f>
        <v>PR030</v>
      </c>
      <c r="B1561" s="1" t="str">
        <f>IFERROR(__xludf.DUMMYFUNCTION("""COMPUTED_VALUE"""),"VD032")</f>
        <v>VD032</v>
      </c>
      <c r="C1561" s="1">
        <f>IFERROR(__xludf.DUMMYFUNCTION("""COMPUTED_VALUE"""),16.0)</f>
        <v>16</v>
      </c>
      <c r="D1561" s="1">
        <f>IFERROR(__xludf.DUMMYFUNCTION("""COMPUTED_VALUE"""),4574.24)</f>
        <v>4574.24</v>
      </c>
    </row>
    <row r="1562">
      <c r="A1562" s="1" t="str">
        <f>IFERROR(__xludf.DUMMYFUNCTION("""COMPUTED_VALUE"""),"PR056")</f>
        <v>PR056</v>
      </c>
      <c r="B1562" s="1" t="str">
        <f>IFERROR(__xludf.DUMMYFUNCTION("""COMPUTED_VALUE"""),"VD018")</f>
        <v>VD018</v>
      </c>
      <c r="C1562" s="1">
        <f>IFERROR(__xludf.DUMMYFUNCTION("""COMPUTED_VALUE"""),20.0)</f>
        <v>20</v>
      </c>
      <c r="D1562" s="1">
        <f>IFERROR(__xludf.DUMMYFUNCTION("""COMPUTED_VALUE"""),1833.96)</f>
        <v>1833.96</v>
      </c>
    </row>
    <row r="1563">
      <c r="A1563" s="1" t="str">
        <f>IFERROR(__xludf.DUMMYFUNCTION("""COMPUTED_VALUE"""),"PR037")</f>
        <v>PR037</v>
      </c>
      <c r="B1563" s="1" t="str">
        <f>IFERROR(__xludf.DUMMYFUNCTION("""COMPUTED_VALUE"""),"VD048")</f>
        <v>VD048</v>
      </c>
      <c r="C1563" s="1">
        <f>IFERROR(__xludf.DUMMYFUNCTION("""COMPUTED_VALUE"""),12.0)</f>
        <v>12</v>
      </c>
      <c r="D1563" s="1">
        <f>IFERROR(__xludf.DUMMYFUNCTION("""COMPUTED_VALUE"""),1764.0)</f>
        <v>1764</v>
      </c>
    </row>
    <row r="1564">
      <c r="A1564" s="1" t="str">
        <f>IFERROR(__xludf.DUMMYFUNCTION("""COMPUTED_VALUE"""),"PR031")</f>
        <v>PR031</v>
      </c>
      <c r="B1564" s="1" t="str">
        <f>IFERROR(__xludf.DUMMYFUNCTION("""COMPUTED_VALUE"""),"VD032")</f>
        <v>VD032</v>
      </c>
      <c r="C1564" s="1">
        <f>IFERROR(__xludf.DUMMYFUNCTION("""COMPUTED_VALUE"""),14.0)</f>
        <v>14</v>
      </c>
      <c r="D1564" s="1">
        <f>IFERROR(__xludf.DUMMYFUNCTION("""COMPUTED_VALUE"""),3430.0)</f>
        <v>3430</v>
      </c>
    </row>
    <row r="1565">
      <c r="A1565" s="1" t="str">
        <f>IFERROR(__xludf.DUMMYFUNCTION("""COMPUTED_VALUE"""),"PR016")</f>
        <v>PR016</v>
      </c>
      <c r="B1565" s="1" t="str">
        <f>IFERROR(__xludf.DUMMYFUNCTION("""COMPUTED_VALUE"""),"VD027")</f>
        <v>VD027</v>
      </c>
      <c r="C1565" s="1">
        <f>IFERROR(__xludf.DUMMYFUNCTION("""COMPUTED_VALUE"""),6.0)</f>
        <v>6</v>
      </c>
      <c r="D1565" s="1">
        <f>IFERROR(__xludf.DUMMYFUNCTION("""COMPUTED_VALUE"""),170.94)</f>
        <v>170.94</v>
      </c>
    </row>
    <row r="1566">
      <c r="A1566" s="1" t="str">
        <f>IFERROR(__xludf.DUMMYFUNCTION("""COMPUTED_VALUE"""),"PR054")</f>
        <v>PR054</v>
      </c>
      <c r="B1566" s="1" t="str">
        <f>IFERROR(__xludf.DUMMYFUNCTION("""COMPUTED_VALUE"""),"VD032")</f>
        <v>VD032</v>
      </c>
      <c r="C1566" s="1">
        <f>IFERROR(__xludf.DUMMYFUNCTION("""COMPUTED_VALUE"""),6.0)</f>
        <v>6</v>
      </c>
      <c r="D1566" s="1">
        <f>IFERROR(__xludf.DUMMYFUNCTION("""COMPUTED_VALUE"""),329.34)</f>
        <v>329.34</v>
      </c>
    </row>
    <row r="1567">
      <c r="A1567" s="1" t="str">
        <f>IFERROR(__xludf.DUMMYFUNCTION("""COMPUTED_VALUE"""),"PR035")</f>
        <v>PR035</v>
      </c>
      <c r="B1567" s="1" t="str">
        <f>IFERROR(__xludf.DUMMYFUNCTION("""COMPUTED_VALUE"""),"VD038")</f>
        <v>VD038</v>
      </c>
      <c r="C1567" s="1">
        <f>IFERROR(__xludf.DUMMYFUNCTION("""COMPUTED_VALUE"""),2.0)</f>
        <v>2</v>
      </c>
      <c r="D1567" s="1">
        <f>IFERROR(__xludf.DUMMYFUNCTION("""COMPUTED_VALUE"""),190.11)</f>
        <v>190.11</v>
      </c>
    </row>
    <row r="1568">
      <c r="A1568" s="1" t="str">
        <f>IFERROR(__xludf.DUMMYFUNCTION("""COMPUTED_VALUE"""),"PR014")</f>
        <v>PR014</v>
      </c>
      <c r="B1568" s="1" t="str">
        <f>IFERROR(__xludf.DUMMYFUNCTION("""COMPUTED_VALUE"""),"VD016")</f>
        <v>VD016</v>
      </c>
      <c r="C1568" s="1">
        <f>IFERROR(__xludf.DUMMYFUNCTION("""COMPUTED_VALUE"""),1.0)</f>
        <v>1</v>
      </c>
      <c r="D1568" s="1">
        <f>IFERROR(__xludf.DUMMYFUNCTION("""COMPUTED_VALUE"""),42.29)</f>
        <v>42.29</v>
      </c>
    </row>
    <row r="1569">
      <c r="A1569" s="1" t="str">
        <f>IFERROR(__xludf.DUMMYFUNCTION("""COMPUTED_VALUE"""),"PR009")</f>
        <v>PR009</v>
      </c>
      <c r="B1569" s="1" t="str">
        <f>IFERROR(__xludf.DUMMYFUNCTION("""COMPUTED_VALUE"""),"VD031")</f>
        <v>VD031</v>
      </c>
      <c r="C1569" s="1">
        <f>IFERROR(__xludf.DUMMYFUNCTION("""COMPUTED_VALUE"""),16.0)</f>
        <v>16</v>
      </c>
      <c r="D1569" s="1">
        <f>IFERROR(__xludf.DUMMYFUNCTION("""COMPUTED_VALUE"""),1516.13)</f>
        <v>1516.13</v>
      </c>
    </row>
    <row r="1570">
      <c r="A1570" s="1" t="str">
        <f>IFERROR(__xludf.DUMMYFUNCTION("""COMPUTED_VALUE"""),"PR053")</f>
        <v>PR053</v>
      </c>
      <c r="B1570" s="1" t="str">
        <f>IFERROR(__xludf.DUMMYFUNCTION("""COMPUTED_VALUE"""),"VD036")</f>
        <v>VD036</v>
      </c>
      <c r="C1570" s="1">
        <f>IFERROR(__xludf.DUMMYFUNCTION("""COMPUTED_VALUE"""),18.0)</f>
        <v>18</v>
      </c>
      <c r="D1570" s="1">
        <f>IFERROR(__xludf.DUMMYFUNCTION("""COMPUTED_VALUE"""),961.07)</f>
        <v>961.07</v>
      </c>
    </row>
    <row r="1571">
      <c r="A1571" s="1" t="str">
        <f>IFERROR(__xludf.DUMMYFUNCTION("""COMPUTED_VALUE"""),"PR051")</f>
        <v>PR051</v>
      </c>
      <c r="B1571" s="1" t="str">
        <f>IFERROR(__xludf.DUMMYFUNCTION("""COMPUTED_VALUE"""),"VD038")</f>
        <v>VD038</v>
      </c>
      <c r="C1571" s="1">
        <f>IFERROR(__xludf.DUMMYFUNCTION("""COMPUTED_VALUE"""),8.0)</f>
        <v>8</v>
      </c>
      <c r="D1571" s="1">
        <f>IFERROR(__xludf.DUMMYFUNCTION("""COMPUTED_VALUE"""),271.1)</f>
        <v>271.1</v>
      </c>
    </row>
    <row r="1572">
      <c r="A1572" s="1" t="str">
        <f>IFERROR(__xludf.DUMMYFUNCTION("""COMPUTED_VALUE"""),"PR006")</f>
        <v>PR006</v>
      </c>
      <c r="B1572" s="1" t="str">
        <f>IFERROR(__xludf.DUMMYFUNCTION("""COMPUTED_VALUE"""),"VD035")</f>
        <v>VD035</v>
      </c>
      <c r="C1572" s="1">
        <f>IFERROR(__xludf.DUMMYFUNCTION("""COMPUTED_VALUE"""),5.0)</f>
        <v>5</v>
      </c>
      <c r="D1572" s="1">
        <f>IFERROR(__xludf.DUMMYFUNCTION("""COMPUTED_VALUE"""),215.46)</f>
        <v>215.46</v>
      </c>
    </row>
    <row r="1573">
      <c r="A1573" s="1" t="str">
        <f>IFERROR(__xludf.DUMMYFUNCTION("""COMPUTED_VALUE"""),"PR046")</f>
        <v>PR046</v>
      </c>
      <c r="B1573" s="1" t="str">
        <f>IFERROR(__xludf.DUMMYFUNCTION("""COMPUTED_VALUE"""),"VD040")</f>
        <v>VD040</v>
      </c>
      <c r="C1573" s="1">
        <f>IFERROR(__xludf.DUMMYFUNCTION("""COMPUTED_VALUE"""),2.0)</f>
        <v>2</v>
      </c>
      <c r="D1573" s="1">
        <f>IFERROR(__xludf.DUMMYFUNCTION("""COMPUTED_VALUE"""),614.59)</f>
        <v>614.59</v>
      </c>
    </row>
    <row r="1574">
      <c r="A1574" s="1" t="str">
        <f>IFERROR(__xludf.DUMMYFUNCTION("""COMPUTED_VALUE"""),"PR001")</f>
        <v>PR001</v>
      </c>
      <c r="B1574" s="1" t="str">
        <f>IFERROR(__xludf.DUMMYFUNCTION("""COMPUTED_VALUE"""),"VD020")</f>
        <v>VD020</v>
      </c>
      <c r="C1574" s="1">
        <f>IFERROR(__xludf.DUMMYFUNCTION("""COMPUTED_VALUE"""),12.0)</f>
        <v>12</v>
      </c>
      <c r="D1574" s="1">
        <f>IFERROR(__xludf.DUMMYFUNCTION("""COMPUTED_VALUE"""),806.62)</f>
        <v>806.62</v>
      </c>
    </row>
    <row r="1575">
      <c r="A1575" s="1" t="str">
        <f>IFERROR(__xludf.DUMMYFUNCTION("""COMPUTED_VALUE"""),"PR022")</f>
        <v>PR022</v>
      </c>
      <c r="B1575" s="1" t="str">
        <f>IFERROR(__xludf.DUMMYFUNCTION("""COMPUTED_VALUE"""),"VD036")</f>
        <v>VD036</v>
      </c>
      <c r="C1575" s="1">
        <f>IFERROR(__xludf.DUMMYFUNCTION("""COMPUTED_VALUE"""),4.0)</f>
        <v>4</v>
      </c>
      <c r="D1575" s="1">
        <f>IFERROR(__xludf.DUMMYFUNCTION("""COMPUTED_VALUE"""),1212.0)</f>
        <v>1212</v>
      </c>
    </row>
    <row r="1576">
      <c r="A1576" s="1" t="str">
        <f>IFERROR(__xludf.DUMMYFUNCTION("""COMPUTED_VALUE"""),"PR012")</f>
        <v>PR012</v>
      </c>
      <c r="B1576" s="1" t="str">
        <f>IFERROR(__xludf.DUMMYFUNCTION("""COMPUTED_VALUE"""),"VD036")</f>
        <v>VD036</v>
      </c>
      <c r="C1576" s="1">
        <f>IFERROR(__xludf.DUMMYFUNCTION("""COMPUTED_VALUE"""),20.0)</f>
        <v>20</v>
      </c>
      <c r="D1576" s="1">
        <f>IFERROR(__xludf.DUMMYFUNCTION("""COMPUTED_VALUE"""),987.78)</f>
        <v>987.78</v>
      </c>
    </row>
    <row r="1577">
      <c r="A1577" s="1" t="str">
        <f>IFERROR(__xludf.DUMMYFUNCTION("""COMPUTED_VALUE"""),"PR031")</f>
        <v>PR031</v>
      </c>
      <c r="B1577" s="1" t="str">
        <f>IFERROR(__xludf.DUMMYFUNCTION("""COMPUTED_VALUE"""),"VD044")</f>
        <v>VD044</v>
      </c>
      <c r="C1577" s="1">
        <f>IFERROR(__xludf.DUMMYFUNCTION("""COMPUTED_VALUE"""),4.0)</f>
        <v>4</v>
      </c>
      <c r="D1577" s="1">
        <f>IFERROR(__xludf.DUMMYFUNCTION("""COMPUTED_VALUE"""),1038.8)</f>
        <v>1038.8</v>
      </c>
    </row>
    <row r="1578">
      <c r="A1578" s="1" t="str">
        <f>IFERROR(__xludf.DUMMYFUNCTION("""COMPUTED_VALUE"""),"PR052")</f>
        <v>PR052</v>
      </c>
      <c r="B1578" s="1" t="str">
        <f>IFERROR(__xludf.DUMMYFUNCTION("""COMPUTED_VALUE"""),"VD044")</f>
        <v>VD044</v>
      </c>
      <c r="C1578" s="1">
        <f>IFERROR(__xludf.DUMMYFUNCTION("""COMPUTED_VALUE"""),16.0)</f>
        <v>16</v>
      </c>
      <c r="D1578" s="1">
        <f>IFERROR(__xludf.DUMMYFUNCTION("""COMPUTED_VALUE"""),814.37)</f>
        <v>814.37</v>
      </c>
    </row>
    <row r="1579">
      <c r="A1579" s="1" t="str">
        <f>IFERROR(__xludf.DUMMYFUNCTION("""COMPUTED_VALUE"""),"PR005")</f>
        <v>PR005</v>
      </c>
      <c r="B1579" s="1" t="str">
        <f>IFERROR(__xludf.DUMMYFUNCTION("""COMPUTED_VALUE"""),"VD027")</f>
        <v>VD027</v>
      </c>
      <c r="C1579" s="1">
        <f>IFERROR(__xludf.DUMMYFUNCTION("""COMPUTED_VALUE"""),3.0)</f>
        <v>3</v>
      </c>
      <c r="D1579" s="1">
        <f>IFERROR(__xludf.DUMMYFUNCTION("""COMPUTED_VALUE"""),810.89)</f>
        <v>810.89</v>
      </c>
    </row>
    <row r="1580">
      <c r="A1580" s="1" t="str">
        <f>IFERROR(__xludf.DUMMYFUNCTION("""COMPUTED_VALUE"""),"PR037")</f>
        <v>PR037</v>
      </c>
      <c r="B1580" s="1" t="str">
        <f>IFERROR(__xludf.DUMMYFUNCTION("""COMPUTED_VALUE"""),"VD045")</f>
        <v>VD045</v>
      </c>
      <c r="C1580" s="1">
        <f>IFERROR(__xludf.DUMMYFUNCTION("""COMPUTED_VALUE"""),9.0)</f>
        <v>9</v>
      </c>
      <c r="D1580" s="1">
        <f>IFERROR(__xludf.DUMMYFUNCTION("""COMPUTED_VALUE"""),1386.0)</f>
        <v>1386</v>
      </c>
    </row>
    <row r="1581">
      <c r="A1581" s="1" t="str">
        <f>IFERROR(__xludf.DUMMYFUNCTION("""COMPUTED_VALUE"""),"PR014")</f>
        <v>PR014</v>
      </c>
      <c r="B1581" s="1" t="str">
        <f>IFERROR(__xludf.DUMMYFUNCTION("""COMPUTED_VALUE"""),"VD036")</f>
        <v>VD036</v>
      </c>
      <c r="C1581" s="1">
        <f>IFERROR(__xludf.DUMMYFUNCTION("""COMPUTED_VALUE"""),10.0)</f>
        <v>10</v>
      </c>
      <c r="D1581" s="1">
        <f>IFERROR(__xludf.DUMMYFUNCTION("""COMPUTED_VALUE"""),414.96)</f>
        <v>414.96</v>
      </c>
    </row>
    <row r="1582">
      <c r="A1582" s="1" t="str">
        <f>IFERROR(__xludf.DUMMYFUNCTION("""COMPUTED_VALUE"""),"PR013")</f>
        <v>PR013</v>
      </c>
      <c r="B1582" s="1" t="str">
        <f>IFERROR(__xludf.DUMMYFUNCTION("""COMPUTED_VALUE"""),"VD036")</f>
        <v>VD036</v>
      </c>
      <c r="C1582" s="1">
        <f>IFERROR(__xludf.DUMMYFUNCTION("""COMPUTED_VALUE"""),16.0)</f>
        <v>16</v>
      </c>
      <c r="D1582" s="1">
        <f>IFERROR(__xludf.DUMMYFUNCTION("""COMPUTED_VALUE"""),670.32)</f>
        <v>670.32</v>
      </c>
    </row>
    <row r="1583">
      <c r="A1583" s="1" t="str">
        <f>IFERROR(__xludf.DUMMYFUNCTION("""COMPUTED_VALUE"""),"PR001")</f>
        <v>PR001</v>
      </c>
      <c r="B1583" s="1" t="str">
        <f>IFERROR(__xludf.DUMMYFUNCTION("""COMPUTED_VALUE"""),"VD030")</f>
        <v>VD030</v>
      </c>
      <c r="C1583" s="1">
        <f>IFERROR(__xludf.DUMMYFUNCTION("""COMPUTED_VALUE"""),20.0)</f>
        <v>20</v>
      </c>
      <c r="D1583" s="1">
        <f>IFERROR(__xludf.DUMMYFUNCTION("""COMPUTED_VALUE"""),1423.44)</f>
        <v>1423.44</v>
      </c>
    </row>
    <row r="1584">
      <c r="A1584" s="1" t="str">
        <f>IFERROR(__xludf.DUMMYFUNCTION("""COMPUTED_VALUE"""),"PR029")</f>
        <v>PR029</v>
      </c>
      <c r="B1584" s="1" t="str">
        <f>IFERROR(__xludf.DUMMYFUNCTION("""COMPUTED_VALUE"""),"VD024")</f>
        <v>VD024</v>
      </c>
      <c r="C1584" s="1">
        <f>IFERROR(__xludf.DUMMYFUNCTION("""COMPUTED_VALUE"""),4.0)</f>
        <v>4</v>
      </c>
      <c r="D1584" s="1">
        <f>IFERROR(__xludf.DUMMYFUNCTION("""COMPUTED_VALUE"""),1060.8)</f>
        <v>1060.8</v>
      </c>
    </row>
    <row r="1585">
      <c r="A1585" s="1" t="str">
        <f>IFERROR(__xludf.DUMMYFUNCTION("""COMPUTED_VALUE"""),"PR008")</f>
        <v>PR008</v>
      </c>
      <c r="B1585" s="1" t="str">
        <f>IFERROR(__xludf.DUMMYFUNCTION("""COMPUTED_VALUE"""),"VD014")</f>
        <v>VD014</v>
      </c>
      <c r="C1585" s="1">
        <f>IFERROR(__xludf.DUMMYFUNCTION("""COMPUTED_VALUE"""),10.0)</f>
        <v>10</v>
      </c>
      <c r="D1585" s="1">
        <f>IFERROR(__xludf.DUMMYFUNCTION("""COMPUTED_VALUE"""),899.0)</f>
        <v>899</v>
      </c>
    </row>
    <row r="1586">
      <c r="A1586" s="1" t="str">
        <f>IFERROR(__xludf.DUMMYFUNCTION("""COMPUTED_VALUE"""),"PR004")</f>
        <v>PR004</v>
      </c>
      <c r="B1586" s="1" t="str">
        <f>IFERROR(__xludf.DUMMYFUNCTION("""COMPUTED_VALUE"""),"VD042")</f>
        <v>VD042</v>
      </c>
      <c r="C1586" s="1">
        <f>IFERROR(__xludf.DUMMYFUNCTION("""COMPUTED_VALUE"""),2.0)</f>
        <v>2</v>
      </c>
      <c r="D1586" s="1">
        <f>IFERROR(__xludf.DUMMYFUNCTION("""COMPUTED_VALUE"""),301.6)</f>
        <v>301.6</v>
      </c>
    </row>
    <row r="1587">
      <c r="A1587" s="1" t="str">
        <f>IFERROR(__xludf.DUMMYFUNCTION("""COMPUTED_VALUE"""),"PR007")</f>
        <v>PR007</v>
      </c>
      <c r="B1587" s="1" t="str">
        <f>IFERROR(__xludf.DUMMYFUNCTION("""COMPUTED_VALUE"""),"VD045")</f>
        <v>VD045</v>
      </c>
      <c r="C1587" s="1">
        <f>IFERROR(__xludf.DUMMYFUNCTION("""COMPUTED_VALUE"""),14.0)</f>
        <v>14</v>
      </c>
      <c r="D1587" s="1">
        <f>IFERROR(__xludf.DUMMYFUNCTION("""COMPUTED_VALUE"""),1226.65)</f>
        <v>1226.65</v>
      </c>
    </row>
    <row r="1588">
      <c r="A1588" s="1" t="str">
        <f>IFERROR(__xludf.DUMMYFUNCTION("""COMPUTED_VALUE"""),"PR060")</f>
        <v>PR060</v>
      </c>
      <c r="B1588" s="1" t="str">
        <f>IFERROR(__xludf.DUMMYFUNCTION("""COMPUTED_VALUE"""),"VD011")</f>
        <v>VD011</v>
      </c>
      <c r="C1588" s="1">
        <f>IFERROR(__xludf.DUMMYFUNCTION("""COMPUTED_VALUE"""),10.0)</f>
        <v>10</v>
      </c>
      <c r="D1588" s="1">
        <f>IFERROR(__xludf.DUMMYFUNCTION("""COMPUTED_VALUE"""),1926.0)</f>
        <v>1926</v>
      </c>
    </row>
    <row r="1589">
      <c r="A1589" s="1" t="str">
        <f>IFERROR(__xludf.DUMMYFUNCTION("""COMPUTED_VALUE"""),"PR057")</f>
        <v>PR057</v>
      </c>
      <c r="B1589" s="1" t="str">
        <f>IFERROR(__xludf.DUMMYFUNCTION("""COMPUTED_VALUE"""),"VD036")</f>
        <v>VD036</v>
      </c>
      <c r="C1589" s="1">
        <f>IFERROR(__xludf.DUMMYFUNCTION("""COMPUTED_VALUE"""),10.0)</f>
        <v>10</v>
      </c>
      <c r="D1589" s="1">
        <f>IFERROR(__xludf.DUMMYFUNCTION("""COMPUTED_VALUE"""),979.91)</f>
        <v>979.91</v>
      </c>
    </row>
    <row r="1590">
      <c r="A1590" s="1" t="str">
        <f>IFERROR(__xludf.DUMMYFUNCTION("""COMPUTED_VALUE"""),"PR036")</f>
        <v>PR036</v>
      </c>
      <c r="B1590" s="1" t="str">
        <f>IFERROR(__xludf.DUMMYFUNCTION("""COMPUTED_VALUE"""),"VD017")</f>
        <v>VD017</v>
      </c>
      <c r="C1590" s="1">
        <f>IFERROR(__xludf.DUMMYFUNCTION("""COMPUTED_VALUE"""),10.0)</f>
        <v>10</v>
      </c>
      <c r="D1590" s="1">
        <f>IFERROR(__xludf.DUMMYFUNCTION("""COMPUTED_VALUE"""),981.75)</f>
        <v>981.75</v>
      </c>
    </row>
    <row r="1591">
      <c r="A1591" s="1" t="str">
        <f>IFERROR(__xludf.DUMMYFUNCTION("""COMPUTED_VALUE"""),"PR045")</f>
        <v>PR045</v>
      </c>
      <c r="B1591" s="1" t="str">
        <f>IFERROR(__xludf.DUMMYFUNCTION("""COMPUTED_VALUE"""),"VD019")</f>
        <v>VD019</v>
      </c>
      <c r="C1591" s="1">
        <f>IFERROR(__xludf.DUMMYFUNCTION("""COMPUTED_VALUE"""),4.0)</f>
        <v>4</v>
      </c>
      <c r="D1591" s="1">
        <f>IFERROR(__xludf.DUMMYFUNCTION("""COMPUTED_VALUE"""),292.9)</f>
        <v>292.9</v>
      </c>
    </row>
    <row r="1592">
      <c r="A1592" s="1" t="str">
        <f>IFERROR(__xludf.DUMMYFUNCTION("""COMPUTED_VALUE"""),"PR058")</f>
        <v>PR058</v>
      </c>
      <c r="B1592" s="1" t="str">
        <f>IFERROR(__xludf.DUMMYFUNCTION("""COMPUTED_VALUE"""),"VD029")</f>
        <v>VD029</v>
      </c>
      <c r="C1592" s="1">
        <f>IFERROR(__xludf.DUMMYFUNCTION("""COMPUTED_VALUE"""),18.0)</f>
        <v>18</v>
      </c>
      <c r="D1592" s="1">
        <f>IFERROR(__xludf.DUMMYFUNCTION("""COMPUTED_VALUE"""),3434.4)</f>
        <v>3434.4</v>
      </c>
    </row>
    <row r="1593">
      <c r="A1593" s="1" t="str">
        <f>IFERROR(__xludf.DUMMYFUNCTION("""COMPUTED_VALUE"""),"PR010")</f>
        <v>PR010</v>
      </c>
      <c r="B1593" s="1" t="str">
        <f>IFERROR(__xludf.DUMMYFUNCTION("""COMPUTED_VALUE"""),"VD046")</f>
        <v>VD046</v>
      </c>
      <c r="C1593" s="1">
        <f>IFERROR(__xludf.DUMMYFUNCTION("""COMPUTED_VALUE"""),14.0)</f>
        <v>14</v>
      </c>
      <c r="D1593" s="1">
        <f>IFERROR(__xludf.DUMMYFUNCTION("""COMPUTED_VALUE"""),666.32)</f>
        <v>666.32</v>
      </c>
    </row>
    <row r="1594">
      <c r="A1594" s="1" t="str">
        <f>IFERROR(__xludf.DUMMYFUNCTION("""COMPUTED_VALUE"""),"PR036")</f>
        <v>PR036</v>
      </c>
      <c r="B1594" s="1" t="str">
        <f>IFERROR(__xludf.DUMMYFUNCTION("""COMPUTED_VALUE"""),"VD017")</f>
        <v>VD017</v>
      </c>
      <c r="C1594" s="1">
        <f>IFERROR(__xludf.DUMMYFUNCTION("""COMPUTED_VALUE"""),5.0)</f>
        <v>5</v>
      </c>
      <c r="D1594" s="1">
        <f>IFERROR(__xludf.DUMMYFUNCTION("""COMPUTED_VALUE"""),486.2)</f>
        <v>486.2</v>
      </c>
    </row>
    <row r="1595">
      <c r="A1595" s="1" t="str">
        <f>IFERROR(__xludf.DUMMYFUNCTION("""COMPUTED_VALUE"""),"PR014")</f>
        <v>PR014</v>
      </c>
      <c r="B1595" s="1" t="str">
        <f>IFERROR(__xludf.DUMMYFUNCTION("""COMPUTED_VALUE"""),"VD048")</f>
        <v>VD048</v>
      </c>
      <c r="C1595" s="1">
        <f>IFERROR(__xludf.DUMMYFUNCTION("""COMPUTED_VALUE"""),4.0)</f>
        <v>4</v>
      </c>
      <c r="D1595" s="1">
        <f>IFERROR(__xludf.DUMMYFUNCTION("""COMPUTED_VALUE"""),172.37)</f>
        <v>172.37</v>
      </c>
    </row>
    <row r="1596">
      <c r="A1596" s="1" t="str">
        <f>IFERROR(__xludf.DUMMYFUNCTION("""COMPUTED_VALUE"""),"PR041")</f>
        <v>PR041</v>
      </c>
      <c r="B1596" s="1" t="str">
        <f>IFERROR(__xludf.DUMMYFUNCTION("""COMPUTED_VALUE"""),"VD042")</f>
        <v>VD042</v>
      </c>
      <c r="C1596" s="1">
        <f>IFERROR(__xludf.DUMMYFUNCTION("""COMPUTED_VALUE"""),2.0)</f>
        <v>2</v>
      </c>
      <c r="D1596" s="1">
        <f>IFERROR(__xludf.DUMMYFUNCTION("""COMPUTED_VALUE"""),120.78)</f>
        <v>120.78</v>
      </c>
    </row>
    <row r="1597">
      <c r="A1597" s="1" t="str">
        <f>IFERROR(__xludf.DUMMYFUNCTION("""COMPUTED_VALUE"""),"PR019")</f>
        <v>PR019</v>
      </c>
      <c r="B1597" s="1" t="str">
        <f>IFERROR(__xludf.DUMMYFUNCTION("""COMPUTED_VALUE"""),"VD034")</f>
        <v>VD034</v>
      </c>
      <c r="C1597" s="1">
        <f>IFERROR(__xludf.DUMMYFUNCTION("""COMPUTED_VALUE"""),7.0)</f>
        <v>7</v>
      </c>
      <c r="D1597" s="1">
        <f>IFERROR(__xludf.DUMMYFUNCTION("""COMPUTED_VALUE"""),373.75)</f>
        <v>373.75</v>
      </c>
    </row>
    <row r="1598">
      <c r="A1598" s="1" t="str">
        <f>IFERROR(__xludf.DUMMYFUNCTION("""COMPUTED_VALUE"""),"PR024")</f>
        <v>PR024</v>
      </c>
      <c r="B1598" s="1" t="str">
        <f>IFERROR(__xludf.DUMMYFUNCTION("""COMPUTED_VALUE"""),"VD048")</f>
        <v>VD048</v>
      </c>
      <c r="C1598" s="1">
        <f>IFERROR(__xludf.DUMMYFUNCTION("""COMPUTED_VALUE"""),3.0)</f>
        <v>3</v>
      </c>
      <c r="D1598" s="1">
        <f>IFERROR(__xludf.DUMMYFUNCTION("""COMPUTED_VALUE"""),795.29)</f>
        <v>795.29</v>
      </c>
    </row>
    <row r="1599">
      <c r="A1599" s="1" t="str">
        <f>IFERROR(__xludf.DUMMYFUNCTION("""COMPUTED_VALUE"""),"PR044")</f>
        <v>PR044</v>
      </c>
      <c r="B1599" s="1" t="str">
        <f>IFERROR(__xludf.DUMMYFUNCTION("""COMPUTED_VALUE"""),"VD046")</f>
        <v>VD046</v>
      </c>
      <c r="C1599" s="1">
        <f>IFERROR(__xludf.DUMMYFUNCTION("""COMPUTED_VALUE"""),14.0)</f>
        <v>14</v>
      </c>
      <c r="D1599" s="1">
        <f>IFERROR(__xludf.DUMMYFUNCTION("""COMPUTED_VALUE"""),1055.6)</f>
        <v>1055.6</v>
      </c>
    </row>
    <row r="1600">
      <c r="A1600" s="1" t="str">
        <f>IFERROR(__xludf.DUMMYFUNCTION("""COMPUTED_VALUE"""),"PR042")</f>
        <v>PR042</v>
      </c>
      <c r="B1600" s="1" t="str">
        <f>IFERROR(__xludf.DUMMYFUNCTION("""COMPUTED_VALUE"""),"VD048")</f>
        <v>VD048</v>
      </c>
      <c r="C1600" s="1">
        <f>IFERROR(__xludf.DUMMYFUNCTION("""COMPUTED_VALUE"""),7.0)</f>
        <v>7</v>
      </c>
      <c r="D1600" s="1">
        <f>IFERROR(__xludf.DUMMYFUNCTION("""COMPUTED_VALUE"""),399.67)</f>
        <v>399.67</v>
      </c>
    </row>
    <row r="1601">
      <c r="A1601" s="1" t="str">
        <f>IFERROR(__xludf.DUMMYFUNCTION("""COMPUTED_VALUE"""),"PR014")</f>
        <v>PR014</v>
      </c>
      <c r="B1601" s="1" t="str">
        <f>IFERROR(__xludf.DUMMYFUNCTION("""COMPUTED_VALUE"""),"VD017")</f>
        <v>VD017</v>
      </c>
      <c r="C1601" s="1">
        <f>IFERROR(__xludf.DUMMYFUNCTION("""COMPUTED_VALUE"""),10.0)</f>
        <v>10</v>
      </c>
      <c r="D1601" s="1">
        <f>IFERROR(__xludf.DUMMYFUNCTION("""COMPUTED_VALUE"""),438.9)</f>
        <v>438.9</v>
      </c>
    </row>
    <row r="1602">
      <c r="A1602" s="1" t="str">
        <f>IFERROR(__xludf.DUMMYFUNCTION("""COMPUTED_VALUE"""),"PR015")</f>
        <v>PR015</v>
      </c>
      <c r="B1602" s="1" t="str">
        <f>IFERROR(__xludf.DUMMYFUNCTION("""COMPUTED_VALUE"""),"VD022")</f>
        <v>VD022</v>
      </c>
      <c r="C1602" s="1">
        <f>IFERROR(__xludf.DUMMYFUNCTION("""COMPUTED_VALUE"""),6.0)</f>
        <v>6</v>
      </c>
      <c r="D1602" s="1">
        <f>IFERROR(__xludf.DUMMYFUNCTION("""COMPUTED_VALUE"""),262.65)</f>
        <v>262.65</v>
      </c>
    </row>
    <row r="1603">
      <c r="A1603" s="1" t="str">
        <f>IFERROR(__xludf.DUMMYFUNCTION("""COMPUTED_VALUE"""),"PR025")</f>
        <v>PR025</v>
      </c>
      <c r="B1603" s="1" t="str">
        <f>IFERROR(__xludf.DUMMYFUNCTION("""COMPUTED_VALUE"""),"VD034")</f>
        <v>VD034</v>
      </c>
      <c r="C1603" s="1">
        <f>IFERROR(__xludf.DUMMYFUNCTION("""COMPUTED_VALUE"""),4.0)</f>
        <v>4</v>
      </c>
      <c r="D1603" s="1">
        <f>IFERROR(__xludf.DUMMYFUNCTION("""COMPUTED_VALUE"""),1295.57)</f>
        <v>1295.57</v>
      </c>
    </row>
    <row r="1604">
      <c r="A1604" s="1" t="str">
        <f>IFERROR(__xludf.DUMMYFUNCTION("""COMPUTED_VALUE"""),"PR001")</f>
        <v>PR001</v>
      </c>
      <c r="B1604" s="1" t="str">
        <f>IFERROR(__xludf.DUMMYFUNCTION("""COMPUTED_VALUE"""),"VD022")</f>
        <v>VD022</v>
      </c>
      <c r="C1604" s="1">
        <f>IFERROR(__xludf.DUMMYFUNCTION("""COMPUTED_VALUE"""),9.0)</f>
        <v>9</v>
      </c>
      <c r="D1604" s="1">
        <f>IFERROR(__xludf.DUMMYFUNCTION("""COMPUTED_VALUE"""),640.55)</f>
        <v>640.55</v>
      </c>
    </row>
    <row r="1605">
      <c r="A1605" s="1" t="str">
        <f>IFERROR(__xludf.DUMMYFUNCTION("""COMPUTED_VALUE"""),"PR013")</f>
        <v>PR013</v>
      </c>
      <c r="B1605" s="1" t="str">
        <f>IFERROR(__xludf.DUMMYFUNCTION("""COMPUTED_VALUE"""),"VD019")</f>
        <v>VD019</v>
      </c>
      <c r="C1605" s="1">
        <f>IFERROR(__xludf.DUMMYFUNCTION("""COMPUTED_VALUE"""),20.0)</f>
        <v>20</v>
      </c>
      <c r="D1605" s="1">
        <f>IFERROR(__xludf.DUMMYFUNCTION("""COMPUTED_VALUE"""),869.82)</f>
        <v>869.82</v>
      </c>
    </row>
    <row r="1606">
      <c r="A1606" s="1" t="str">
        <f>IFERROR(__xludf.DUMMYFUNCTION("""COMPUTED_VALUE"""),"PR058")</f>
        <v>PR058</v>
      </c>
      <c r="B1606" s="1" t="str">
        <f>IFERROR(__xludf.DUMMYFUNCTION("""COMPUTED_VALUE"""),"VD042")</f>
        <v>VD042</v>
      </c>
      <c r="C1606" s="1">
        <f>IFERROR(__xludf.DUMMYFUNCTION("""COMPUTED_VALUE"""),3.0)</f>
        <v>3</v>
      </c>
      <c r="D1606" s="1">
        <f>IFERROR(__xludf.DUMMYFUNCTION("""COMPUTED_VALUE"""),577.8)</f>
        <v>577.8</v>
      </c>
    </row>
    <row r="1607">
      <c r="A1607" s="1" t="str">
        <f>IFERROR(__xludf.DUMMYFUNCTION("""COMPUTED_VALUE"""),"PR053")</f>
        <v>PR053</v>
      </c>
      <c r="B1607" s="1" t="str">
        <f>IFERROR(__xludf.DUMMYFUNCTION("""COMPUTED_VALUE"""),"VD022")</f>
        <v>VD022</v>
      </c>
      <c r="C1607" s="1">
        <f>IFERROR(__xludf.DUMMYFUNCTION("""COMPUTED_VALUE"""),4.0)</f>
        <v>4</v>
      </c>
      <c r="D1607" s="1">
        <f>IFERROR(__xludf.DUMMYFUNCTION("""COMPUTED_VALUE"""),217.56)</f>
        <v>217.56</v>
      </c>
    </row>
    <row r="1608">
      <c r="A1608" s="1" t="str">
        <f>IFERROR(__xludf.DUMMYFUNCTION("""COMPUTED_VALUE"""),"PR047")</f>
        <v>PR047</v>
      </c>
      <c r="B1608" s="1" t="str">
        <f>IFERROR(__xludf.DUMMYFUNCTION("""COMPUTED_VALUE"""),"VD025")</f>
        <v>VD025</v>
      </c>
      <c r="C1608" s="1">
        <f>IFERROR(__xludf.DUMMYFUNCTION("""COMPUTED_VALUE"""),2.0)</f>
        <v>2</v>
      </c>
      <c r="D1608" s="1">
        <f>IFERROR(__xludf.DUMMYFUNCTION("""COMPUTED_VALUE"""),631.98)</f>
        <v>631.98</v>
      </c>
    </row>
    <row r="1609">
      <c r="A1609" s="1" t="str">
        <f>IFERROR(__xludf.DUMMYFUNCTION("""COMPUTED_VALUE"""),"PR044")</f>
        <v>PR044</v>
      </c>
      <c r="B1609" s="1" t="str">
        <f>IFERROR(__xludf.DUMMYFUNCTION("""COMPUTED_VALUE"""),"VD026")</f>
        <v>VD026</v>
      </c>
      <c r="C1609" s="1">
        <f>IFERROR(__xludf.DUMMYFUNCTION("""COMPUTED_VALUE"""),7.0)</f>
        <v>7</v>
      </c>
      <c r="D1609" s="1">
        <f>IFERROR(__xludf.DUMMYFUNCTION("""COMPUTED_VALUE"""),522.73)</f>
        <v>522.73</v>
      </c>
    </row>
    <row r="1610">
      <c r="A1610" s="1" t="str">
        <f>IFERROR(__xludf.DUMMYFUNCTION("""COMPUTED_VALUE"""),"PR050")</f>
        <v>PR050</v>
      </c>
      <c r="B1610" s="1" t="str">
        <f>IFERROR(__xludf.DUMMYFUNCTION("""COMPUTED_VALUE"""),"VD039")</f>
        <v>VD039</v>
      </c>
      <c r="C1610" s="1">
        <f>IFERROR(__xludf.DUMMYFUNCTION("""COMPUTED_VALUE"""),12.0)</f>
        <v>12</v>
      </c>
      <c r="D1610" s="1">
        <f>IFERROR(__xludf.DUMMYFUNCTION("""COMPUTED_VALUE"""),410.59)</f>
        <v>410.59</v>
      </c>
    </row>
    <row r="1611">
      <c r="A1611" s="1" t="str">
        <f>IFERROR(__xludf.DUMMYFUNCTION("""COMPUTED_VALUE"""),"PR042")</f>
        <v>PR042</v>
      </c>
      <c r="B1611" s="1" t="str">
        <f>IFERROR(__xludf.DUMMYFUNCTION("""COMPUTED_VALUE"""),"VD040")</f>
        <v>VD040</v>
      </c>
      <c r="C1611" s="1">
        <f>IFERROR(__xludf.DUMMYFUNCTION("""COMPUTED_VALUE"""),8.0)</f>
        <v>8</v>
      </c>
      <c r="D1611" s="1">
        <f>IFERROR(__xludf.DUMMYFUNCTION("""COMPUTED_VALUE"""),447.98)</f>
        <v>447.98</v>
      </c>
    </row>
    <row r="1612">
      <c r="A1612" s="1" t="str">
        <f>IFERROR(__xludf.DUMMYFUNCTION("""COMPUTED_VALUE"""),"PR003")</f>
        <v>PR003</v>
      </c>
      <c r="B1612" s="1" t="str">
        <f>IFERROR(__xludf.DUMMYFUNCTION("""COMPUTED_VALUE"""),"VD038")</f>
        <v>VD038</v>
      </c>
      <c r="C1612" s="1">
        <f>IFERROR(__xludf.DUMMYFUNCTION("""COMPUTED_VALUE"""),2.0)</f>
        <v>2</v>
      </c>
      <c r="D1612" s="1">
        <f>IFERROR(__xludf.DUMMYFUNCTION("""COMPUTED_VALUE"""),143.22)</f>
        <v>143.22</v>
      </c>
    </row>
    <row r="1613">
      <c r="A1613" s="1" t="str">
        <f>IFERROR(__xludf.DUMMYFUNCTION("""COMPUTED_VALUE"""),"PR010")</f>
        <v>PR010</v>
      </c>
      <c r="B1613" s="1" t="str">
        <f>IFERROR(__xludf.DUMMYFUNCTION("""COMPUTED_VALUE"""),"VD025")</f>
        <v>VD025</v>
      </c>
      <c r="C1613" s="1">
        <f>IFERROR(__xludf.DUMMYFUNCTION("""COMPUTED_VALUE"""),6.0)</f>
        <v>6</v>
      </c>
      <c r="D1613" s="1">
        <f>IFERROR(__xludf.DUMMYFUNCTION("""COMPUTED_VALUE"""),274.79)</f>
        <v>274.79</v>
      </c>
    </row>
    <row r="1614">
      <c r="A1614" s="1" t="str">
        <f>IFERROR(__xludf.DUMMYFUNCTION("""COMPUTED_VALUE"""),"PR043")</f>
        <v>PR043</v>
      </c>
      <c r="B1614" s="1" t="str">
        <f>IFERROR(__xludf.DUMMYFUNCTION("""COMPUTED_VALUE"""),"VD013")</f>
        <v>VD013</v>
      </c>
      <c r="C1614" s="1">
        <f>IFERROR(__xludf.DUMMYFUNCTION("""COMPUTED_VALUE"""),6.0)</f>
        <v>6</v>
      </c>
      <c r="D1614" s="1">
        <f>IFERROR(__xludf.DUMMYFUNCTION("""COMPUTED_VALUE"""),439.35)</f>
        <v>439.35</v>
      </c>
    </row>
    <row r="1615">
      <c r="A1615" s="1" t="str">
        <f>IFERROR(__xludf.DUMMYFUNCTION("""COMPUTED_VALUE"""),"PR012")</f>
        <v>PR012</v>
      </c>
      <c r="B1615" s="1" t="str">
        <f>IFERROR(__xludf.DUMMYFUNCTION("""COMPUTED_VALUE"""),"VD035")</f>
        <v>VD035</v>
      </c>
      <c r="C1615" s="1">
        <f>IFERROR(__xludf.DUMMYFUNCTION("""COMPUTED_VALUE"""),6.0)</f>
        <v>6</v>
      </c>
      <c r="D1615" s="1">
        <f>IFERROR(__xludf.DUMMYFUNCTION("""COMPUTED_VALUE"""),293.4)</f>
        <v>293.4</v>
      </c>
    </row>
    <row r="1616">
      <c r="A1616" s="1" t="str">
        <f>IFERROR(__xludf.DUMMYFUNCTION("""COMPUTED_VALUE"""),"PR007")</f>
        <v>PR007</v>
      </c>
      <c r="B1616" s="1" t="str">
        <f>IFERROR(__xludf.DUMMYFUNCTION("""COMPUTED_VALUE"""),"VD017")</f>
        <v>VD017</v>
      </c>
      <c r="C1616" s="1">
        <f>IFERROR(__xludf.DUMMYFUNCTION("""COMPUTED_VALUE"""),12.0)</f>
        <v>12</v>
      </c>
      <c r="D1616" s="1">
        <f>IFERROR(__xludf.DUMMYFUNCTION("""COMPUTED_VALUE"""),1123.57)</f>
        <v>1123.57</v>
      </c>
    </row>
    <row r="1617">
      <c r="A1617" s="1" t="str">
        <f>IFERROR(__xludf.DUMMYFUNCTION("""COMPUTED_VALUE"""),"PR042")</f>
        <v>PR042</v>
      </c>
      <c r="B1617" s="1" t="str">
        <f>IFERROR(__xludf.DUMMYFUNCTION("""COMPUTED_VALUE"""),"VD021")</f>
        <v>VD021</v>
      </c>
      <c r="C1617" s="1">
        <f>IFERROR(__xludf.DUMMYFUNCTION("""COMPUTED_VALUE"""),14.0)</f>
        <v>14</v>
      </c>
      <c r="D1617" s="1">
        <f>IFERROR(__xludf.DUMMYFUNCTION("""COMPUTED_VALUE"""),791.66)</f>
        <v>791.66</v>
      </c>
    </row>
    <row r="1618">
      <c r="A1618" s="1" t="str">
        <f>IFERROR(__xludf.DUMMYFUNCTION("""COMPUTED_VALUE"""),"PR035")</f>
        <v>PR035</v>
      </c>
      <c r="B1618" s="1" t="str">
        <f>IFERROR(__xludf.DUMMYFUNCTION("""COMPUTED_VALUE"""),"VD033")</f>
        <v>VD033</v>
      </c>
      <c r="C1618" s="1">
        <f>IFERROR(__xludf.DUMMYFUNCTION("""COMPUTED_VALUE"""),4.0)</f>
        <v>4</v>
      </c>
      <c r="D1618" s="1">
        <f>IFERROR(__xludf.DUMMYFUNCTION("""COMPUTED_VALUE"""),391.19)</f>
        <v>391.19</v>
      </c>
    </row>
    <row r="1619">
      <c r="A1619" s="1" t="str">
        <f>IFERROR(__xludf.DUMMYFUNCTION("""COMPUTED_VALUE"""),"PR040")</f>
        <v>PR040</v>
      </c>
      <c r="B1619" s="1" t="str">
        <f>IFERROR(__xludf.DUMMYFUNCTION("""COMPUTED_VALUE"""),"VD027")</f>
        <v>VD027</v>
      </c>
      <c r="C1619" s="1">
        <f>IFERROR(__xludf.DUMMYFUNCTION("""COMPUTED_VALUE"""),16.0)</f>
        <v>16</v>
      </c>
      <c r="D1619" s="1">
        <f>IFERROR(__xludf.DUMMYFUNCTION("""COMPUTED_VALUE"""),1176.0)</f>
        <v>1176</v>
      </c>
    </row>
    <row r="1620">
      <c r="A1620" s="1" t="str">
        <f>IFERROR(__xludf.DUMMYFUNCTION("""COMPUTED_VALUE"""),"PR027")</f>
        <v>PR027</v>
      </c>
      <c r="B1620" s="1" t="str">
        <f>IFERROR(__xludf.DUMMYFUNCTION("""COMPUTED_VALUE"""),"VD022")</f>
        <v>VD022</v>
      </c>
      <c r="C1620" s="1">
        <f>IFERROR(__xludf.DUMMYFUNCTION("""COMPUTED_VALUE"""),6.0)</f>
        <v>6</v>
      </c>
      <c r="D1620" s="1">
        <f>IFERROR(__xludf.DUMMYFUNCTION("""COMPUTED_VALUE"""),763.2)</f>
        <v>763.2</v>
      </c>
    </row>
    <row r="1621">
      <c r="A1621" s="1" t="str">
        <f>IFERROR(__xludf.DUMMYFUNCTION("""COMPUTED_VALUE"""),"PR006")</f>
        <v>PR006</v>
      </c>
      <c r="B1621" s="1" t="str">
        <f>IFERROR(__xludf.DUMMYFUNCTION("""COMPUTED_VALUE"""),"VD020")</f>
        <v>VD020</v>
      </c>
      <c r="C1621" s="1">
        <f>IFERROR(__xludf.DUMMYFUNCTION("""COMPUTED_VALUE"""),7.0)</f>
        <v>7</v>
      </c>
      <c r="D1621" s="1">
        <f>IFERROR(__xludf.DUMMYFUNCTION("""COMPUTED_VALUE"""),279.3)</f>
        <v>279.3</v>
      </c>
    </row>
    <row r="1622">
      <c r="A1622" s="1" t="str">
        <f>IFERROR(__xludf.DUMMYFUNCTION("""COMPUTED_VALUE"""),"PR005")</f>
        <v>PR005</v>
      </c>
      <c r="B1622" s="1" t="str">
        <f>IFERROR(__xludf.DUMMYFUNCTION("""COMPUTED_VALUE"""),"VD018")</f>
        <v>VD018</v>
      </c>
      <c r="C1622" s="1">
        <f>IFERROR(__xludf.DUMMYFUNCTION("""COMPUTED_VALUE"""),18.0)</f>
        <v>18</v>
      </c>
      <c r="D1622" s="1">
        <f>IFERROR(__xludf.DUMMYFUNCTION("""COMPUTED_VALUE"""),4958.89)</f>
        <v>4958.89</v>
      </c>
    </row>
    <row r="1623">
      <c r="A1623" s="1" t="str">
        <f>IFERROR(__xludf.DUMMYFUNCTION("""COMPUTED_VALUE"""),"PR046")</f>
        <v>PR046</v>
      </c>
      <c r="B1623" s="1" t="str">
        <f>IFERROR(__xludf.DUMMYFUNCTION("""COMPUTED_VALUE"""),"VD034")</f>
        <v>VD034</v>
      </c>
      <c r="C1623" s="1">
        <f>IFERROR(__xludf.DUMMYFUNCTION("""COMPUTED_VALUE"""),20.0)</f>
        <v>20</v>
      </c>
      <c r="D1623" s="1">
        <f>IFERROR(__xludf.DUMMYFUNCTION("""COMPUTED_VALUE"""),6261.84)</f>
        <v>6261.84</v>
      </c>
    </row>
    <row r="1624">
      <c r="A1624" s="1" t="str">
        <f>IFERROR(__xludf.DUMMYFUNCTION("""COMPUTED_VALUE"""),"PR001")</f>
        <v>PR001</v>
      </c>
      <c r="B1624" s="1" t="str">
        <f>IFERROR(__xludf.DUMMYFUNCTION("""COMPUTED_VALUE"""),"VD041")</f>
        <v>VD041</v>
      </c>
      <c r="C1624" s="1">
        <f>IFERROR(__xludf.DUMMYFUNCTION("""COMPUTED_VALUE"""),10.0)</f>
        <v>10</v>
      </c>
      <c r="D1624" s="1">
        <f>IFERROR(__xludf.DUMMYFUNCTION("""COMPUTED_VALUE"""),705.13)</f>
        <v>705.13</v>
      </c>
    </row>
    <row r="1625">
      <c r="A1625" s="1" t="str">
        <f>IFERROR(__xludf.DUMMYFUNCTION("""COMPUTED_VALUE"""),"PR037")</f>
        <v>PR037</v>
      </c>
      <c r="B1625" s="1" t="str">
        <f>IFERROR(__xludf.DUMMYFUNCTION("""COMPUTED_VALUE"""),"VD028")</f>
        <v>VD028</v>
      </c>
      <c r="C1625" s="1">
        <f>IFERROR(__xludf.DUMMYFUNCTION("""COMPUTED_VALUE"""),12.0)</f>
        <v>12</v>
      </c>
      <c r="D1625" s="1">
        <f>IFERROR(__xludf.DUMMYFUNCTION("""COMPUTED_VALUE"""),1680.0)</f>
        <v>1680</v>
      </c>
    </row>
    <row r="1626">
      <c r="A1626" s="1" t="str">
        <f>IFERROR(__xludf.DUMMYFUNCTION("""COMPUTED_VALUE"""),"PR036")</f>
        <v>PR036</v>
      </c>
      <c r="B1626" s="1" t="str">
        <f>IFERROR(__xludf.DUMMYFUNCTION("""COMPUTED_VALUE"""),"VD038")</f>
        <v>VD038</v>
      </c>
      <c r="C1626" s="1">
        <f>IFERROR(__xludf.DUMMYFUNCTION("""COMPUTED_VALUE"""),4.0)</f>
        <v>4</v>
      </c>
      <c r="D1626" s="1">
        <f>IFERROR(__xludf.DUMMYFUNCTION("""COMPUTED_VALUE"""),388.96)</f>
        <v>388.96</v>
      </c>
    </row>
    <row r="1627">
      <c r="A1627" s="1" t="str">
        <f>IFERROR(__xludf.DUMMYFUNCTION("""COMPUTED_VALUE"""),"PR035")</f>
        <v>PR035</v>
      </c>
      <c r="B1627" s="1" t="str">
        <f>IFERROR(__xludf.DUMMYFUNCTION("""COMPUTED_VALUE"""),"VD018")</f>
        <v>VD018</v>
      </c>
      <c r="C1627" s="1">
        <f>IFERROR(__xludf.DUMMYFUNCTION("""COMPUTED_VALUE"""),6.0)</f>
        <v>6</v>
      </c>
      <c r="D1627" s="1">
        <f>IFERROR(__xludf.DUMMYFUNCTION("""COMPUTED_VALUE"""),548.4)</f>
        <v>548.4</v>
      </c>
    </row>
    <row r="1628">
      <c r="A1628" s="1" t="str">
        <f>IFERROR(__xludf.DUMMYFUNCTION("""COMPUTED_VALUE"""),"PR057")</f>
        <v>PR057</v>
      </c>
      <c r="B1628" s="1" t="str">
        <f>IFERROR(__xludf.DUMMYFUNCTION("""COMPUTED_VALUE"""),"VD014")</f>
        <v>VD014</v>
      </c>
      <c r="C1628" s="1">
        <f>IFERROR(__xludf.DUMMYFUNCTION("""COMPUTED_VALUE"""),3.0)</f>
        <v>3</v>
      </c>
      <c r="D1628" s="1">
        <f>IFERROR(__xludf.DUMMYFUNCTION("""COMPUTED_VALUE"""),285.88)</f>
        <v>285.88</v>
      </c>
    </row>
    <row r="1629">
      <c r="A1629" s="1" t="str">
        <f>IFERROR(__xludf.DUMMYFUNCTION("""COMPUTED_VALUE"""),"PR033")</f>
        <v>PR033</v>
      </c>
      <c r="B1629" s="1" t="str">
        <f>IFERROR(__xludf.DUMMYFUNCTION("""COMPUTED_VALUE"""),"VD043")</f>
        <v>VD043</v>
      </c>
      <c r="C1629" s="1">
        <f>IFERROR(__xludf.DUMMYFUNCTION("""COMPUTED_VALUE"""),20.0)</f>
        <v>20</v>
      </c>
      <c r="D1629" s="1">
        <f>IFERROR(__xludf.DUMMYFUNCTION("""COMPUTED_VALUE"""),5717.8)</f>
        <v>5717.8</v>
      </c>
    </row>
    <row r="1630">
      <c r="A1630" s="1" t="str">
        <f>IFERROR(__xludf.DUMMYFUNCTION("""COMPUTED_VALUE"""),"PR041")</f>
        <v>PR041</v>
      </c>
      <c r="B1630" s="1" t="str">
        <f>IFERROR(__xludf.DUMMYFUNCTION("""COMPUTED_VALUE"""),"VD022")</f>
        <v>VD022</v>
      </c>
      <c r="C1630" s="1">
        <f>IFERROR(__xludf.DUMMYFUNCTION("""COMPUTED_VALUE"""),6.0)</f>
        <v>6</v>
      </c>
      <c r="D1630" s="1">
        <f>IFERROR(__xludf.DUMMYFUNCTION("""COMPUTED_VALUE"""),345.87)</f>
        <v>345.87</v>
      </c>
    </row>
    <row r="1631">
      <c r="A1631" s="1" t="str">
        <f>IFERROR(__xludf.DUMMYFUNCTION("""COMPUTED_VALUE"""),"PR010")</f>
        <v>PR010</v>
      </c>
      <c r="B1631" s="1" t="str">
        <f>IFERROR(__xludf.DUMMYFUNCTION("""COMPUTED_VALUE"""),"VD030")</f>
        <v>VD030</v>
      </c>
      <c r="C1631" s="1">
        <f>IFERROR(__xludf.DUMMYFUNCTION("""COMPUTED_VALUE"""),4.0)</f>
        <v>4</v>
      </c>
      <c r="D1631" s="1">
        <f>IFERROR(__xludf.DUMMYFUNCTION("""COMPUTED_VALUE"""),183.19)</f>
        <v>183.19</v>
      </c>
    </row>
    <row r="1632">
      <c r="A1632" s="1" t="str">
        <f>IFERROR(__xludf.DUMMYFUNCTION("""COMPUTED_VALUE"""),"PR026")</f>
        <v>PR026</v>
      </c>
      <c r="B1632" s="1" t="str">
        <f>IFERROR(__xludf.DUMMYFUNCTION("""COMPUTED_VALUE"""),"VD010")</f>
        <v>VD010</v>
      </c>
      <c r="C1632" s="1">
        <f>IFERROR(__xludf.DUMMYFUNCTION("""COMPUTED_VALUE"""),16.0)</f>
        <v>16</v>
      </c>
      <c r="D1632" s="1">
        <f>IFERROR(__xludf.DUMMYFUNCTION("""COMPUTED_VALUE"""),6102.26)</f>
        <v>6102.26</v>
      </c>
    </row>
    <row r="1633">
      <c r="A1633" s="1" t="str">
        <f>IFERROR(__xludf.DUMMYFUNCTION("""COMPUTED_VALUE"""),"PR052")</f>
        <v>PR052</v>
      </c>
      <c r="B1633" s="1" t="str">
        <f>IFERROR(__xludf.DUMMYFUNCTION("""COMPUTED_VALUE"""),"VD043")</f>
        <v>VD043</v>
      </c>
      <c r="C1633" s="1">
        <f>IFERROR(__xludf.DUMMYFUNCTION("""COMPUTED_VALUE"""),1.0)</f>
        <v>1</v>
      </c>
      <c r="D1633" s="1">
        <f>IFERROR(__xludf.DUMMYFUNCTION("""COMPUTED_VALUE"""),54.89)</f>
        <v>54.89</v>
      </c>
    </row>
    <row r="1634">
      <c r="A1634" s="1" t="str">
        <f>IFERROR(__xludf.DUMMYFUNCTION("""COMPUTED_VALUE"""),"PR015")</f>
        <v>PR015</v>
      </c>
      <c r="B1634" s="1" t="str">
        <f>IFERROR(__xludf.DUMMYFUNCTION("""COMPUTED_VALUE"""),"VD041")</f>
        <v>VD041</v>
      </c>
      <c r="C1634" s="1">
        <f>IFERROR(__xludf.DUMMYFUNCTION("""COMPUTED_VALUE"""),4.0)</f>
        <v>4</v>
      </c>
      <c r="D1634" s="1">
        <f>IFERROR(__xludf.DUMMYFUNCTION("""COMPUTED_VALUE"""),187.0)</f>
        <v>187</v>
      </c>
    </row>
    <row r="1635">
      <c r="A1635" s="1" t="str">
        <f>IFERROR(__xludf.DUMMYFUNCTION("""COMPUTED_VALUE"""),"PR034")</f>
        <v>PR034</v>
      </c>
      <c r="B1635" s="1" t="str">
        <f>IFERROR(__xludf.DUMMYFUNCTION("""COMPUTED_VALUE"""),"VD020")</f>
        <v>VD020</v>
      </c>
      <c r="C1635" s="1">
        <f>IFERROR(__xludf.DUMMYFUNCTION("""COMPUTED_VALUE"""),3.0)</f>
        <v>3</v>
      </c>
      <c r="D1635" s="1">
        <f>IFERROR(__xludf.DUMMYFUNCTION("""COMPUTED_VALUE"""),272.4)</f>
        <v>272.4</v>
      </c>
    </row>
    <row r="1636">
      <c r="A1636" s="1" t="str">
        <f>IFERROR(__xludf.DUMMYFUNCTION("""COMPUTED_VALUE"""),"PR013")</f>
        <v>PR013</v>
      </c>
      <c r="B1636" s="1" t="str">
        <f>IFERROR(__xludf.DUMMYFUNCTION("""COMPUTED_VALUE"""),"VD044")</f>
        <v>VD044</v>
      </c>
      <c r="C1636" s="1">
        <f>IFERROR(__xludf.DUMMYFUNCTION("""COMPUTED_VALUE"""),2.0)</f>
        <v>2</v>
      </c>
      <c r="D1636" s="1">
        <f>IFERROR(__xludf.DUMMYFUNCTION("""COMPUTED_VALUE"""),84.59)</f>
        <v>84.59</v>
      </c>
    </row>
    <row r="1637">
      <c r="A1637" s="1" t="str">
        <f>IFERROR(__xludf.DUMMYFUNCTION("""COMPUTED_VALUE"""),"PR054")</f>
        <v>PR054</v>
      </c>
      <c r="B1637" s="1" t="str">
        <f>IFERROR(__xludf.DUMMYFUNCTION("""COMPUTED_VALUE"""),"VD031")</f>
        <v>VD031</v>
      </c>
      <c r="C1637" s="1">
        <f>IFERROR(__xludf.DUMMYFUNCTION("""COMPUTED_VALUE"""),6.0)</f>
        <v>6</v>
      </c>
      <c r="D1637" s="1">
        <f>IFERROR(__xludf.DUMMYFUNCTION("""COMPUTED_VALUE"""),305.39)</f>
        <v>305.39</v>
      </c>
    </row>
    <row r="1638">
      <c r="A1638" s="1" t="str">
        <f>IFERROR(__xludf.DUMMYFUNCTION("""COMPUTED_VALUE"""),"PR005")</f>
        <v>PR005</v>
      </c>
      <c r="B1638" s="1" t="str">
        <f>IFERROR(__xludf.DUMMYFUNCTION("""COMPUTED_VALUE"""),"VD039")</f>
        <v>VD039</v>
      </c>
      <c r="C1638" s="1">
        <f>IFERROR(__xludf.DUMMYFUNCTION("""COMPUTED_VALUE"""),10.0)</f>
        <v>10</v>
      </c>
      <c r="D1638" s="1">
        <f>IFERROR(__xludf.DUMMYFUNCTION("""COMPUTED_VALUE"""),2806.92)</f>
        <v>2806.92</v>
      </c>
    </row>
    <row r="1639">
      <c r="A1639" s="1" t="str">
        <f>IFERROR(__xludf.DUMMYFUNCTION("""COMPUTED_VALUE"""),"PR046")</f>
        <v>PR046</v>
      </c>
      <c r="B1639" s="1" t="str">
        <f>IFERROR(__xludf.DUMMYFUNCTION("""COMPUTED_VALUE"""),"VD027")</f>
        <v>VD027</v>
      </c>
      <c r="C1639" s="1">
        <f>IFERROR(__xludf.DUMMYFUNCTION("""COMPUTED_VALUE"""),14.0)</f>
        <v>14</v>
      </c>
      <c r="D1639" s="1">
        <f>IFERROR(__xludf.DUMMYFUNCTION("""COMPUTED_VALUE"""),4383.29)</f>
        <v>4383.29</v>
      </c>
    </row>
    <row r="1640">
      <c r="A1640" s="1" t="str">
        <f>IFERROR(__xludf.DUMMYFUNCTION("""COMPUTED_VALUE"""),"PR019")</f>
        <v>PR019</v>
      </c>
      <c r="B1640" s="1" t="str">
        <f>IFERROR(__xludf.DUMMYFUNCTION("""COMPUTED_VALUE"""),"VD015")</f>
        <v>VD015</v>
      </c>
      <c r="C1640" s="1">
        <f>IFERROR(__xludf.DUMMYFUNCTION("""COMPUTED_VALUE"""),9.0)</f>
        <v>9</v>
      </c>
      <c r="D1640" s="1">
        <f>IFERROR(__xludf.DUMMYFUNCTION("""COMPUTED_VALUE"""),485.03)</f>
        <v>485.03</v>
      </c>
    </row>
    <row r="1641">
      <c r="A1641" s="1" t="str">
        <f>IFERROR(__xludf.DUMMYFUNCTION("""COMPUTED_VALUE"""),"PR047")</f>
        <v>PR047</v>
      </c>
      <c r="B1641" s="1" t="str">
        <f>IFERROR(__xludf.DUMMYFUNCTION("""COMPUTED_VALUE"""),"VD026")</f>
        <v>VD026</v>
      </c>
      <c r="C1641" s="1">
        <f>IFERROR(__xludf.DUMMYFUNCTION("""COMPUTED_VALUE"""),2.0)</f>
        <v>2</v>
      </c>
      <c r="D1641" s="1">
        <f>IFERROR(__xludf.DUMMYFUNCTION("""COMPUTED_VALUE"""),608.79)</f>
        <v>608.79</v>
      </c>
    </row>
    <row r="1642">
      <c r="A1642" s="1" t="str">
        <f>IFERROR(__xludf.DUMMYFUNCTION("""COMPUTED_VALUE"""),"PR058")</f>
        <v>PR058</v>
      </c>
      <c r="B1642" s="1" t="str">
        <f>IFERROR(__xludf.DUMMYFUNCTION("""COMPUTED_VALUE"""),"VD037")</f>
        <v>VD037</v>
      </c>
      <c r="C1642" s="1">
        <f>IFERROR(__xludf.DUMMYFUNCTION("""COMPUTED_VALUE"""),16.0)</f>
        <v>16</v>
      </c>
      <c r="D1642" s="1">
        <f>IFERROR(__xludf.DUMMYFUNCTION("""COMPUTED_VALUE"""),3139.2)</f>
        <v>3139.2</v>
      </c>
    </row>
    <row r="1643">
      <c r="A1643" s="1" t="str">
        <f>IFERROR(__xludf.DUMMYFUNCTION("""COMPUTED_VALUE"""),"PR030")</f>
        <v>PR030</v>
      </c>
      <c r="B1643" s="1" t="str">
        <f>IFERROR(__xludf.DUMMYFUNCTION("""COMPUTED_VALUE"""),"VD035")</f>
        <v>VD035</v>
      </c>
      <c r="C1643" s="1">
        <f>IFERROR(__xludf.DUMMYFUNCTION("""COMPUTED_VALUE"""),8.0)</f>
        <v>8</v>
      </c>
      <c r="D1643" s="1">
        <f>IFERROR(__xludf.DUMMYFUNCTION("""COMPUTED_VALUE"""),2287.12)</f>
        <v>2287.12</v>
      </c>
    </row>
    <row r="1644">
      <c r="A1644" s="1" t="str">
        <f>IFERROR(__xludf.DUMMYFUNCTION("""COMPUTED_VALUE"""),"PR031")</f>
        <v>PR031</v>
      </c>
      <c r="B1644" s="1" t="str">
        <f>IFERROR(__xludf.DUMMYFUNCTION("""COMPUTED_VALUE"""),"VD043")</f>
        <v>VD043</v>
      </c>
      <c r="C1644" s="1">
        <f>IFERROR(__xludf.DUMMYFUNCTION("""COMPUTED_VALUE"""),20.0)</f>
        <v>20</v>
      </c>
      <c r="D1644" s="1">
        <f>IFERROR(__xludf.DUMMYFUNCTION("""COMPUTED_VALUE"""),5047.0)</f>
        <v>5047</v>
      </c>
    </row>
    <row r="1645">
      <c r="A1645" s="1" t="str">
        <f>IFERROR(__xludf.DUMMYFUNCTION("""COMPUTED_VALUE"""),"PR013")</f>
        <v>PR013</v>
      </c>
      <c r="B1645" s="1" t="str">
        <f>IFERROR(__xludf.DUMMYFUNCTION("""COMPUTED_VALUE"""),"VD034")</f>
        <v>VD034</v>
      </c>
      <c r="C1645" s="1">
        <f>IFERROR(__xludf.DUMMYFUNCTION("""COMPUTED_VALUE"""),4.0)</f>
        <v>4</v>
      </c>
      <c r="D1645" s="1">
        <f>IFERROR(__xludf.DUMMYFUNCTION("""COMPUTED_VALUE"""),167.58)</f>
        <v>167.58</v>
      </c>
    </row>
    <row r="1646">
      <c r="A1646" s="1" t="str">
        <f>IFERROR(__xludf.DUMMYFUNCTION("""COMPUTED_VALUE"""),"PR036")</f>
        <v>PR036</v>
      </c>
      <c r="B1646" s="1" t="str">
        <f>IFERROR(__xludf.DUMMYFUNCTION("""COMPUTED_VALUE"""),"VD039")</f>
        <v>VD039</v>
      </c>
      <c r="C1646" s="1">
        <f>IFERROR(__xludf.DUMMYFUNCTION("""COMPUTED_VALUE"""),7.0)</f>
        <v>7</v>
      </c>
      <c r="D1646" s="1">
        <f>IFERROR(__xludf.DUMMYFUNCTION("""COMPUTED_VALUE"""),706.86)</f>
        <v>706.86</v>
      </c>
    </row>
    <row r="1647">
      <c r="A1647" s="1" t="str">
        <f>IFERROR(__xludf.DUMMYFUNCTION("""COMPUTED_VALUE"""),"PR050")</f>
        <v>PR050</v>
      </c>
      <c r="B1647" s="1" t="str">
        <f>IFERROR(__xludf.DUMMYFUNCTION("""COMPUTED_VALUE"""),"VD025")</f>
        <v>VD025</v>
      </c>
      <c r="C1647" s="1">
        <f>IFERROR(__xludf.DUMMYFUNCTION("""COMPUTED_VALUE"""),9.0)</f>
        <v>9</v>
      </c>
      <c r="D1647" s="1">
        <f>IFERROR(__xludf.DUMMYFUNCTION("""COMPUTED_VALUE"""),304.98)</f>
        <v>304.98</v>
      </c>
    </row>
    <row r="1648">
      <c r="A1648" s="1" t="str">
        <f>IFERROR(__xludf.DUMMYFUNCTION("""COMPUTED_VALUE"""),"PR055")</f>
        <v>PR055</v>
      </c>
      <c r="B1648" s="1" t="str">
        <f>IFERROR(__xludf.DUMMYFUNCTION("""COMPUTED_VALUE"""),"VD040")</f>
        <v>VD040</v>
      </c>
      <c r="C1648" s="1">
        <f>IFERROR(__xludf.DUMMYFUNCTION("""COMPUTED_VALUE"""),20.0)</f>
        <v>20</v>
      </c>
      <c r="D1648" s="1">
        <f>IFERROR(__xludf.DUMMYFUNCTION("""COMPUTED_VALUE"""),1923.86)</f>
        <v>1923.86</v>
      </c>
    </row>
    <row r="1649">
      <c r="A1649" s="1" t="str">
        <f>IFERROR(__xludf.DUMMYFUNCTION("""COMPUTED_VALUE"""),"PR007")</f>
        <v>PR007</v>
      </c>
      <c r="B1649" s="1" t="str">
        <f>IFERROR(__xludf.DUMMYFUNCTION("""COMPUTED_VALUE"""),"VD012")</f>
        <v>VD012</v>
      </c>
      <c r="C1649" s="1">
        <f>IFERROR(__xludf.DUMMYFUNCTION("""COMPUTED_VALUE"""),16.0)</f>
        <v>16</v>
      </c>
      <c r="D1649" s="1">
        <f>IFERROR(__xludf.DUMMYFUNCTION("""COMPUTED_VALUE"""),1470.61)</f>
        <v>1470.61</v>
      </c>
    </row>
    <row r="1650">
      <c r="A1650" s="1" t="str">
        <f>IFERROR(__xludf.DUMMYFUNCTION("""COMPUTED_VALUE"""),"PR002")</f>
        <v>PR002</v>
      </c>
      <c r="B1650" s="1" t="str">
        <f>IFERROR(__xludf.DUMMYFUNCTION("""COMPUTED_VALUE"""),"VD042")</f>
        <v>VD042</v>
      </c>
      <c r="C1650" s="1">
        <f>IFERROR(__xludf.DUMMYFUNCTION("""COMPUTED_VALUE"""),10.0)</f>
        <v>10</v>
      </c>
      <c r="D1650" s="1">
        <f>IFERROR(__xludf.DUMMYFUNCTION("""COMPUTED_VALUE"""),712.98)</f>
        <v>712.98</v>
      </c>
    </row>
    <row r="1651">
      <c r="A1651" s="1" t="str">
        <f>IFERROR(__xludf.DUMMYFUNCTION("""COMPUTED_VALUE"""),"PR030")</f>
        <v>PR030</v>
      </c>
      <c r="B1651" s="1" t="str">
        <f>IFERROR(__xludf.DUMMYFUNCTION("""COMPUTED_VALUE"""),"VD013")</f>
        <v>VD013</v>
      </c>
      <c r="C1651" s="1">
        <f>IFERROR(__xludf.DUMMYFUNCTION("""COMPUTED_VALUE"""),12.0)</f>
        <v>12</v>
      </c>
      <c r="D1651" s="1">
        <f>IFERROR(__xludf.DUMMYFUNCTION("""COMPUTED_VALUE"""),3118.8)</f>
        <v>3118.8</v>
      </c>
    </row>
    <row r="1652">
      <c r="A1652" s="1" t="str">
        <f>IFERROR(__xludf.DUMMYFUNCTION("""COMPUTED_VALUE"""),"PR060")</f>
        <v>PR060</v>
      </c>
      <c r="B1652" s="1" t="str">
        <f>IFERROR(__xludf.DUMMYFUNCTION("""COMPUTED_VALUE"""),"VD027")</f>
        <v>VD027</v>
      </c>
      <c r="C1652" s="1">
        <f>IFERROR(__xludf.DUMMYFUNCTION("""COMPUTED_VALUE"""),14.0)</f>
        <v>14</v>
      </c>
      <c r="D1652" s="1">
        <f>IFERROR(__xludf.DUMMYFUNCTION("""COMPUTED_VALUE"""),2520.0)</f>
        <v>2520</v>
      </c>
    </row>
    <row r="1653">
      <c r="A1653" s="1" t="str">
        <f>IFERROR(__xludf.DUMMYFUNCTION("""COMPUTED_VALUE"""),"PR040")</f>
        <v>PR040</v>
      </c>
      <c r="B1653" s="1" t="str">
        <f>IFERROR(__xludf.DUMMYFUNCTION("""COMPUTED_VALUE"""),"VD039")</f>
        <v>VD039</v>
      </c>
      <c r="C1653" s="1">
        <f>IFERROR(__xludf.DUMMYFUNCTION("""COMPUTED_VALUE"""),7.0)</f>
        <v>7</v>
      </c>
      <c r="D1653" s="1">
        <f>IFERROR(__xludf.DUMMYFUNCTION("""COMPUTED_VALUE"""),504.7)</f>
        <v>504.7</v>
      </c>
    </row>
    <row r="1654">
      <c r="A1654" s="1" t="str">
        <f>IFERROR(__xludf.DUMMYFUNCTION("""COMPUTED_VALUE"""),"PR052")</f>
        <v>PR052</v>
      </c>
      <c r="B1654" s="1" t="str">
        <f>IFERROR(__xludf.DUMMYFUNCTION("""COMPUTED_VALUE"""),"VD016")</f>
        <v>VD016</v>
      </c>
      <c r="C1654" s="1">
        <f>IFERROR(__xludf.DUMMYFUNCTION("""COMPUTED_VALUE"""),7.0)</f>
        <v>7</v>
      </c>
      <c r="D1654" s="1">
        <f>IFERROR(__xludf.DUMMYFUNCTION("""COMPUTED_VALUE"""),363.27)</f>
        <v>363.27</v>
      </c>
    </row>
    <row r="1655">
      <c r="A1655" s="1" t="str">
        <f>IFERROR(__xludf.DUMMYFUNCTION("""COMPUTED_VALUE"""),"PR057")</f>
        <v>PR057</v>
      </c>
      <c r="B1655" s="1" t="str">
        <f>IFERROR(__xludf.DUMMYFUNCTION("""COMPUTED_VALUE"""),"VD035")</f>
        <v>VD035</v>
      </c>
      <c r="C1655" s="1">
        <f>IFERROR(__xludf.DUMMYFUNCTION("""COMPUTED_VALUE"""),2.0)</f>
        <v>2</v>
      </c>
      <c r="D1655" s="1">
        <f>IFERROR(__xludf.DUMMYFUNCTION("""COMPUTED_VALUE"""),188.79)</f>
        <v>188.79</v>
      </c>
    </row>
    <row r="1656">
      <c r="A1656" s="1" t="str">
        <f>IFERROR(__xludf.DUMMYFUNCTION("""COMPUTED_VALUE"""),"PR019")</f>
        <v>PR019</v>
      </c>
      <c r="B1656" s="1" t="str">
        <f>IFERROR(__xludf.DUMMYFUNCTION("""COMPUTED_VALUE"""),"VD031")</f>
        <v>VD031</v>
      </c>
      <c r="C1656" s="1">
        <f>IFERROR(__xludf.DUMMYFUNCTION("""COMPUTED_VALUE"""),9.0)</f>
        <v>9</v>
      </c>
      <c r="D1656" s="1">
        <f>IFERROR(__xludf.DUMMYFUNCTION("""COMPUTED_VALUE"""),480.54)</f>
        <v>480.54</v>
      </c>
    </row>
    <row r="1657">
      <c r="A1657" s="1" t="str">
        <f>IFERROR(__xludf.DUMMYFUNCTION("""COMPUTED_VALUE"""),"PR049")</f>
        <v>PR049</v>
      </c>
      <c r="B1657" s="1" t="str">
        <f>IFERROR(__xludf.DUMMYFUNCTION("""COMPUTED_VALUE"""),"VD044")</f>
        <v>VD044</v>
      </c>
      <c r="C1657" s="1">
        <f>IFERROR(__xludf.DUMMYFUNCTION("""COMPUTED_VALUE"""),2.0)</f>
        <v>2</v>
      </c>
      <c r="D1657" s="1">
        <f>IFERROR(__xludf.DUMMYFUNCTION("""COMPUTED_VALUE"""),70.41)</f>
        <v>70.41</v>
      </c>
    </row>
    <row r="1658">
      <c r="A1658" s="1" t="str">
        <f>IFERROR(__xludf.DUMMYFUNCTION("""COMPUTED_VALUE"""),"PR017")</f>
        <v>PR017</v>
      </c>
      <c r="B1658" s="1" t="str">
        <f>IFERROR(__xludf.DUMMYFUNCTION("""COMPUTED_VALUE"""),"VD033")</f>
        <v>VD033</v>
      </c>
      <c r="C1658" s="1">
        <f>IFERROR(__xludf.DUMMYFUNCTION("""COMPUTED_VALUE"""),4.0)</f>
        <v>4</v>
      </c>
      <c r="D1658" s="1">
        <f>IFERROR(__xludf.DUMMYFUNCTION("""COMPUTED_VALUE"""),131.56)</f>
        <v>131.56</v>
      </c>
    </row>
    <row r="1659">
      <c r="A1659" s="1" t="str">
        <f>IFERROR(__xludf.DUMMYFUNCTION("""COMPUTED_VALUE"""),"PR034")</f>
        <v>PR034</v>
      </c>
      <c r="B1659" s="1" t="str">
        <f>IFERROR(__xludf.DUMMYFUNCTION("""COMPUTED_VALUE"""),"VD015")</f>
        <v>VD015</v>
      </c>
      <c r="C1659" s="1">
        <f>IFERROR(__xludf.DUMMYFUNCTION("""COMPUTED_VALUE"""),6.0)</f>
        <v>6</v>
      </c>
      <c r="D1659" s="1">
        <f>IFERROR(__xludf.DUMMYFUNCTION("""COMPUTED_VALUE"""),544.79)</f>
        <v>544.79</v>
      </c>
    </row>
    <row r="1660">
      <c r="A1660" s="1" t="str">
        <f>IFERROR(__xludf.DUMMYFUNCTION("""COMPUTED_VALUE"""),"PR048")</f>
        <v>PR048</v>
      </c>
      <c r="B1660" s="1" t="str">
        <f>IFERROR(__xludf.DUMMYFUNCTION("""COMPUTED_VALUE"""),"VD043")</f>
        <v>VD043</v>
      </c>
      <c r="C1660" s="1">
        <f>IFERROR(__xludf.DUMMYFUNCTION("""COMPUTED_VALUE"""),9.0)</f>
        <v>9</v>
      </c>
      <c r="D1660" s="1">
        <f>IFERROR(__xludf.DUMMYFUNCTION("""COMPUTED_VALUE"""),2713.46)</f>
        <v>2713.46</v>
      </c>
    </row>
    <row r="1661">
      <c r="A1661" s="1" t="str">
        <f>IFERROR(__xludf.DUMMYFUNCTION("""COMPUTED_VALUE"""),"PR004")</f>
        <v>PR004</v>
      </c>
      <c r="B1661" s="1" t="str">
        <f>IFERROR(__xludf.DUMMYFUNCTION("""COMPUTED_VALUE"""),"VD037")</f>
        <v>VD037</v>
      </c>
      <c r="C1661" s="1">
        <f>IFERROR(__xludf.DUMMYFUNCTION("""COMPUTED_VALUE"""),5.0)</f>
        <v>5</v>
      </c>
      <c r="D1661" s="1">
        <f>IFERROR(__xludf.DUMMYFUNCTION("""COMPUTED_VALUE"""),725.0)</f>
        <v>725</v>
      </c>
    </row>
    <row r="1662">
      <c r="A1662" s="1" t="str">
        <f>IFERROR(__xludf.DUMMYFUNCTION("""COMPUTED_VALUE"""),"PR059")</f>
        <v>PR059</v>
      </c>
      <c r="B1662" s="1" t="str">
        <f>IFERROR(__xludf.DUMMYFUNCTION("""COMPUTED_VALUE"""),"VD049")</f>
        <v>VD049</v>
      </c>
      <c r="C1662" s="1">
        <f>IFERROR(__xludf.DUMMYFUNCTION("""COMPUTED_VALUE"""),5.0)</f>
        <v>5</v>
      </c>
      <c r="D1662" s="1">
        <f>IFERROR(__xludf.DUMMYFUNCTION("""COMPUTED_VALUE"""),945.0)</f>
        <v>945</v>
      </c>
    </row>
    <row r="1663">
      <c r="A1663" s="1" t="str">
        <f>IFERROR(__xludf.DUMMYFUNCTION("""COMPUTED_VALUE"""),"PR005")</f>
        <v>PR005</v>
      </c>
      <c r="B1663" s="1" t="str">
        <f>IFERROR(__xludf.DUMMYFUNCTION("""COMPUTED_VALUE"""),"VD018")</f>
        <v>VD018</v>
      </c>
      <c r="C1663" s="1">
        <f>IFERROR(__xludf.DUMMYFUNCTION("""COMPUTED_VALUE"""),20.0)</f>
        <v>20</v>
      </c>
      <c r="D1663" s="1">
        <f>IFERROR(__xludf.DUMMYFUNCTION("""COMPUTED_VALUE"""),5717.8)</f>
        <v>5717.8</v>
      </c>
    </row>
    <row r="1664">
      <c r="A1664" s="1" t="str">
        <f>IFERROR(__xludf.DUMMYFUNCTION("""COMPUTED_VALUE"""),"PR050")</f>
        <v>PR050</v>
      </c>
      <c r="B1664" s="1" t="str">
        <f>IFERROR(__xludf.DUMMYFUNCTION("""COMPUTED_VALUE"""),"VD010")</f>
        <v>VD010</v>
      </c>
      <c r="C1664" s="1">
        <f>IFERROR(__xludf.DUMMYFUNCTION("""COMPUTED_VALUE"""),10.0)</f>
        <v>10</v>
      </c>
      <c r="D1664" s="1">
        <f>IFERROR(__xludf.DUMMYFUNCTION("""COMPUTED_VALUE"""),342.16)</f>
        <v>342.16</v>
      </c>
    </row>
    <row r="1665">
      <c r="A1665" s="1" t="str">
        <f>IFERROR(__xludf.DUMMYFUNCTION("""COMPUTED_VALUE"""),"PR033")</f>
        <v>PR033</v>
      </c>
      <c r="B1665" s="1" t="str">
        <f>IFERROR(__xludf.DUMMYFUNCTION("""COMPUTED_VALUE"""),"VD042")</f>
        <v>VD042</v>
      </c>
      <c r="C1665" s="1">
        <f>IFERROR(__xludf.DUMMYFUNCTION("""COMPUTED_VALUE"""),8.0)</f>
        <v>8</v>
      </c>
      <c r="D1665" s="1">
        <f>IFERROR(__xludf.DUMMYFUNCTION("""COMPUTED_VALUE"""),2079.2)</f>
        <v>2079.2</v>
      </c>
    </row>
    <row r="1666">
      <c r="A1666" s="1" t="str">
        <f>IFERROR(__xludf.DUMMYFUNCTION("""COMPUTED_VALUE"""),"PR038")</f>
        <v>PR038</v>
      </c>
      <c r="B1666" s="1" t="str">
        <f>IFERROR(__xludf.DUMMYFUNCTION("""COMPUTED_VALUE"""),"VD027")</f>
        <v>VD027</v>
      </c>
      <c r="C1666" s="1">
        <f>IFERROR(__xludf.DUMMYFUNCTION("""COMPUTED_VALUE"""),14.0)</f>
        <v>14</v>
      </c>
      <c r="D1666" s="1">
        <f>IFERROR(__xludf.DUMMYFUNCTION("""COMPUTED_VALUE"""),2080.62)</f>
        <v>2080.62</v>
      </c>
    </row>
    <row r="1667">
      <c r="A1667" s="1" t="str">
        <f>IFERROR(__xludf.DUMMYFUNCTION("""COMPUTED_VALUE"""),"PR032")</f>
        <v>PR032</v>
      </c>
      <c r="B1667" s="1" t="str">
        <f>IFERROR(__xludf.DUMMYFUNCTION("""COMPUTED_VALUE"""),"VD034")</f>
        <v>VD034</v>
      </c>
      <c r="C1667" s="1">
        <f>IFERROR(__xludf.DUMMYFUNCTION("""COMPUTED_VALUE"""),7.0)</f>
        <v>7</v>
      </c>
      <c r="D1667" s="1">
        <f>IFERROR(__xludf.DUMMYFUNCTION("""COMPUTED_VALUE"""),1907.5)</f>
        <v>1907.5</v>
      </c>
    </row>
    <row r="1668">
      <c r="A1668" s="1" t="str">
        <f>IFERROR(__xludf.DUMMYFUNCTION("""COMPUTED_VALUE"""),"PR042")</f>
        <v>PR042</v>
      </c>
      <c r="B1668" s="1" t="str">
        <f>IFERROR(__xludf.DUMMYFUNCTION("""COMPUTED_VALUE"""),"VD012")</f>
        <v>VD012</v>
      </c>
      <c r="C1668" s="1">
        <f>IFERROR(__xludf.DUMMYFUNCTION("""COMPUTED_VALUE"""),2.0)</f>
        <v>2</v>
      </c>
      <c r="D1668" s="1">
        <f>IFERROR(__xludf.DUMMYFUNCTION("""COMPUTED_VALUE"""),109.8)</f>
        <v>109.8</v>
      </c>
    </row>
    <row r="1669">
      <c r="A1669" s="1" t="str">
        <f>IFERROR(__xludf.DUMMYFUNCTION("""COMPUTED_VALUE"""),"PR017")</f>
        <v>PR017</v>
      </c>
      <c r="B1669" s="1" t="str">
        <f>IFERROR(__xludf.DUMMYFUNCTION("""COMPUTED_VALUE"""),"VD018")</f>
        <v>VD018</v>
      </c>
      <c r="C1669" s="1">
        <f>IFERROR(__xludf.DUMMYFUNCTION("""COMPUTED_VALUE"""),20.0)</f>
        <v>20</v>
      </c>
      <c r="D1669" s="1">
        <f>IFERROR(__xludf.DUMMYFUNCTION("""COMPUTED_VALUE"""),657.8)</f>
        <v>657.8</v>
      </c>
    </row>
    <row r="1670">
      <c r="A1670" s="1" t="str">
        <f>IFERROR(__xludf.DUMMYFUNCTION("""COMPUTED_VALUE"""),"PR037")</f>
        <v>PR037</v>
      </c>
      <c r="B1670" s="1" t="str">
        <f>IFERROR(__xludf.DUMMYFUNCTION("""COMPUTED_VALUE"""),"VD013")</f>
        <v>VD013</v>
      </c>
      <c r="C1670" s="1">
        <f>IFERROR(__xludf.DUMMYFUNCTION("""COMPUTED_VALUE"""),10.0)</f>
        <v>10</v>
      </c>
      <c r="D1670" s="1">
        <f>IFERROR(__xludf.DUMMYFUNCTION("""COMPUTED_VALUE"""),1414.0)</f>
        <v>1414</v>
      </c>
    </row>
    <row r="1671">
      <c r="A1671" s="1" t="str">
        <f>IFERROR(__xludf.DUMMYFUNCTION("""COMPUTED_VALUE"""),"PR041")</f>
        <v>PR041</v>
      </c>
      <c r="B1671" s="1" t="str">
        <f>IFERROR(__xludf.DUMMYFUNCTION("""COMPUTED_VALUE"""),"VD021")</f>
        <v>VD021</v>
      </c>
      <c r="C1671" s="1">
        <f>IFERROR(__xludf.DUMMYFUNCTION("""COMPUTED_VALUE"""),8.0)</f>
        <v>8</v>
      </c>
      <c r="D1671" s="1">
        <f>IFERROR(__xludf.DUMMYFUNCTION("""COMPUTED_VALUE"""),443.59)</f>
        <v>443.59</v>
      </c>
    </row>
    <row r="1672">
      <c r="A1672" s="1" t="str">
        <f>IFERROR(__xludf.DUMMYFUNCTION("""COMPUTED_VALUE"""),"PR039")</f>
        <v>PR039</v>
      </c>
      <c r="B1672" s="1" t="str">
        <f>IFERROR(__xludf.DUMMYFUNCTION("""COMPUTED_VALUE"""),"VD032")</f>
        <v>VD032</v>
      </c>
      <c r="C1672" s="1">
        <f>IFERROR(__xludf.DUMMYFUNCTION("""COMPUTED_VALUE"""),8.0)</f>
        <v>8</v>
      </c>
      <c r="D1672" s="1">
        <f>IFERROR(__xludf.DUMMYFUNCTION("""COMPUTED_VALUE"""),1214.72)</f>
        <v>1214.72</v>
      </c>
    </row>
    <row r="1673">
      <c r="A1673" s="1" t="str">
        <f>IFERROR(__xludf.DUMMYFUNCTION("""COMPUTED_VALUE"""),"PR043")</f>
        <v>PR043</v>
      </c>
      <c r="B1673" s="1" t="str">
        <f>IFERROR(__xludf.DUMMYFUNCTION("""COMPUTED_VALUE"""),"VD026")</f>
        <v>VD026</v>
      </c>
      <c r="C1673" s="1">
        <f>IFERROR(__xludf.DUMMYFUNCTION("""COMPUTED_VALUE"""),2.0)</f>
        <v>2</v>
      </c>
      <c r="D1673" s="1">
        <f>IFERROR(__xludf.DUMMYFUNCTION("""COMPUTED_VALUE"""),152.25)</f>
        <v>152.25</v>
      </c>
    </row>
    <row r="1674">
      <c r="A1674" s="1" t="str">
        <f>IFERROR(__xludf.DUMMYFUNCTION("""COMPUTED_VALUE"""),"PR046")</f>
        <v>PR046</v>
      </c>
      <c r="B1674" s="1" t="str">
        <f>IFERROR(__xludf.DUMMYFUNCTION("""COMPUTED_VALUE"""),"VD038")</f>
        <v>VD038</v>
      </c>
      <c r="C1674" s="1">
        <f>IFERROR(__xludf.DUMMYFUNCTION("""COMPUTED_VALUE"""),8.0)</f>
        <v>8</v>
      </c>
      <c r="D1674" s="1">
        <f>IFERROR(__xludf.DUMMYFUNCTION("""COMPUTED_VALUE"""),2527.93)</f>
        <v>2527.93</v>
      </c>
    </row>
    <row r="1675">
      <c r="A1675" s="1" t="str">
        <f>IFERROR(__xludf.DUMMYFUNCTION("""COMPUTED_VALUE"""),"PR006")</f>
        <v>PR006</v>
      </c>
      <c r="B1675" s="1" t="str">
        <f>IFERROR(__xludf.DUMMYFUNCTION("""COMPUTED_VALUE"""),"VD030")</f>
        <v>VD030</v>
      </c>
      <c r="C1675" s="1">
        <f>IFERROR(__xludf.DUMMYFUNCTION("""COMPUTED_VALUE"""),8.0)</f>
        <v>8</v>
      </c>
      <c r="D1675" s="1">
        <f>IFERROR(__xludf.DUMMYFUNCTION("""COMPUTED_VALUE"""),335.16)</f>
        <v>335.16</v>
      </c>
    </row>
    <row r="1676">
      <c r="A1676" s="1" t="str">
        <f>IFERROR(__xludf.DUMMYFUNCTION("""COMPUTED_VALUE"""),"PR052")</f>
        <v>PR052</v>
      </c>
      <c r="B1676" s="1" t="str">
        <f>IFERROR(__xludf.DUMMYFUNCTION("""COMPUTED_VALUE"""),"VD032")</f>
        <v>VD032</v>
      </c>
      <c r="C1676" s="1">
        <f>IFERROR(__xludf.DUMMYFUNCTION("""COMPUTED_VALUE"""),1.0)</f>
        <v>1</v>
      </c>
      <c r="D1676" s="1">
        <f>IFERROR(__xludf.DUMMYFUNCTION("""COMPUTED_VALUE"""),50.4)</f>
        <v>50.4</v>
      </c>
    </row>
    <row r="1677">
      <c r="A1677" s="1" t="str">
        <f>IFERROR(__xludf.DUMMYFUNCTION("""COMPUTED_VALUE"""),"PR057")</f>
        <v>PR057</v>
      </c>
      <c r="B1677" s="1" t="str">
        <f>IFERROR(__xludf.DUMMYFUNCTION("""COMPUTED_VALUE"""),"VD038")</f>
        <v>VD038</v>
      </c>
      <c r="C1677" s="1">
        <f>IFERROR(__xludf.DUMMYFUNCTION("""COMPUTED_VALUE"""),2.0)</f>
        <v>2</v>
      </c>
      <c r="D1677" s="1">
        <f>IFERROR(__xludf.DUMMYFUNCTION("""COMPUTED_VALUE"""),197.78)</f>
        <v>197.78</v>
      </c>
    </row>
    <row r="1678">
      <c r="A1678" s="1" t="str">
        <f>IFERROR(__xludf.DUMMYFUNCTION("""COMPUTED_VALUE"""),"PR056")</f>
        <v>PR056</v>
      </c>
      <c r="B1678" s="1" t="str">
        <f>IFERROR(__xludf.DUMMYFUNCTION("""COMPUTED_VALUE"""),"VD020")</f>
        <v>VD020</v>
      </c>
      <c r="C1678" s="1">
        <f>IFERROR(__xludf.DUMMYFUNCTION("""COMPUTED_VALUE"""),6.0)</f>
        <v>6</v>
      </c>
      <c r="D1678" s="1">
        <f>IFERROR(__xludf.DUMMYFUNCTION("""COMPUTED_VALUE"""),587.95)</f>
        <v>587.95</v>
      </c>
    </row>
    <row r="1679">
      <c r="A1679" s="1" t="str">
        <f>IFERROR(__xludf.DUMMYFUNCTION("""COMPUTED_VALUE"""),"PR024")</f>
        <v>PR024</v>
      </c>
      <c r="B1679" s="1" t="str">
        <f>IFERROR(__xludf.DUMMYFUNCTION("""COMPUTED_VALUE"""),"VD049")</f>
        <v>VD049</v>
      </c>
      <c r="C1679" s="1">
        <f>IFERROR(__xludf.DUMMYFUNCTION("""COMPUTED_VALUE"""),3.0)</f>
        <v>3</v>
      </c>
      <c r="D1679" s="1">
        <f>IFERROR(__xludf.DUMMYFUNCTION("""COMPUTED_VALUE"""),810.89)</f>
        <v>810.89</v>
      </c>
    </row>
    <row r="1680">
      <c r="A1680" s="1" t="str">
        <f>IFERROR(__xludf.DUMMYFUNCTION("""COMPUTED_VALUE"""),"PR036")</f>
        <v>PR036</v>
      </c>
      <c r="B1680" s="1" t="str">
        <f>IFERROR(__xludf.DUMMYFUNCTION("""COMPUTED_VALUE"""),"VD021")</f>
        <v>VD021</v>
      </c>
      <c r="C1680" s="1">
        <f>IFERROR(__xludf.DUMMYFUNCTION("""COMPUTED_VALUE"""),2.0)</f>
        <v>2</v>
      </c>
      <c r="D1680" s="1">
        <f>IFERROR(__xludf.DUMMYFUNCTION("""COMPUTED_VALUE"""),198.22)</f>
        <v>198.22</v>
      </c>
    </row>
    <row r="1681">
      <c r="A1681" s="1" t="str">
        <f>IFERROR(__xludf.DUMMYFUNCTION("""COMPUTED_VALUE"""),"PR024")</f>
        <v>PR024</v>
      </c>
      <c r="B1681" s="1" t="str">
        <f>IFERROR(__xludf.DUMMYFUNCTION("""COMPUTED_VALUE"""),"VD031")</f>
        <v>VD031</v>
      </c>
      <c r="C1681" s="1">
        <f>IFERROR(__xludf.DUMMYFUNCTION("""COMPUTED_VALUE"""),4.0)</f>
        <v>4</v>
      </c>
      <c r="D1681" s="1">
        <f>IFERROR(__xludf.DUMMYFUNCTION("""COMPUTED_VALUE"""),1101.98)</f>
        <v>1101.98</v>
      </c>
    </row>
    <row r="1682">
      <c r="A1682" s="1" t="str">
        <f>IFERROR(__xludf.DUMMYFUNCTION("""COMPUTED_VALUE"""),"PR011")</f>
        <v>PR011</v>
      </c>
      <c r="B1682" s="1" t="str">
        <f>IFERROR(__xludf.DUMMYFUNCTION("""COMPUTED_VALUE"""),"VD019")</f>
        <v>VD019</v>
      </c>
      <c r="C1682" s="1">
        <f>IFERROR(__xludf.DUMMYFUNCTION("""COMPUTED_VALUE"""),20.0)</f>
        <v>20</v>
      </c>
      <c r="D1682" s="1">
        <f>IFERROR(__xludf.DUMMYFUNCTION("""COMPUTED_VALUE"""),938.0)</f>
        <v>938</v>
      </c>
    </row>
    <row r="1683">
      <c r="A1683" s="1" t="str">
        <f>IFERROR(__xludf.DUMMYFUNCTION("""COMPUTED_VALUE"""),"PR019")</f>
        <v>PR019</v>
      </c>
      <c r="B1683" s="1" t="str">
        <f>IFERROR(__xludf.DUMMYFUNCTION("""COMPUTED_VALUE"""),"VD012")</f>
        <v>VD012</v>
      </c>
      <c r="C1683" s="1">
        <f>IFERROR(__xludf.DUMMYFUNCTION("""COMPUTED_VALUE"""),10.0)</f>
        <v>10</v>
      </c>
      <c r="D1683" s="1">
        <f>IFERROR(__xludf.DUMMYFUNCTION("""COMPUTED_VALUE"""),533.93)</f>
        <v>533.93</v>
      </c>
    </row>
    <row r="1684">
      <c r="A1684" s="1" t="str">
        <f>IFERROR(__xludf.DUMMYFUNCTION("""COMPUTED_VALUE"""),"PR058")</f>
        <v>PR058</v>
      </c>
      <c r="B1684" s="1" t="str">
        <f>IFERROR(__xludf.DUMMYFUNCTION("""COMPUTED_VALUE"""),"VD019")</f>
        <v>VD019</v>
      </c>
      <c r="C1684" s="1">
        <f>IFERROR(__xludf.DUMMYFUNCTION("""COMPUTED_VALUE"""),7.0)</f>
        <v>7</v>
      </c>
      <c r="D1684" s="1">
        <f>IFERROR(__xludf.DUMMYFUNCTION("""COMPUTED_VALUE"""),1386.0)</f>
        <v>1386</v>
      </c>
    </row>
    <row r="1685">
      <c r="A1685" s="1" t="str">
        <f>IFERROR(__xludf.DUMMYFUNCTION("""COMPUTED_VALUE"""),"PR034")</f>
        <v>PR034</v>
      </c>
      <c r="B1685" s="1" t="str">
        <f>IFERROR(__xludf.DUMMYFUNCTION("""COMPUTED_VALUE"""),"VD039")</f>
        <v>VD039</v>
      </c>
      <c r="C1685" s="1">
        <f>IFERROR(__xludf.DUMMYFUNCTION("""COMPUTED_VALUE"""),16.0)</f>
        <v>16</v>
      </c>
      <c r="D1685" s="1">
        <f>IFERROR(__xludf.DUMMYFUNCTION("""COMPUTED_VALUE"""),1524.7)</f>
        <v>1524.7</v>
      </c>
    </row>
    <row r="1686">
      <c r="A1686" s="1" t="str">
        <f>IFERROR(__xludf.DUMMYFUNCTION("""COMPUTED_VALUE"""),"PR043")</f>
        <v>PR043</v>
      </c>
      <c r="B1686" s="1" t="str">
        <f>IFERROR(__xludf.DUMMYFUNCTION("""COMPUTED_VALUE"""),"VD046")</f>
        <v>VD046</v>
      </c>
      <c r="C1686" s="1">
        <f>IFERROR(__xludf.DUMMYFUNCTION("""COMPUTED_VALUE"""),3.0)</f>
        <v>3</v>
      </c>
      <c r="D1686" s="1">
        <f>IFERROR(__xludf.DUMMYFUNCTION("""COMPUTED_VALUE"""),230.55)</f>
        <v>230.55</v>
      </c>
    </row>
    <row r="1687">
      <c r="A1687" s="1" t="str">
        <f>IFERROR(__xludf.DUMMYFUNCTION("""COMPUTED_VALUE"""),"PR052")</f>
        <v>PR052</v>
      </c>
      <c r="B1687" s="1" t="str">
        <f>IFERROR(__xludf.DUMMYFUNCTION("""COMPUTED_VALUE"""),"VD045")</f>
        <v>VD045</v>
      </c>
      <c r="C1687" s="1">
        <f>IFERROR(__xludf.DUMMYFUNCTION("""COMPUTED_VALUE"""),3.0)</f>
        <v>3</v>
      </c>
      <c r="D1687" s="1">
        <f>IFERROR(__xludf.DUMMYFUNCTION("""COMPUTED_VALUE"""),163.17)</f>
        <v>163.17</v>
      </c>
    </row>
    <row r="1688">
      <c r="A1688" s="1" t="str">
        <f>IFERROR(__xludf.DUMMYFUNCTION("""COMPUTED_VALUE"""),"PR054")</f>
        <v>PR054</v>
      </c>
      <c r="B1688" s="1" t="str">
        <f>IFERROR(__xludf.DUMMYFUNCTION("""COMPUTED_VALUE"""),"VD041")</f>
        <v>VD041</v>
      </c>
      <c r="C1688" s="1">
        <f>IFERROR(__xludf.DUMMYFUNCTION("""COMPUTED_VALUE"""),12.0)</f>
        <v>12</v>
      </c>
      <c r="D1688" s="1">
        <f>IFERROR(__xludf.DUMMYFUNCTION("""COMPUTED_VALUE"""),622.75)</f>
        <v>622.75</v>
      </c>
    </row>
    <row r="1689">
      <c r="A1689" s="1" t="str">
        <f>IFERROR(__xludf.DUMMYFUNCTION("""COMPUTED_VALUE"""),"PR059")</f>
        <v>PR059</v>
      </c>
      <c r="B1689" s="1" t="str">
        <f>IFERROR(__xludf.DUMMYFUNCTION("""COMPUTED_VALUE"""),"VD014")</f>
        <v>VD014</v>
      </c>
      <c r="C1689" s="1">
        <f>IFERROR(__xludf.DUMMYFUNCTION("""COMPUTED_VALUE"""),7.0)</f>
        <v>7</v>
      </c>
      <c r="D1689" s="1">
        <f>IFERROR(__xludf.DUMMYFUNCTION("""COMPUTED_VALUE"""),1310.4)</f>
        <v>1310.4</v>
      </c>
    </row>
    <row r="1690">
      <c r="A1690" s="1" t="str">
        <f>IFERROR(__xludf.DUMMYFUNCTION("""COMPUTED_VALUE"""),"PR020")</f>
        <v>PR020</v>
      </c>
      <c r="B1690" s="1" t="str">
        <f>IFERROR(__xludf.DUMMYFUNCTION("""COMPUTED_VALUE"""),"VD036")</f>
        <v>VD036</v>
      </c>
      <c r="C1690" s="1">
        <f>IFERROR(__xludf.DUMMYFUNCTION("""COMPUTED_VALUE"""),20.0)</f>
        <v>20</v>
      </c>
      <c r="D1690" s="1">
        <f>IFERROR(__xludf.DUMMYFUNCTION("""COMPUTED_VALUE"""),6357.88)</f>
        <v>6357.88</v>
      </c>
    </row>
    <row r="1691">
      <c r="A1691" s="1" t="str">
        <f>IFERROR(__xludf.DUMMYFUNCTION("""COMPUTED_VALUE"""),"PR017")</f>
        <v>PR017</v>
      </c>
      <c r="B1691" s="1" t="str">
        <f>IFERROR(__xludf.DUMMYFUNCTION("""COMPUTED_VALUE"""),"VD027")</f>
        <v>VD027</v>
      </c>
      <c r="C1691" s="1">
        <f>IFERROR(__xludf.DUMMYFUNCTION("""COMPUTED_VALUE"""),12.0)</f>
        <v>12</v>
      </c>
      <c r="D1691" s="1">
        <f>IFERROR(__xludf.DUMMYFUNCTION("""COMPUTED_VALUE"""),391.09)</f>
        <v>391.09</v>
      </c>
    </row>
    <row r="1692">
      <c r="A1692" s="1" t="str">
        <f>IFERROR(__xludf.DUMMYFUNCTION("""COMPUTED_VALUE"""),"PR049")</f>
        <v>PR049</v>
      </c>
      <c r="B1692" s="1" t="str">
        <f>IFERROR(__xludf.DUMMYFUNCTION("""COMPUTED_VALUE"""),"VD039")</f>
        <v>VD039</v>
      </c>
      <c r="C1692" s="1">
        <f>IFERROR(__xludf.DUMMYFUNCTION("""COMPUTED_VALUE"""),4.0)</f>
        <v>4</v>
      </c>
      <c r="D1692" s="1">
        <f>IFERROR(__xludf.DUMMYFUNCTION("""COMPUTED_VALUE"""),139.5)</f>
        <v>139.5</v>
      </c>
    </row>
    <row r="1693">
      <c r="A1693" s="1" t="str">
        <f>IFERROR(__xludf.DUMMYFUNCTION("""COMPUTED_VALUE"""),"PR034")</f>
        <v>PR034</v>
      </c>
      <c r="B1693" s="1" t="str">
        <f>IFERROR(__xludf.DUMMYFUNCTION("""COMPUTED_VALUE"""),"VD017")</f>
        <v>VD017</v>
      </c>
      <c r="C1693" s="1">
        <f>IFERROR(__xludf.DUMMYFUNCTION("""COMPUTED_VALUE"""),8.0)</f>
        <v>8</v>
      </c>
      <c r="D1693" s="1">
        <f>IFERROR(__xludf.DUMMYFUNCTION("""COMPUTED_VALUE"""),733.58)</f>
        <v>733.58</v>
      </c>
    </row>
    <row r="1694">
      <c r="A1694" s="1" t="str">
        <f>IFERROR(__xludf.DUMMYFUNCTION("""COMPUTED_VALUE"""),"PR045")</f>
        <v>PR045</v>
      </c>
      <c r="B1694" s="1" t="str">
        <f>IFERROR(__xludf.DUMMYFUNCTION("""COMPUTED_VALUE"""),"VD045")</f>
        <v>VD045</v>
      </c>
      <c r="C1694" s="1">
        <f>IFERROR(__xludf.DUMMYFUNCTION("""COMPUTED_VALUE"""),14.0)</f>
        <v>14</v>
      </c>
      <c r="D1694" s="1">
        <f>IFERROR(__xludf.DUMMYFUNCTION("""COMPUTED_VALUE"""),1025.15)</f>
        <v>1025.15</v>
      </c>
    </row>
    <row r="1695">
      <c r="A1695" s="1" t="str">
        <f>IFERROR(__xludf.DUMMYFUNCTION("""COMPUTED_VALUE"""),"PR018")</f>
        <v>PR018</v>
      </c>
      <c r="B1695" s="1" t="str">
        <f>IFERROR(__xludf.DUMMYFUNCTION("""COMPUTED_VALUE"""),"VD018")</f>
        <v>VD018</v>
      </c>
      <c r="C1695" s="1">
        <f>IFERROR(__xludf.DUMMYFUNCTION("""COMPUTED_VALUE"""),4.0)</f>
        <v>4</v>
      </c>
      <c r="D1695" s="1">
        <f>IFERROR(__xludf.DUMMYFUNCTION("""COMPUTED_VALUE"""),139.5)</f>
        <v>139.5</v>
      </c>
    </row>
    <row r="1696">
      <c r="A1696" s="1" t="str">
        <f>IFERROR(__xludf.DUMMYFUNCTION("""COMPUTED_VALUE"""),"PR008")</f>
        <v>PR008</v>
      </c>
      <c r="B1696" s="1" t="str">
        <f>IFERROR(__xludf.DUMMYFUNCTION("""COMPUTED_VALUE"""),"VD016")</f>
        <v>VD016</v>
      </c>
      <c r="C1696" s="1">
        <f>IFERROR(__xludf.DUMMYFUNCTION("""COMPUTED_VALUE"""),6.0)</f>
        <v>6</v>
      </c>
      <c r="D1696" s="1">
        <f>IFERROR(__xludf.DUMMYFUNCTION("""COMPUTED_VALUE"""),539.4)</f>
        <v>539.4</v>
      </c>
    </row>
    <row r="1697">
      <c r="A1697" s="1" t="str">
        <f>IFERROR(__xludf.DUMMYFUNCTION("""COMPUTED_VALUE"""),"PR013")</f>
        <v>PR013</v>
      </c>
      <c r="B1697" s="1" t="str">
        <f>IFERROR(__xludf.DUMMYFUNCTION("""COMPUTED_VALUE"""),"VD036")</f>
        <v>VD036</v>
      </c>
      <c r="C1697" s="1">
        <f>IFERROR(__xludf.DUMMYFUNCTION("""COMPUTED_VALUE"""),3.0)</f>
        <v>3</v>
      </c>
      <c r="D1697" s="1">
        <f>IFERROR(__xludf.DUMMYFUNCTION("""COMPUTED_VALUE"""),124.49)</f>
        <v>124.49</v>
      </c>
    </row>
    <row r="1698">
      <c r="A1698" s="1" t="str">
        <f>IFERROR(__xludf.DUMMYFUNCTION("""COMPUTED_VALUE"""),"PR055")</f>
        <v>PR055</v>
      </c>
      <c r="B1698" s="1" t="str">
        <f>IFERROR(__xludf.DUMMYFUNCTION("""COMPUTED_VALUE"""),"VD016")</f>
        <v>VD016</v>
      </c>
      <c r="C1698" s="1">
        <f>IFERROR(__xludf.DUMMYFUNCTION("""COMPUTED_VALUE"""),9.0)</f>
        <v>9</v>
      </c>
      <c r="D1698" s="1">
        <f>IFERROR(__xludf.DUMMYFUNCTION("""COMPUTED_VALUE"""),881.92)</f>
        <v>881.92</v>
      </c>
    </row>
    <row r="1699">
      <c r="A1699" s="1" t="str">
        <f>IFERROR(__xludf.DUMMYFUNCTION("""COMPUTED_VALUE"""),"PR037")</f>
        <v>PR037</v>
      </c>
      <c r="B1699" s="1" t="str">
        <f>IFERROR(__xludf.DUMMYFUNCTION("""COMPUTED_VALUE"""),"VD048")</f>
        <v>VD048</v>
      </c>
      <c r="C1699" s="1">
        <f>IFERROR(__xludf.DUMMYFUNCTION("""COMPUTED_VALUE"""),1.0)</f>
        <v>1</v>
      </c>
      <c r="D1699" s="1">
        <f>IFERROR(__xludf.DUMMYFUNCTION("""COMPUTED_VALUE"""),154.0)</f>
        <v>154</v>
      </c>
    </row>
    <row r="1700">
      <c r="A1700" s="1" t="str">
        <f>IFERROR(__xludf.DUMMYFUNCTION("""COMPUTED_VALUE"""),"PR036")</f>
        <v>PR036</v>
      </c>
      <c r="B1700" s="1" t="str">
        <f>IFERROR(__xludf.DUMMYFUNCTION("""COMPUTED_VALUE"""),"VD029")</f>
        <v>VD029</v>
      </c>
      <c r="C1700" s="1">
        <f>IFERROR(__xludf.DUMMYFUNCTION("""COMPUTED_VALUE"""),8.0)</f>
        <v>8</v>
      </c>
      <c r="D1700" s="1">
        <f>IFERROR(__xludf.DUMMYFUNCTION("""COMPUTED_VALUE"""),748.0)</f>
        <v>748</v>
      </c>
    </row>
    <row r="1701">
      <c r="A1701" s="1" t="str">
        <f>IFERROR(__xludf.DUMMYFUNCTION("""COMPUTED_VALUE"""),"PR008")</f>
        <v>PR008</v>
      </c>
      <c r="B1701" s="1" t="str">
        <f>IFERROR(__xludf.DUMMYFUNCTION("""COMPUTED_VALUE"""),"VD013")</f>
        <v>VD013</v>
      </c>
      <c r="C1701" s="1">
        <f>IFERROR(__xludf.DUMMYFUNCTION("""COMPUTED_VALUE"""),20.0)</f>
        <v>20</v>
      </c>
      <c r="D1701" s="1">
        <f>IFERROR(__xludf.DUMMYFUNCTION("""COMPUTED_VALUE"""),1815.98)</f>
        <v>1815.98</v>
      </c>
    </row>
    <row r="1702">
      <c r="A1702" s="1" t="str">
        <f>IFERROR(__xludf.DUMMYFUNCTION("""COMPUTED_VALUE"""),"PR056")</f>
        <v>PR056</v>
      </c>
      <c r="B1702" s="1" t="str">
        <f>IFERROR(__xludf.DUMMYFUNCTION("""COMPUTED_VALUE"""),"VD032")</f>
        <v>VD032</v>
      </c>
      <c r="C1702" s="1">
        <f>IFERROR(__xludf.DUMMYFUNCTION("""COMPUTED_VALUE"""),10.0)</f>
        <v>10</v>
      </c>
      <c r="D1702" s="1">
        <f>IFERROR(__xludf.DUMMYFUNCTION("""COMPUTED_VALUE"""),961.93)</f>
        <v>961.93</v>
      </c>
    </row>
    <row r="1703">
      <c r="A1703" s="1" t="str">
        <f>IFERROR(__xludf.DUMMYFUNCTION("""COMPUTED_VALUE"""),"PR033")</f>
        <v>PR033</v>
      </c>
      <c r="B1703" s="1" t="str">
        <f>IFERROR(__xludf.DUMMYFUNCTION("""COMPUTED_VALUE"""),"VD012")</f>
        <v>VD012</v>
      </c>
      <c r="C1703" s="1">
        <f>IFERROR(__xludf.DUMMYFUNCTION("""COMPUTED_VALUE"""),8.0)</f>
        <v>8</v>
      </c>
      <c r="D1703" s="1">
        <f>IFERROR(__xludf.DUMMYFUNCTION("""COMPUTED_VALUE"""),2141.58)</f>
        <v>2141.58</v>
      </c>
    </row>
    <row r="1704">
      <c r="A1704" s="1" t="str">
        <f>IFERROR(__xludf.DUMMYFUNCTION("""COMPUTED_VALUE"""),"PR001")</f>
        <v>PR001</v>
      </c>
      <c r="B1704" s="1" t="str">
        <f>IFERROR(__xludf.DUMMYFUNCTION("""COMPUTED_VALUE"""),"VD036")</f>
        <v>VD036</v>
      </c>
      <c r="C1704" s="1">
        <f>IFERROR(__xludf.DUMMYFUNCTION("""COMPUTED_VALUE"""),2.0)</f>
        <v>2</v>
      </c>
      <c r="D1704" s="1">
        <f>IFERROR(__xludf.DUMMYFUNCTION("""COMPUTED_VALUE"""),139.71)</f>
        <v>139.71</v>
      </c>
    </row>
    <row r="1705">
      <c r="A1705" s="1" t="str">
        <f>IFERROR(__xludf.DUMMYFUNCTION("""COMPUTED_VALUE"""),"PR007")</f>
        <v>PR007</v>
      </c>
      <c r="B1705" s="1" t="str">
        <f>IFERROR(__xludf.DUMMYFUNCTION("""COMPUTED_VALUE"""),"VD022")</f>
        <v>VD022</v>
      </c>
      <c r="C1705" s="1">
        <f>IFERROR(__xludf.DUMMYFUNCTION("""COMPUTED_VALUE"""),4.0)</f>
        <v>4</v>
      </c>
      <c r="D1705" s="1">
        <f>IFERROR(__xludf.DUMMYFUNCTION("""COMPUTED_VALUE"""),350.47)</f>
        <v>350.47</v>
      </c>
    </row>
    <row r="1706">
      <c r="A1706" s="1" t="str">
        <f>IFERROR(__xludf.DUMMYFUNCTION("""COMPUTED_VALUE"""),"PR056")</f>
        <v>PR056</v>
      </c>
      <c r="B1706" s="1" t="str">
        <f>IFERROR(__xludf.DUMMYFUNCTION("""COMPUTED_VALUE"""),"VD010")</f>
        <v>VD010</v>
      </c>
      <c r="C1706" s="1">
        <f>IFERROR(__xludf.DUMMYFUNCTION("""COMPUTED_VALUE"""),20.0)</f>
        <v>20</v>
      </c>
      <c r="D1706" s="1">
        <f>IFERROR(__xludf.DUMMYFUNCTION("""COMPUTED_VALUE"""),1905.88)</f>
        <v>1905.88</v>
      </c>
    </row>
    <row r="1707">
      <c r="A1707" s="1" t="str">
        <f>IFERROR(__xludf.DUMMYFUNCTION("""COMPUTED_VALUE"""),"PR055")</f>
        <v>PR055</v>
      </c>
      <c r="B1707" s="1" t="str">
        <f>IFERROR(__xludf.DUMMYFUNCTION("""COMPUTED_VALUE"""),"VD025")</f>
        <v>VD025</v>
      </c>
      <c r="C1707" s="1">
        <f>IFERROR(__xludf.DUMMYFUNCTION("""COMPUTED_VALUE"""),10.0)</f>
        <v>10</v>
      </c>
      <c r="D1707" s="1">
        <f>IFERROR(__xludf.DUMMYFUNCTION("""COMPUTED_VALUE"""),952.94)</f>
        <v>952.94</v>
      </c>
    </row>
    <row r="1708">
      <c r="A1708" s="1" t="str">
        <f>IFERROR(__xludf.DUMMYFUNCTION("""COMPUTED_VALUE"""),"PR055")</f>
        <v>PR055</v>
      </c>
      <c r="B1708" s="1" t="str">
        <f>IFERROR(__xludf.DUMMYFUNCTION("""COMPUTED_VALUE"""),"VD030")</f>
        <v>VD030</v>
      </c>
      <c r="C1708" s="1">
        <f>IFERROR(__xludf.DUMMYFUNCTION("""COMPUTED_VALUE"""),2.0)</f>
        <v>2</v>
      </c>
      <c r="D1708" s="1">
        <f>IFERROR(__xludf.DUMMYFUNCTION("""COMPUTED_VALUE"""),190.59)</f>
        <v>190.59</v>
      </c>
    </row>
  </sheetData>
  <drawing r:id="rId1"/>
</worksheet>
</file>